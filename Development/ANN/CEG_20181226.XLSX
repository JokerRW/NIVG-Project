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 firstSheet="3" activeTab="3"/>
  </bookViews>
  <sheets>
    <sheet name="tester C" sheetId="2" r:id="rId1"/>
    <sheet name="tester A" sheetId="5" r:id="rId2"/>
    <sheet name="乘DC" sheetId="4" r:id="rId3"/>
    <sheet name="20  feature-with Elky" sheetId="19" r:id="rId4"/>
    <sheet name="EGA (mmol per L)" sheetId="3" r:id="rId5"/>
    <sheet name="工作表1" sheetId="7" r:id="rId6"/>
    <sheet name="工作表2" sheetId="8" r:id="rId7"/>
  </sheets>
  <externalReferences>
    <externalReference r:id="rId8"/>
  </externalReferences>
  <calcPr calcId="162913"/>
</workbook>
</file>

<file path=xl/calcChain.xml><?xml version="1.0" encoding="utf-8"?>
<calcChain xmlns="http://schemas.openxmlformats.org/spreadsheetml/2006/main">
  <c r="A39" i="19" l="1"/>
  <c r="C39" i="19" s="1"/>
  <c r="A40" i="19"/>
  <c r="C40" i="19" s="1"/>
  <c r="A41" i="19"/>
  <c r="C41" i="19" s="1"/>
  <c r="A42" i="19"/>
  <c r="C42" i="19" s="1"/>
  <c r="A43" i="19"/>
  <c r="C43" i="19" s="1"/>
  <c r="A44" i="19"/>
  <c r="C44" i="19" s="1"/>
  <c r="A45" i="19"/>
  <c r="C45" i="19" s="1"/>
  <c r="A46" i="19"/>
  <c r="C46" i="19" s="1"/>
  <c r="A47" i="19"/>
  <c r="C47" i="19" s="1"/>
  <c r="A48" i="19"/>
  <c r="C48" i="19" s="1"/>
  <c r="A49" i="19"/>
  <c r="C49" i="19" s="1"/>
  <c r="A50" i="19"/>
  <c r="C50" i="19" s="1"/>
  <c r="A51" i="19"/>
  <c r="C51" i="19" s="1"/>
  <c r="A52" i="19"/>
  <c r="C52" i="19" s="1"/>
  <c r="A53" i="19"/>
  <c r="C53" i="19" s="1"/>
  <c r="A54" i="19"/>
  <c r="C54" i="19" s="1"/>
  <c r="A55" i="19"/>
  <c r="C55" i="19" s="1"/>
  <c r="A56" i="19"/>
  <c r="C56" i="19" s="1"/>
  <c r="A57" i="19"/>
  <c r="C57" i="19" s="1"/>
  <c r="A58" i="19"/>
  <c r="C58" i="19" s="1"/>
  <c r="A59" i="19"/>
  <c r="C59" i="19" s="1"/>
  <c r="A60" i="19"/>
  <c r="C60" i="19" s="1"/>
  <c r="A61" i="19"/>
  <c r="C61" i="19" s="1"/>
  <c r="A62" i="19"/>
  <c r="C62" i="19" s="1"/>
  <c r="A63" i="19"/>
  <c r="C63" i="19" s="1"/>
  <c r="A64" i="19"/>
  <c r="C64" i="19" s="1"/>
  <c r="A65" i="19"/>
  <c r="C65" i="19" s="1"/>
  <c r="A66" i="19"/>
  <c r="C66" i="19" s="1"/>
  <c r="A67" i="19"/>
  <c r="C67" i="19" s="1"/>
  <c r="A68" i="19"/>
  <c r="C68" i="19" s="1"/>
  <c r="A69" i="19"/>
  <c r="C69" i="19" s="1"/>
  <c r="A70" i="19"/>
  <c r="C70" i="19" s="1"/>
  <c r="A71" i="19"/>
  <c r="C71" i="19" s="1"/>
  <c r="A72" i="19"/>
  <c r="C72" i="19" s="1"/>
  <c r="A73" i="19"/>
  <c r="C73" i="19" s="1"/>
  <c r="A74" i="19"/>
  <c r="C74" i="19" s="1"/>
  <c r="A75" i="19"/>
  <c r="C75" i="19" s="1"/>
  <c r="A76" i="19"/>
  <c r="C76" i="19" s="1"/>
  <c r="A77" i="19"/>
  <c r="C77" i="19" s="1"/>
  <c r="A78" i="19"/>
  <c r="C78" i="19" s="1"/>
  <c r="A79" i="19"/>
  <c r="C79" i="19" s="1"/>
  <c r="A80" i="19"/>
  <c r="C80" i="19" s="1"/>
  <c r="A81" i="19"/>
  <c r="C81" i="19" s="1"/>
  <c r="A82" i="19"/>
  <c r="C82" i="19" s="1"/>
  <c r="A83" i="19"/>
  <c r="C83" i="19" s="1"/>
  <c r="A84" i="19"/>
  <c r="C84" i="19" s="1"/>
  <c r="A85" i="19"/>
  <c r="C85" i="19" s="1"/>
  <c r="A86" i="19"/>
  <c r="C86" i="19" s="1"/>
  <c r="A87" i="19"/>
  <c r="C87" i="19" s="1"/>
  <c r="A88" i="19"/>
  <c r="C88" i="19" s="1"/>
  <c r="A89" i="19"/>
  <c r="C89" i="19" s="1"/>
  <c r="A90" i="19"/>
  <c r="C90" i="19" s="1"/>
  <c r="A91" i="19"/>
  <c r="C91" i="19" s="1"/>
  <c r="A92" i="19"/>
  <c r="C92" i="19" s="1"/>
  <c r="A93" i="19"/>
  <c r="C93" i="19" s="1"/>
  <c r="A94" i="19"/>
  <c r="C94" i="19" s="1"/>
  <c r="A95" i="19"/>
  <c r="C95" i="19" s="1"/>
  <c r="A96" i="19"/>
  <c r="C96" i="19" s="1"/>
  <c r="A97" i="19"/>
  <c r="C97" i="19" s="1"/>
  <c r="A98" i="19"/>
  <c r="C98" i="19" s="1"/>
  <c r="A99" i="19"/>
  <c r="C99" i="19" s="1"/>
  <c r="A100" i="19"/>
  <c r="C100" i="19" s="1"/>
  <c r="A101" i="19"/>
  <c r="C101" i="19" s="1"/>
  <c r="A102" i="19"/>
  <c r="C102" i="19" s="1"/>
  <c r="A103" i="19"/>
  <c r="C103" i="19" s="1"/>
  <c r="A104" i="19"/>
  <c r="C104" i="19" s="1"/>
  <c r="A105" i="19"/>
  <c r="C105" i="19" s="1"/>
  <c r="A106" i="19"/>
  <c r="C106" i="19" s="1"/>
  <c r="A107" i="19"/>
  <c r="C107" i="19" s="1"/>
  <c r="A108" i="19"/>
  <c r="C108" i="19" s="1"/>
  <c r="A109" i="19"/>
  <c r="C109" i="19" s="1"/>
  <c r="A110" i="19"/>
  <c r="C110" i="19" s="1"/>
  <c r="A111" i="19"/>
  <c r="C111" i="19" s="1"/>
  <c r="A112" i="19"/>
  <c r="C112" i="19" s="1"/>
  <c r="A113" i="19"/>
  <c r="C113" i="19" s="1"/>
  <c r="A114" i="19"/>
  <c r="C114" i="19" s="1"/>
  <c r="A115" i="19"/>
  <c r="C115" i="19" s="1"/>
  <c r="A116" i="19"/>
  <c r="C116" i="19" s="1"/>
  <c r="A117" i="19"/>
  <c r="C117" i="19" s="1"/>
  <c r="A118" i="19"/>
  <c r="C118" i="19" s="1"/>
  <c r="A119" i="19"/>
  <c r="C119" i="19" s="1"/>
  <c r="A120" i="19"/>
  <c r="C120" i="19" s="1"/>
  <c r="A121" i="19"/>
  <c r="C121" i="19" s="1"/>
  <c r="A122" i="19"/>
  <c r="C122" i="19" s="1"/>
  <c r="A123" i="19"/>
  <c r="C123" i="19" s="1"/>
  <c r="A124" i="19"/>
  <c r="C124" i="19" s="1"/>
  <c r="A125" i="19"/>
  <c r="C125" i="19" s="1"/>
  <c r="A126" i="19"/>
  <c r="C126" i="19" s="1"/>
  <c r="A127" i="19"/>
  <c r="C127" i="19" s="1"/>
  <c r="A128" i="19"/>
  <c r="C128" i="19" s="1"/>
  <c r="A129" i="19"/>
  <c r="C129" i="19" s="1"/>
  <c r="A130" i="19"/>
  <c r="C130" i="19" s="1"/>
  <c r="A131" i="19"/>
  <c r="C131" i="19" s="1"/>
  <c r="A132" i="19"/>
  <c r="C132" i="19" s="1"/>
  <c r="A133" i="19"/>
  <c r="C133" i="19" s="1"/>
  <c r="A134" i="19"/>
  <c r="C134" i="19" s="1"/>
  <c r="A135" i="19"/>
  <c r="C135" i="19" s="1"/>
  <c r="A136" i="19"/>
  <c r="C136" i="19" s="1"/>
  <c r="A137" i="19"/>
  <c r="C137" i="19" s="1"/>
  <c r="A138" i="19"/>
  <c r="C138" i="19" s="1"/>
  <c r="A139" i="19"/>
  <c r="C139" i="19" s="1"/>
  <c r="A140" i="19"/>
  <c r="C140" i="19" s="1"/>
  <c r="A141" i="19"/>
  <c r="C141" i="19" s="1"/>
  <c r="A142" i="19"/>
  <c r="C142" i="19" s="1"/>
  <c r="A143" i="19"/>
  <c r="C143" i="19" s="1"/>
  <c r="A144" i="19"/>
  <c r="C144" i="19" s="1"/>
  <c r="A145" i="19"/>
  <c r="C145" i="19" s="1"/>
  <c r="A146" i="19"/>
  <c r="C146" i="19" s="1"/>
  <c r="A147" i="19"/>
  <c r="C147" i="19" s="1"/>
  <c r="A148" i="19"/>
  <c r="C148" i="19" s="1"/>
  <c r="A149" i="19"/>
  <c r="C149" i="19" s="1"/>
  <c r="A150" i="19"/>
  <c r="C150" i="19" s="1"/>
  <c r="A151" i="19"/>
  <c r="C151" i="19" s="1"/>
  <c r="A152" i="19"/>
  <c r="C152" i="19" s="1"/>
  <c r="A153" i="19"/>
  <c r="C153" i="19" s="1"/>
  <c r="A154" i="19"/>
  <c r="C154" i="19" s="1"/>
  <c r="A155" i="19"/>
  <c r="C155" i="19" s="1"/>
  <c r="A156" i="19"/>
  <c r="C156" i="19" s="1"/>
  <c r="A157" i="19"/>
  <c r="C157" i="19" s="1"/>
  <c r="A158" i="19"/>
  <c r="C158" i="19" s="1"/>
  <c r="A159" i="19"/>
  <c r="C159" i="19" s="1"/>
  <c r="A160" i="19"/>
  <c r="C160" i="19" s="1"/>
  <c r="A161" i="19"/>
  <c r="C161" i="19" s="1"/>
  <c r="A162" i="19"/>
  <c r="C162" i="19" s="1"/>
  <c r="A163" i="19"/>
  <c r="C163" i="19" s="1"/>
  <c r="A164" i="19"/>
  <c r="C164" i="19" s="1"/>
  <c r="A165" i="19"/>
  <c r="C165" i="19" s="1"/>
  <c r="A166" i="19"/>
  <c r="C166" i="19" s="1"/>
  <c r="A167" i="19"/>
  <c r="C167" i="19" s="1"/>
  <c r="A168" i="19"/>
  <c r="C168" i="19" s="1"/>
  <c r="A169" i="19"/>
  <c r="C169" i="19" s="1"/>
  <c r="A170" i="19"/>
  <c r="C170" i="19" s="1"/>
  <c r="A171" i="19"/>
  <c r="C171" i="19" s="1"/>
  <c r="A172" i="19"/>
  <c r="C172" i="19" s="1"/>
  <c r="A173" i="19"/>
  <c r="C173" i="19" s="1"/>
  <c r="A174" i="19"/>
  <c r="C174" i="19" s="1"/>
  <c r="A175" i="19"/>
  <c r="C175" i="19" s="1"/>
  <c r="A176" i="19"/>
  <c r="C176" i="19" s="1"/>
  <c r="A177" i="19"/>
  <c r="C177" i="19" s="1"/>
  <c r="A178" i="19"/>
  <c r="C178" i="19" s="1"/>
  <c r="A179" i="19"/>
  <c r="C179" i="19" s="1"/>
  <c r="A180" i="19"/>
  <c r="C180" i="19" s="1"/>
  <c r="A181" i="19"/>
  <c r="C181" i="19" s="1"/>
  <c r="A182" i="19"/>
  <c r="C182" i="19" s="1"/>
  <c r="A183" i="19"/>
  <c r="C183" i="19" s="1"/>
  <c r="A184" i="19"/>
  <c r="C184" i="19" s="1"/>
  <c r="A185" i="19"/>
  <c r="C185" i="19" s="1"/>
  <c r="A186" i="19"/>
  <c r="C186" i="19" s="1"/>
  <c r="A187" i="19"/>
  <c r="C187" i="19" s="1"/>
  <c r="A188" i="19"/>
  <c r="C188" i="19" s="1"/>
  <c r="A189" i="19"/>
  <c r="C189" i="19" s="1"/>
  <c r="A190" i="19"/>
  <c r="C190" i="19" s="1"/>
  <c r="A191" i="19"/>
  <c r="C191" i="19" s="1"/>
  <c r="A192" i="19"/>
  <c r="C192" i="19" s="1"/>
  <c r="A193" i="19"/>
  <c r="C193" i="19" s="1"/>
  <c r="A194" i="19"/>
  <c r="C194" i="19" s="1"/>
  <c r="A195" i="19"/>
  <c r="C195" i="19" s="1"/>
  <c r="A196" i="19"/>
  <c r="C196" i="19" s="1"/>
  <c r="A197" i="19"/>
  <c r="C197" i="19" s="1"/>
  <c r="A198" i="19"/>
  <c r="C198" i="19" s="1"/>
  <c r="A199" i="19"/>
  <c r="C199" i="19" s="1"/>
  <c r="A200" i="19"/>
  <c r="C200" i="19" s="1"/>
  <c r="A201" i="19"/>
  <c r="C201" i="19" s="1"/>
  <c r="A202" i="19"/>
  <c r="C202" i="19" s="1"/>
  <c r="A203" i="19"/>
  <c r="C203" i="19" s="1"/>
  <c r="A204" i="19"/>
  <c r="C204" i="19" s="1"/>
  <c r="A205" i="19"/>
  <c r="C205" i="19" s="1"/>
  <c r="A206" i="19"/>
  <c r="C206" i="19" s="1"/>
  <c r="A207" i="19"/>
  <c r="C207" i="19" s="1"/>
  <c r="A208" i="19"/>
  <c r="C208" i="19" s="1"/>
  <c r="A209" i="19"/>
  <c r="C209" i="19" s="1"/>
  <c r="A210" i="19"/>
  <c r="C210" i="19" s="1"/>
  <c r="A211" i="19"/>
  <c r="C211" i="19" s="1"/>
  <c r="A212" i="19"/>
  <c r="C212" i="19" s="1"/>
  <c r="A213" i="19"/>
  <c r="A214" i="19"/>
  <c r="C214" i="19" s="1"/>
  <c r="A215" i="19"/>
  <c r="C215" i="19" s="1"/>
  <c r="A216" i="19"/>
  <c r="C216" i="19" s="1"/>
  <c r="A217" i="19"/>
  <c r="C217" i="19" s="1"/>
  <c r="A218" i="19"/>
  <c r="C218" i="19" s="1"/>
  <c r="A219" i="19"/>
  <c r="C219" i="19" s="1"/>
  <c r="T38" i="19" l="1"/>
  <c r="G219" i="19" l="1"/>
  <c r="G218" i="19"/>
  <c r="G217" i="19"/>
  <c r="G216" i="19"/>
  <c r="G215" i="19"/>
  <c r="G214" i="19"/>
  <c r="G213" i="19"/>
  <c r="G212" i="19"/>
  <c r="G211" i="19"/>
  <c r="G210" i="19"/>
  <c r="G209" i="19"/>
  <c r="G208" i="19"/>
  <c r="G207" i="19"/>
  <c r="G206" i="19"/>
  <c r="G205" i="19"/>
  <c r="G204" i="19"/>
  <c r="G203" i="19"/>
  <c r="G202" i="19"/>
  <c r="G201" i="19"/>
  <c r="G200" i="19"/>
  <c r="G199" i="19"/>
  <c r="G198" i="19"/>
  <c r="G197" i="19"/>
  <c r="G195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A38" i="19"/>
  <c r="C38" i="19" s="1"/>
  <c r="G38" i="19" l="1"/>
  <c r="R38" i="19"/>
  <c r="R39" i="19" s="1"/>
  <c r="S38" i="19"/>
  <c r="S39" i="19" s="1"/>
  <c r="T39" i="19" l="1"/>
  <c r="H219" i="3" l="1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<sst xmlns="http://schemas.openxmlformats.org/spreadsheetml/2006/main" count="312" uniqueCount="73">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</sst>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'20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Elky'!$E$38:$E$500</c:f>
              <c:numCache>
                <c:formatCode>General</c:formatCode>
                <c:ptCount val="463"/>
                <c:pt idx="0">
                  <c:v>96.879530399068102</c:v>
                </c:pt>
                <c:pt idx="1">
                  <c:v>121.161589269998</c:v>
                </c:pt>
                <c:pt idx="2">
                  <c:v>121.881503617112</c:v>
                </c:pt>
                <c:pt idx="3">
                  <c:v>109.49419027174601</c:v>
                </c:pt>
                <c:pt idx="4">
                  <c:v>94.106450934984096</c:v>
                </c:pt>
                <c:pt idx="5">
                  <c:v>95.849713927675595</c:v>
                </c:pt>
                <c:pt idx="6">
                  <c:v>84.808356443629904</c:v>
                </c:pt>
                <c:pt idx="7">
                  <c:v>95.740057984669306</c:v>
                </c:pt>
                <c:pt idx="8">
                  <c:v>96.018964993650897</c:v>
                </c:pt>
                <c:pt idx="9">
                  <c:v>111.380221263378</c:v>
                </c:pt>
                <c:pt idx="10">
                  <c:v>97.365988803971405</c:v>
                </c:pt>
                <c:pt idx="11">
                  <c:v>92.131804351599996</c:v>
                </c:pt>
                <c:pt idx="12">
                  <c:v>90.453854585030896</c:v>
                </c:pt>
                <c:pt idx="13">
                  <c:v>98.662117235809802</c:v>
                </c:pt>
                <c:pt idx="14">
                  <c:v>82.678494384576396</c:v>
                </c:pt>
                <c:pt idx="15">
                  <c:v>95.8713066926598</c:v>
                </c:pt>
                <c:pt idx="16">
                  <c:v>75.763233219910703</c:v>
                </c:pt>
                <c:pt idx="17">
                  <c:v>102.298413529097</c:v>
                </c:pt>
                <c:pt idx="18">
                  <c:v>95.725039821045698</c:v>
                </c:pt>
                <c:pt idx="19">
                  <c:v>93.606397835154098</c:v>
                </c:pt>
                <c:pt idx="20">
                  <c:v>97.044461277997002</c:v>
                </c:pt>
                <c:pt idx="21">
                  <c:v>103.757948786659</c:v>
                </c:pt>
                <c:pt idx="22">
                  <c:v>81.835615490900395</c:v>
                </c:pt>
                <c:pt idx="23">
                  <c:v>84.743235878316796</c:v>
                </c:pt>
                <c:pt idx="24">
                  <c:v>187.50432959188601</c:v>
                </c:pt>
                <c:pt idx="25">
                  <c:v>183.181397800122</c:v>
                </c:pt>
                <c:pt idx="26">
                  <c:v>175.579803211403</c:v>
                </c:pt>
                <c:pt idx="27">
                  <c:v>182.11741514810601</c:v>
                </c:pt>
                <c:pt idx="28">
                  <c:v>366.97637994403902</c:v>
                </c:pt>
                <c:pt idx="29">
                  <c:v>90.567278038253406</c:v>
                </c:pt>
                <c:pt idx="30">
                  <c:v>138.11578584964801</c:v>
                </c:pt>
                <c:pt idx="31">
                  <c:v>109.824570176214</c:v>
                </c:pt>
                <c:pt idx="32">
                  <c:v>111.44932387076901</c:v>
                </c:pt>
                <c:pt idx="33">
                  <c:v>98.863134672139196</c:v>
                </c:pt>
                <c:pt idx="34">
                  <c:v>142.23254915887</c:v>
                </c:pt>
                <c:pt idx="35">
                  <c:v>163.162639802976</c:v>
                </c:pt>
                <c:pt idx="36">
                  <c:v>108.64276924376399</c:v>
                </c:pt>
                <c:pt idx="37">
                  <c:v>93.223188760468602</c:v>
                </c:pt>
                <c:pt idx="38">
                  <c:v>116.83304576416199</c:v>
                </c:pt>
                <c:pt idx="39">
                  <c:v>143.65659652842999</c:v>
                </c:pt>
                <c:pt idx="40">
                  <c:v>113.660422684737</c:v>
                </c:pt>
                <c:pt idx="41">
                  <c:v>203.24781319342199</c:v>
                </c:pt>
                <c:pt idx="42">
                  <c:v>194.80343060963801</c:v>
                </c:pt>
                <c:pt idx="43">
                  <c:v>182.702294697166</c:v>
                </c:pt>
                <c:pt idx="44">
                  <c:v>206.191233606868</c:v>
                </c:pt>
                <c:pt idx="45">
                  <c:v>202.26747682408299</c:v>
                </c:pt>
                <c:pt idx="46">
                  <c:v>198.88297722357001</c:v>
                </c:pt>
                <c:pt idx="47">
                  <c:v>198.77888696395101</c:v>
                </c:pt>
                <c:pt idx="48">
                  <c:v>79.854342221166803</c:v>
                </c:pt>
                <c:pt idx="49">
                  <c:v>140.085710075045</c:v>
                </c:pt>
                <c:pt idx="50">
                  <c:v>107.20854549023301</c:v>
                </c:pt>
                <c:pt idx="51">
                  <c:v>115.98031943143999</c:v>
                </c:pt>
                <c:pt idx="52">
                  <c:v>84.596271462767405</c:v>
                </c:pt>
                <c:pt idx="53">
                  <c:v>117.46597863680999</c:v>
                </c:pt>
                <c:pt idx="54">
                  <c:v>139.44691154567701</c:v>
                </c:pt>
                <c:pt idx="55">
                  <c:v>102.73344534505</c:v>
                </c:pt>
                <c:pt idx="56">
                  <c:v>96.147830857453101</c:v>
                </c:pt>
                <c:pt idx="57">
                  <c:v>117.892525268049</c:v>
                </c:pt>
                <c:pt idx="58">
                  <c:v>128.55549926008001</c:v>
                </c:pt>
                <c:pt idx="59">
                  <c:v>103.917664075137</c:v>
                </c:pt>
                <c:pt idx="60">
                  <c:v>91.832036226133596</c:v>
                </c:pt>
                <c:pt idx="61">
                  <c:v>105.37119246280901</c:v>
                </c:pt>
                <c:pt idx="62">
                  <c:v>118.247332978207</c:v>
                </c:pt>
                <c:pt idx="63">
                  <c:v>118.896830569616</c:v>
                </c:pt>
                <c:pt idx="64">
                  <c:v>107.678218803593</c:v>
                </c:pt>
                <c:pt idx="65">
                  <c:v>120.97858513614899</c:v>
                </c:pt>
                <c:pt idx="66">
                  <c:v>181.225520240469</c:v>
                </c:pt>
                <c:pt idx="67">
                  <c:v>130.34227905274199</c:v>
                </c:pt>
                <c:pt idx="68">
                  <c:v>129.485060011998</c:v>
                </c:pt>
                <c:pt idx="69">
                  <c:v>176.80227284675499</c:v>
                </c:pt>
                <c:pt idx="70">
                  <c:v>191.70726670954701</c:v>
                </c:pt>
                <c:pt idx="71">
                  <c:v>185.752385938701</c:v>
                </c:pt>
                <c:pt idx="72">
                  <c:v>205.099689372054</c:v>
                </c:pt>
                <c:pt idx="73">
                  <c:v>189.90947950710699</c:v>
                </c:pt>
                <c:pt idx="74">
                  <c:v>170.337866170665</c:v>
                </c:pt>
                <c:pt idx="75">
                  <c:v>185.86591210524301</c:v>
                </c:pt>
                <c:pt idx="76">
                  <c:v>163.71561107199699</c:v>
                </c:pt>
                <c:pt idx="77">
                  <c:v>115.075368310662</c:v>
                </c:pt>
                <c:pt idx="78">
                  <c:v>133.414689849692</c:v>
                </c:pt>
                <c:pt idx="79">
                  <c:v>201.832705117481</c:v>
                </c:pt>
                <c:pt idx="80">
                  <c:v>206.45957537983799</c:v>
                </c:pt>
                <c:pt idx="81">
                  <c:v>200.68662231398599</c:v>
                </c:pt>
                <c:pt idx="82">
                  <c:v>203.930427923731</c:v>
                </c:pt>
                <c:pt idx="83">
                  <c:v>199.73734460485099</c:v>
                </c:pt>
                <c:pt idx="84">
                  <c:v>205.39160145241701</c:v>
                </c:pt>
                <c:pt idx="85">
                  <c:v>86.465616540709505</c:v>
                </c:pt>
                <c:pt idx="86">
                  <c:v>105.462387067227</c:v>
                </c:pt>
                <c:pt idx="87">
                  <c:v>90.344784320501802</c:v>
                </c:pt>
                <c:pt idx="88">
                  <c:v>90.740330804697905</c:v>
                </c:pt>
                <c:pt idx="89">
                  <c:v>93.281940915831299</c:v>
                </c:pt>
                <c:pt idx="90">
                  <c:v>87.688917097743698</c:v>
                </c:pt>
                <c:pt idx="91">
                  <c:v>94.834297521696101</c:v>
                </c:pt>
                <c:pt idx="92">
                  <c:v>202.29903700726899</c:v>
                </c:pt>
                <c:pt idx="93">
                  <c:v>206.66156817592901</c:v>
                </c:pt>
                <c:pt idx="94">
                  <c:v>193.63654423072899</c:v>
                </c:pt>
                <c:pt idx="95">
                  <c:v>188.88309494381801</c:v>
                </c:pt>
                <c:pt idx="96">
                  <c:v>194.956079480971</c:v>
                </c:pt>
                <c:pt idx="97">
                  <c:v>199.73975955525</c:v>
                </c:pt>
                <c:pt idx="98">
                  <c:v>151.379446287164</c:v>
                </c:pt>
                <c:pt idx="99">
                  <c:v>207.07274154933199</c:v>
                </c:pt>
                <c:pt idx="100">
                  <c:v>205.63440205276899</c:v>
                </c:pt>
                <c:pt idx="101">
                  <c:v>162.874911306288</c:v>
                </c:pt>
                <c:pt idx="102">
                  <c:v>65.288350828340398</c:v>
                </c:pt>
                <c:pt idx="103">
                  <c:v>110.989671944878</c:v>
                </c:pt>
                <c:pt idx="104">
                  <c:v>123.56196783993801</c:v>
                </c:pt>
                <c:pt idx="105">
                  <c:v>96.125638327371405</c:v>
                </c:pt>
                <c:pt idx="106">
                  <c:v>93.348206307131406</c:v>
                </c:pt>
                <c:pt idx="107">
                  <c:v>145.91379432392401</c:v>
                </c:pt>
                <c:pt idx="108">
                  <c:v>129.84856223791601</c:v>
                </c:pt>
                <c:pt idx="109">
                  <c:v>121.720471473396</c:v>
                </c:pt>
                <c:pt idx="110">
                  <c:v>103.18220827109199</c:v>
                </c:pt>
                <c:pt idx="111">
                  <c:v>113.921808017733</c:v>
                </c:pt>
                <c:pt idx="112">
                  <c:v>95.838155387654396</c:v>
                </c:pt>
                <c:pt idx="113">
                  <c:v>97.119422231049796</c:v>
                </c:pt>
                <c:pt idx="114">
                  <c:v>95.375570443470195</c:v>
                </c:pt>
                <c:pt idx="115">
                  <c:v>119.925047733233</c:v>
                </c:pt>
                <c:pt idx="116">
                  <c:v>101.780810076794</c:v>
                </c:pt>
                <c:pt idx="117">
                  <c:v>94.305911744129602</c:v>
                </c:pt>
                <c:pt idx="118">
                  <c:v>118.697579641902</c:v>
                </c:pt>
                <c:pt idx="119">
                  <c:v>100.400540835017</c:v>
                </c:pt>
                <c:pt idx="120">
                  <c:v>91.103957392332006</c:v>
                </c:pt>
                <c:pt idx="121">
                  <c:v>69.831979947486303</c:v>
                </c:pt>
                <c:pt idx="122">
                  <c:v>92.501484078153595</c:v>
                </c:pt>
                <c:pt idx="123">
                  <c:v>84.696462306069506</c:v>
                </c:pt>
                <c:pt idx="124">
                  <c:v>111.110373241536</c:v>
                </c:pt>
                <c:pt idx="125">
                  <c:v>71.052160347418294</c:v>
                </c:pt>
                <c:pt idx="126">
                  <c:v>144.65042948137099</c:v>
                </c:pt>
                <c:pt idx="127">
                  <c:v>128.36727848917801</c:v>
                </c:pt>
                <c:pt idx="128">
                  <c:v>164.05654122348699</c:v>
                </c:pt>
                <c:pt idx="129">
                  <c:v>96.391632827458693</c:v>
                </c:pt>
                <c:pt idx="130">
                  <c:v>155.73004518020599</c:v>
                </c:pt>
                <c:pt idx="131">
                  <c:v>102.67786577771</c:v>
                </c:pt>
                <c:pt idx="132">
                  <c:v>131.55163939072699</c:v>
                </c:pt>
                <c:pt idx="133">
                  <c:v>108.080065505364</c:v>
                </c:pt>
                <c:pt idx="134">
                  <c:v>92.747878844059898</c:v>
                </c:pt>
                <c:pt idx="135">
                  <c:v>75.566661507537006</c:v>
                </c:pt>
                <c:pt idx="136">
                  <c:v>126.29995302019</c:v>
                </c:pt>
                <c:pt idx="137">
                  <c:v>131.63661568765301</c:v>
                </c:pt>
                <c:pt idx="138">
                  <c:v>114.515873362574</c:v>
                </c:pt>
                <c:pt idx="139">
                  <c:v>72.212224353360099</c:v>
                </c:pt>
                <c:pt idx="140">
                  <c:v>126.82011113906201</c:v>
                </c:pt>
                <c:pt idx="141">
                  <c:v>133.36294630503801</c:v>
                </c:pt>
                <c:pt idx="142">
                  <c:v>110.2229396452</c:v>
                </c:pt>
                <c:pt idx="143">
                  <c:v>107.377251091171</c:v>
                </c:pt>
                <c:pt idx="144">
                  <c:v>112.44224447679299</c:v>
                </c:pt>
                <c:pt idx="145">
                  <c:v>113.24063660255</c:v>
                </c:pt>
                <c:pt idx="146">
                  <c:v>102.206454137145</c:v>
                </c:pt>
                <c:pt idx="147">
                  <c:v>92.024786904010199</c:v>
                </c:pt>
                <c:pt idx="148">
                  <c:v>94.836902727148498</c:v>
                </c:pt>
                <c:pt idx="149">
                  <c:v>149.88714818720101</c:v>
                </c:pt>
                <c:pt idx="150">
                  <c:v>104.201352820021</c:v>
                </c:pt>
                <c:pt idx="151">
                  <c:v>112.732939919066</c:v>
                </c:pt>
                <c:pt idx="152">
                  <c:v>111.50070449357101</c:v>
                </c:pt>
                <c:pt idx="153">
                  <c:v>113.485719535233</c:v>
                </c:pt>
                <c:pt idx="154">
                  <c:v>90.884360562374994</c:v>
                </c:pt>
                <c:pt idx="155">
                  <c:v>97.927947919338095</c:v>
                </c:pt>
                <c:pt idx="156">
                  <c:v>98.643366868618102</c:v>
                </c:pt>
                <c:pt idx="157">
                  <c:v>79.659936607378697</c:v>
                </c:pt>
                <c:pt idx="158">
                  <c:v>104.79081198882299</c:v>
                </c:pt>
                <c:pt idx="159">
                  <c:v>102.146287909929</c:v>
                </c:pt>
                <c:pt idx="160">
                  <c:v>114.96980686721901</c:v>
                </c:pt>
                <c:pt idx="161">
                  <c:v>105.077058453007</c:v>
                </c:pt>
                <c:pt idx="162">
                  <c:v>102.864054437135</c:v>
                </c:pt>
                <c:pt idx="163">
                  <c:v>107.470549604347</c:v>
                </c:pt>
                <c:pt idx="164">
                  <c:v>146.92862577202001</c:v>
                </c:pt>
                <c:pt idx="165">
                  <c:v>97.512945941390996</c:v>
                </c:pt>
                <c:pt idx="166">
                  <c:v>103.47673011019801</c:v>
                </c:pt>
                <c:pt idx="167">
                  <c:v>118.44372876520001</c:v>
                </c:pt>
                <c:pt idx="168">
                  <c:v>94.026774547745205</c:v>
                </c:pt>
                <c:pt idx="169">
                  <c:v>107.774944278668</c:v>
                </c:pt>
                <c:pt idx="170">
                  <c:v>109.754332555977</c:v>
                </c:pt>
                <c:pt idx="171">
                  <c:v>124.61535235924001</c:v>
                </c:pt>
                <c:pt idx="172">
                  <c:v>103.73233528301699</c:v>
                </c:pt>
                <c:pt idx="173">
                  <c:v>136.97980454772099</c:v>
                </c:pt>
                <c:pt idx="174">
                  <c:v>119.936356906363</c:v>
                </c:pt>
                <c:pt idx="176">
                  <c:v>172.54074404126001</c:v>
                </c:pt>
                <c:pt idx="177">
                  <c:v>368.23134374650198</c:v>
                </c:pt>
                <c:pt idx="178">
                  <c:v>278.787614676629</c:v>
                </c:pt>
                <c:pt idx="179">
                  <c:v>236.85268214316</c:v>
                </c:pt>
                <c:pt idx="180">
                  <c:v>236.18647476123201</c:v>
                </c:pt>
                <c:pt idx="181">
                  <c:v>245.39768129605301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'20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Elky'!$F$38:$F$500</c:f>
              <c:numCache>
                <c:formatCode>General</c:formatCode>
                <c:ptCount val="463"/>
                <c:pt idx="175">
                  <c:v>107.879193008299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'20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'20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'20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'20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'20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'20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'20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'20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'20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</c:numCache>
            </c:numRef>
          </c:xVal>
          <c:yVal>
            <c:numRef>
              <c:f>'20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E34" zoomScale="70" zoomScaleNormal="70" workbookViewId="0">
      <selection activeCell="G8" sqref="G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4"/>
  <sheetViews>
    <sheetView tabSelected="1" topLeftCell="D34" zoomScale="80" zoomScaleNormal="80" workbookViewId="0">
      <selection activeCell="Q37" sqref="Q37:T39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x14ac:dyDescent="0.25">
      <c r="A38" s="21">
        <f>E38/D38-1</f>
        <v>4.734627458452012E-2</v>
      </c>
      <c r="B38" t="s">
        <v>36</v>
      </c>
      <c r="C38" s="21" t="str">
        <f>IF(OR(A38&gt;=20%,A38&lt;=-20%),"B","A")</f>
        <v>A</v>
      </c>
      <c r="D38">
        <v>92.5</v>
      </c>
      <c r="E38">
        <v>96.879530399068102</v>
      </c>
      <c r="F38"/>
      <c r="G38" t="str">
        <f>IF(C38="A","",IF(C38="B","",IF(C38="C",E38,"error")))</f>
        <v/>
      </c>
      <c r="Q38" s="27" t="s">
        <v>67</v>
      </c>
      <c r="R38" s="23">
        <f>COUNTIF(C38:C294,"A")</f>
        <v>118</v>
      </c>
      <c r="S38" s="23">
        <f>COUNTIF(C38:C294,"B")</f>
        <v>63</v>
      </c>
      <c r="T38" s="23">
        <f>COUNT(D38:D294)</f>
        <v>182</v>
      </c>
    </row>
    <row r="39" spans="1:20" ht="17.25" thickBot="1" x14ac:dyDescent="0.3">
      <c r="A39" s="21">
        <f t="shared" ref="A39:A102" si="0">E39/D39-1</f>
        <v>-0.36730240590079366</v>
      </c>
      <c r="B39" t="s">
        <v>36</v>
      </c>
      <c r="C39" s="21" t="str">
        <f t="shared" ref="C39:C102" si="1">IF(OR(A39&gt;=20%,A39&lt;=-20%),"B","A")</f>
        <v>B</v>
      </c>
      <c r="D39">
        <v>191.5</v>
      </c>
      <c r="E39">
        <v>121.161589269998</v>
      </c>
      <c r="F39"/>
      <c r="G39" t="str">
        <f t="shared" ref="G39:G102" si="2">IF(C39="A","",IF(C39="B","",IF(C39="C",E39,"error")))</f>
        <v/>
      </c>
      <c r="Q39" s="28" t="s">
        <v>68</v>
      </c>
      <c r="R39" s="30">
        <f>R38/T38</f>
        <v>0.64835164835164838</v>
      </c>
      <c r="S39" s="30">
        <f>S38/T38</f>
        <v>0.34615384615384615</v>
      </c>
      <c r="T39" s="29">
        <f>R39+S39</f>
        <v>0.99450549450549453</v>
      </c>
    </row>
    <row r="40" spans="1:20" x14ac:dyDescent="0.25">
      <c r="A40" s="21">
        <f t="shared" si="0"/>
        <v>-0.1928377243899867</v>
      </c>
      <c r="B40" t="s">
        <v>36</v>
      </c>
      <c r="C40" s="21" t="str">
        <f t="shared" si="1"/>
        <v>A</v>
      </c>
      <c r="D40">
        <v>151</v>
      </c>
      <c r="E40">
        <v>121.881503617112</v>
      </c>
      <c r="F40"/>
      <c r="G40" t="str">
        <f t="shared" si="2"/>
        <v/>
      </c>
      <c r="Q40" s="21"/>
      <c r="R40" s="21"/>
    </row>
    <row r="41" spans="1:20" x14ac:dyDescent="0.25">
      <c r="A41" s="21">
        <f t="shared" si="0"/>
        <v>0.16483181140155323</v>
      </c>
      <c r="B41" t="s">
        <v>36</v>
      </c>
      <c r="C41" s="21" t="str">
        <f t="shared" si="1"/>
        <v>A</v>
      </c>
      <c r="D41">
        <v>94</v>
      </c>
      <c r="E41">
        <v>109.49419027174601</v>
      </c>
      <c r="F41"/>
      <c r="G41" t="str">
        <f t="shared" si="2"/>
        <v/>
      </c>
      <c r="Q41" s="21"/>
      <c r="R41" s="21"/>
    </row>
    <row r="42" spans="1:20" x14ac:dyDescent="0.25">
      <c r="A42" s="21">
        <f t="shared" si="0"/>
        <v>-0.24107700858883796</v>
      </c>
      <c r="B42" t="s">
        <v>36</v>
      </c>
      <c r="C42" s="21" t="str">
        <f t="shared" si="1"/>
        <v>B</v>
      </c>
      <c r="D42">
        <v>124</v>
      </c>
      <c r="E42">
        <v>94.106450934984096</v>
      </c>
      <c r="F42"/>
      <c r="G42" t="str">
        <f t="shared" si="2"/>
        <v/>
      </c>
      <c r="Q42" s="21"/>
      <c r="R42" s="21"/>
    </row>
    <row r="43" spans="1:20" x14ac:dyDescent="0.25">
      <c r="A43" s="21">
        <f t="shared" si="0"/>
        <v>-0.1628845945181171</v>
      </c>
      <c r="B43" t="s">
        <v>36</v>
      </c>
      <c r="C43" s="21" t="str">
        <f t="shared" si="1"/>
        <v>A</v>
      </c>
      <c r="D43">
        <v>114.5</v>
      </c>
      <c r="E43">
        <v>95.849713927675595</v>
      </c>
      <c r="F43"/>
      <c r="G43" t="str">
        <f t="shared" si="2"/>
        <v/>
      </c>
      <c r="Q43" s="21"/>
      <c r="R43" s="21"/>
    </row>
    <row r="44" spans="1:20" x14ac:dyDescent="0.25">
      <c r="A44" s="21">
        <f t="shared" si="0"/>
        <v>-5.2420598395196638E-2</v>
      </c>
      <c r="B44" t="s">
        <v>36</v>
      </c>
      <c r="C44" s="21" t="str">
        <f t="shared" si="1"/>
        <v>A</v>
      </c>
      <c r="D44">
        <v>89.5</v>
      </c>
      <c r="E44">
        <v>84.808356443629904</v>
      </c>
      <c r="F44"/>
      <c r="G44" t="str">
        <f t="shared" si="2"/>
        <v/>
      </c>
      <c r="Q44" s="21"/>
      <c r="R44" s="21"/>
    </row>
    <row r="45" spans="1:20" x14ac:dyDescent="0.25">
      <c r="A45" s="21">
        <f t="shared" si="0"/>
        <v>-0.53183345728768061</v>
      </c>
      <c r="B45" t="s">
        <v>36</v>
      </c>
      <c r="C45" s="21" t="str">
        <f t="shared" si="1"/>
        <v>B</v>
      </c>
      <c r="D45">
        <v>204.5</v>
      </c>
      <c r="E45">
        <v>95.740057984669306</v>
      </c>
      <c r="F45"/>
      <c r="G45" t="str">
        <f t="shared" si="2"/>
        <v/>
      </c>
      <c r="Q45" s="21"/>
      <c r="R45" s="21"/>
    </row>
    <row r="46" spans="1:20" x14ac:dyDescent="0.25">
      <c r="A46" s="21">
        <f t="shared" si="0"/>
        <v>-0.52110241898428478</v>
      </c>
      <c r="B46" t="s">
        <v>36</v>
      </c>
      <c r="C46" s="21" t="str">
        <f t="shared" si="1"/>
        <v>B</v>
      </c>
      <c r="D46">
        <v>200.5</v>
      </c>
      <c r="E46">
        <v>96.018964993650897</v>
      </c>
      <c r="F46"/>
      <c r="G46" t="str">
        <f t="shared" si="2"/>
        <v/>
      </c>
      <c r="Q46" s="21"/>
      <c r="R46" s="21"/>
    </row>
    <row r="47" spans="1:20" x14ac:dyDescent="0.25">
      <c r="A47" s="21">
        <f t="shared" si="0"/>
        <v>0.20411050014462706</v>
      </c>
      <c r="B47" t="s">
        <v>43</v>
      </c>
      <c r="C47" s="21" t="str">
        <f t="shared" si="1"/>
        <v>B</v>
      </c>
      <c r="D47">
        <v>92.5</v>
      </c>
      <c r="E47">
        <v>111.380221263378</v>
      </c>
      <c r="F47"/>
      <c r="G47" t="str">
        <f t="shared" si="2"/>
        <v/>
      </c>
      <c r="Q47" s="21"/>
      <c r="R47" s="21"/>
    </row>
    <row r="48" spans="1:20" x14ac:dyDescent="0.25">
      <c r="A48" s="21">
        <f t="shared" si="0"/>
        <v>8.9739772432269049E-3</v>
      </c>
      <c r="B48" t="s">
        <v>43</v>
      </c>
      <c r="C48" s="21" t="str">
        <f t="shared" si="1"/>
        <v>A</v>
      </c>
      <c r="D48">
        <v>96.5</v>
      </c>
      <c r="E48">
        <v>97.365988803971405</v>
      </c>
      <c r="F48"/>
      <c r="G48" t="str">
        <f t="shared" si="2"/>
        <v/>
      </c>
      <c r="Q48" s="21"/>
      <c r="R48" s="21"/>
    </row>
    <row r="49" spans="1:18" x14ac:dyDescent="0.25">
      <c r="A49" s="21">
        <f t="shared" si="0"/>
        <v>-0.13491263519624419</v>
      </c>
      <c r="B49" t="s">
        <v>43</v>
      </c>
      <c r="C49" s="21" t="str">
        <f t="shared" si="1"/>
        <v>A</v>
      </c>
      <c r="D49">
        <v>106.5</v>
      </c>
      <c r="E49">
        <v>92.131804351599996</v>
      </c>
      <c r="F49"/>
      <c r="G49" t="str">
        <f t="shared" si="2"/>
        <v/>
      </c>
      <c r="Q49" s="21"/>
      <c r="R49" s="21"/>
    </row>
    <row r="50" spans="1:18" x14ac:dyDescent="0.25">
      <c r="A50" s="21">
        <f t="shared" si="0"/>
        <v>-7.2268158102247182E-2</v>
      </c>
      <c r="B50" t="s">
        <v>43</v>
      </c>
      <c r="C50" s="21" t="str">
        <f t="shared" si="1"/>
        <v>A</v>
      </c>
      <c r="D50">
        <v>97.5</v>
      </c>
      <c r="E50">
        <v>90.453854585030896</v>
      </c>
      <c r="F50"/>
      <c r="G50" t="str">
        <f t="shared" si="2"/>
        <v/>
      </c>
      <c r="Q50" s="21"/>
      <c r="R50" s="21"/>
    </row>
    <row r="51" spans="1:18" x14ac:dyDescent="0.25">
      <c r="A51" s="21">
        <f t="shared" si="0"/>
        <v>1.1919151136510875E-2</v>
      </c>
      <c r="B51" t="s">
        <v>43</v>
      </c>
      <c r="C51" s="21" t="str">
        <f t="shared" si="1"/>
        <v>A</v>
      </c>
      <c r="D51">
        <v>97.5</v>
      </c>
      <c r="E51">
        <v>98.662117235809802</v>
      </c>
      <c r="F51"/>
      <c r="G51" t="str">
        <f t="shared" si="2"/>
        <v/>
      </c>
      <c r="Q51" s="21"/>
      <c r="R51" s="21"/>
    </row>
    <row r="52" spans="1:18" x14ac:dyDescent="0.25">
      <c r="A52" s="21">
        <f t="shared" si="0"/>
        <v>-0.15201544220947283</v>
      </c>
      <c r="B52" t="s">
        <v>43</v>
      </c>
      <c r="C52" s="21" t="str">
        <f t="shared" si="1"/>
        <v>A</v>
      </c>
      <c r="D52">
        <v>97.5</v>
      </c>
      <c r="E52">
        <v>82.678494384576396</v>
      </c>
      <c r="F52"/>
      <c r="G52" t="str">
        <f t="shared" si="2"/>
        <v/>
      </c>
      <c r="Q52" s="21"/>
      <c r="R52" s="21"/>
    </row>
    <row r="53" spans="1:18" x14ac:dyDescent="0.25">
      <c r="A53" s="21">
        <f t="shared" si="0"/>
        <v>-1.6704546741950765E-2</v>
      </c>
      <c r="B53" t="s">
        <v>43</v>
      </c>
      <c r="C53" s="21" t="str">
        <f t="shared" si="1"/>
        <v>A</v>
      </c>
      <c r="D53">
        <v>97.5</v>
      </c>
      <c r="E53">
        <v>95.8713066926598</v>
      </c>
      <c r="F53"/>
      <c r="G53" t="str">
        <f t="shared" si="2"/>
        <v/>
      </c>
      <c r="Q53" s="21"/>
      <c r="R53" s="21"/>
    </row>
    <row r="54" spans="1:18" x14ac:dyDescent="0.25">
      <c r="A54" s="21">
        <f t="shared" si="0"/>
        <v>-0.20249228189567681</v>
      </c>
      <c r="B54" t="s">
        <v>43</v>
      </c>
      <c r="C54" s="21" t="str">
        <f t="shared" si="1"/>
        <v>B</v>
      </c>
      <c r="D54">
        <v>95</v>
      </c>
      <c r="E54">
        <v>75.763233219910703</v>
      </c>
      <c r="F54"/>
      <c r="G54" t="str">
        <f t="shared" si="2"/>
        <v/>
      </c>
      <c r="Q54" s="21"/>
      <c r="R54" s="21"/>
    </row>
    <row r="55" spans="1:18" x14ac:dyDescent="0.25">
      <c r="A55" s="21">
        <f t="shared" si="0"/>
        <v>-0.27958863711903514</v>
      </c>
      <c r="B55" t="s">
        <v>43</v>
      </c>
      <c r="C55" s="21" t="str">
        <f t="shared" si="1"/>
        <v>B</v>
      </c>
      <c r="D55">
        <v>142</v>
      </c>
      <c r="E55">
        <v>102.298413529097</v>
      </c>
      <c r="F55"/>
      <c r="G55" t="str">
        <f t="shared" si="2"/>
        <v/>
      </c>
      <c r="Q55" s="21"/>
      <c r="R55" s="21"/>
    </row>
    <row r="56" spans="1:18" x14ac:dyDescent="0.25">
      <c r="A56" s="21">
        <f t="shared" si="0"/>
        <v>-0.23112417814421127</v>
      </c>
      <c r="B56" t="s">
        <v>43</v>
      </c>
      <c r="C56" s="21" t="str">
        <f t="shared" si="1"/>
        <v>B</v>
      </c>
      <c r="D56">
        <v>124.5</v>
      </c>
      <c r="E56">
        <v>95.725039821045698</v>
      </c>
      <c r="F56"/>
      <c r="G56" t="str">
        <f t="shared" si="2"/>
        <v/>
      </c>
      <c r="Q56" s="21"/>
      <c r="R56" s="21"/>
    </row>
    <row r="57" spans="1:18" x14ac:dyDescent="0.25">
      <c r="A57" s="21">
        <f t="shared" si="0"/>
        <v>-0.21007259210840423</v>
      </c>
      <c r="B57" t="s">
        <v>43</v>
      </c>
      <c r="C57" s="21" t="str">
        <f t="shared" si="1"/>
        <v>B</v>
      </c>
      <c r="D57">
        <v>118.5</v>
      </c>
      <c r="E57">
        <v>93.606397835154098</v>
      </c>
      <c r="F57"/>
      <c r="G57" t="str">
        <f t="shared" si="2"/>
        <v/>
      </c>
      <c r="Q57" s="21"/>
      <c r="R57" s="21"/>
    </row>
    <row r="58" spans="1:18" x14ac:dyDescent="0.25">
      <c r="A58" s="21">
        <f t="shared" si="0"/>
        <v>7.8271791977744476E-2</v>
      </c>
      <c r="B58" t="s">
        <v>44</v>
      </c>
      <c r="C58" s="21" t="str">
        <f t="shared" si="1"/>
        <v>A</v>
      </c>
      <c r="D58">
        <v>90</v>
      </c>
      <c r="E58">
        <v>97.044461277997002</v>
      </c>
      <c r="F58"/>
      <c r="G58" t="str">
        <f t="shared" si="2"/>
        <v/>
      </c>
      <c r="Q58" s="21"/>
      <c r="R58" s="21"/>
    </row>
    <row r="59" spans="1:18" x14ac:dyDescent="0.25">
      <c r="A59" s="21">
        <f t="shared" si="0"/>
        <v>-0.2453967360970255</v>
      </c>
      <c r="B59" t="s">
        <v>44</v>
      </c>
      <c r="C59" s="21" t="str">
        <f t="shared" si="1"/>
        <v>B</v>
      </c>
      <c r="D59">
        <v>137.5</v>
      </c>
      <c r="E59">
        <v>103.757948786659</v>
      </c>
      <c r="F59"/>
      <c r="G59" t="str">
        <f t="shared" si="2"/>
        <v/>
      </c>
      <c r="Q59" s="21"/>
      <c r="R59" s="21"/>
    </row>
    <row r="60" spans="1:18" x14ac:dyDescent="0.25">
      <c r="A60" s="21">
        <f t="shared" si="0"/>
        <v>-0.23159046487417467</v>
      </c>
      <c r="B60" t="s">
        <v>44</v>
      </c>
      <c r="C60" s="21" t="str">
        <f t="shared" si="1"/>
        <v>B</v>
      </c>
      <c r="D60">
        <v>106.5</v>
      </c>
      <c r="E60">
        <v>81.835615490900395</v>
      </c>
      <c r="F60"/>
      <c r="G60" t="str">
        <f t="shared" si="2"/>
        <v/>
      </c>
      <c r="Q60" s="21"/>
      <c r="R60" s="21"/>
    </row>
    <row r="61" spans="1:18" x14ac:dyDescent="0.25">
      <c r="A61" s="21">
        <f t="shared" si="0"/>
        <v>-0.16095806061072482</v>
      </c>
      <c r="B61" t="s">
        <v>44</v>
      </c>
      <c r="C61" s="21" t="str">
        <f t="shared" si="1"/>
        <v>A</v>
      </c>
      <c r="D61">
        <v>101</v>
      </c>
      <c r="E61">
        <v>84.743235878316796</v>
      </c>
      <c r="F61"/>
      <c r="G61" t="str">
        <f t="shared" si="2"/>
        <v/>
      </c>
      <c r="Q61" s="21"/>
      <c r="R61" s="21"/>
    </row>
    <row r="62" spans="1:18" x14ac:dyDescent="0.25">
      <c r="A62" s="21">
        <f t="shared" si="0"/>
        <v>-0.11554561513261319</v>
      </c>
      <c r="B62" t="s">
        <v>45</v>
      </c>
      <c r="C62" s="21" t="str">
        <f t="shared" si="1"/>
        <v>A</v>
      </c>
      <c r="D62">
        <v>212</v>
      </c>
      <c r="E62">
        <v>187.50432959188601</v>
      </c>
      <c r="F62"/>
      <c r="G62" t="str">
        <f t="shared" si="2"/>
        <v/>
      </c>
      <c r="H62"/>
      <c r="Q62" s="21"/>
      <c r="R62" s="21"/>
    </row>
    <row r="63" spans="1:18" x14ac:dyDescent="0.25">
      <c r="A63" s="21">
        <f t="shared" si="0"/>
        <v>-0.28999458217006979</v>
      </c>
      <c r="B63" t="s">
        <v>45</v>
      </c>
      <c r="C63" s="21" t="str">
        <f t="shared" si="1"/>
        <v>B</v>
      </c>
      <c r="D63">
        <v>258</v>
      </c>
      <c r="E63">
        <v>183.181397800122</v>
      </c>
      <c r="F63"/>
      <c r="G63" t="str">
        <f t="shared" si="2"/>
        <v/>
      </c>
      <c r="H63"/>
      <c r="Q63" s="21"/>
      <c r="R63" s="21"/>
    </row>
    <row r="64" spans="1:18" x14ac:dyDescent="0.25">
      <c r="A64" s="21">
        <f t="shared" si="0"/>
        <v>-0.31813668655765825</v>
      </c>
      <c r="B64" t="s">
        <v>45</v>
      </c>
      <c r="C64" s="21" t="str">
        <f t="shared" si="1"/>
        <v>B</v>
      </c>
      <c r="D64">
        <v>257.5</v>
      </c>
      <c r="E64">
        <v>175.579803211403</v>
      </c>
      <c r="F64"/>
      <c r="G64" t="str">
        <f t="shared" si="2"/>
        <v/>
      </c>
      <c r="H64"/>
      <c r="Q64" s="21"/>
      <c r="R64" s="21"/>
    </row>
    <row r="65" spans="1:18" x14ac:dyDescent="0.25">
      <c r="A65" s="21">
        <f t="shared" si="0"/>
        <v>-0.10945029267429829</v>
      </c>
      <c r="B65" t="s">
        <v>45</v>
      </c>
      <c r="C65" s="21" t="str">
        <f t="shared" si="1"/>
        <v>A</v>
      </c>
      <c r="D65">
        <v>204.5</v>
      </c>
      <c r="E65">
        <v>182.11741514810601</v>
      </c>
      <c r="F65"/>
      <c r="G65" t="str">
        <f t="shared" si="2"/>
        <v/>
      </c>
      <c r="H65"/>
      <c r="Q65" s="21"/>
      <c r="R65" s="21"/>
    </row>
    <row r="66" spans="1:18" x14ac:dyDescent="0.25">
      <c r="A66" s="21">
        <f t="shared" si="0"/>
        <v>-4.1837128083448971E-2</v>
      </c>
      <c r="B66" t="s">
        <v>45</v>
      </c>
      <c r="C66" s="21" t="str">
        <f t="shared" si="1"/>
        <v>A</v>
      </c>
      <c r="D66">
        <v>383</v>
      </c>
      <c r="E66">
        <v>366.97637994403902</v>
      </c>
      <c r="F66"/>
      <c r="G66" t="str">
        <f t="shared" si="2"/>
        <v/>
      </c>
      <c r="H66"/>
      <c r="Q66" s="21"/>
      <c r="R66" s="21"/>
    </row>
    <row r="67" spans="1:18" x14ac:dyDescent="0.25">
      <c r="A67" s="21">
        <f t="shared" si="0"/>
        <v>-6.1478984059550212E-2</v>
      </c>
      <c r="B67" t="s">
        <v>46</v>
      </c>
      <c r="C67" s="21" t="str">
        <f t="shared" si="1"/>
        <v>A</v>
      </c>
      <c r="D67">
        <v>96.5</v>
      </c>
      <c r="E67">
        <v>90.567278038253406</v>
      </c>
      <c r="F67"/>
      <c r="G67" t="str">
        <f t="shared" si="2"/>
        <v/>
      </c>
      <c r="I67"/>
      <c r="Q67" s="21"/>
      <c r="R67" s="21"/>
    </row>
    <row r="68" spans="1:18" x14ac:dyDescent="0.25">
      <c r="A68" s="21">
        <f t="shared" si="0"/>
        <v>-0.10022289348763513</v>
      </c>
      <c r="B68" t="s">
        <v>46</v>
      </c>
      <c r="C68" s="21" t="str">
        <f t="shared" si="1"/>
        <v>A</v>
      </c>
      <c r="D68">
        <v>153.5</v>
      </c>
      <c r="E68">
        <v>138.11578584964801</v>
      </c>
      <c r="F68"/>
      <c r="G68" t="str">
        <f t="shared" si="2"/>
        <v/>
      </c>
      <c r="I68"/>
      <c r="Q68" s="21"/>
      <c r="R68" s="21"/>
    </row>
    <row r="69" spans="1:18" x14ac:dyDescent="0.25">
      <c r="A69" s="21">
        <f t="shared" si="0"/>
        <v>-0.15843241244280459</v>
      </c>
      <c r="B69" t="s">
        <v>46</v>
      </c>
      <c r="C69" s="21" t="str">
        <f t="shared" si="1"/>
        <v>A</v>
      </c>
      <c r="D69">
        <v>130.5</v>
      </c>
      <c r="E69">
        <v>109.824570176214</v>
      </c>
      <c r="F69"/>
      <c r="G69" t="str">
        <f t="shared" si="2"/>
        <v/>
      </c>
      <c r="I69"/>
      <c r="Q69" s="21"/>
      <c r="R69" s="21"/>
    </row>
    <row r="70" spans="1:18" x14ac:dyDescent="0.25">
      <c r="A70" s="21">
        <f t="shared" si="0"/>
        <v>-0.18051967742081609</v>
      </c>
      <c r="B70" t="s">
        <v>46</v>
      </c>
      <c r="C70" s="21" t="str">
        <f t="shared" si="1"/>
        <v>A</v>
      </c>
      <c r="D70">
        <v>136</v>
      </c>
      <c r="E70">
        <v>111.44932387076901</v>
      </c>
      <c r="F70"/>
      <c r="G70" t="str">
        <f t="shared" si="2"/>
        <v/>
      </c>
      <c r="I70"/>
      <c r="Q70" s="21"/>
      <c r="R70" s="21"/>
    </row>
    <row r="71" spans="1:18" x14ac:dyDescent="0.25">
      <c r="A71" s="21">
        <f t="shared" si="0"/>
        <v>-0.10934112907982707</v>
      </c>
      <c r="B71" t="s">
        <v>46</v>
      </c>
      <c r="C71" s="21" t="str">
        <f t="shared" si="1"/>
        <v>A</v>
      </c>
      <c r="D71">
        <v>111</v>
      </c>
      <c r="E71">
        <v>98.863134672139196</v>
      </c>
      <c r="F71"/>
      <c r="G71" t="str">
        <f t="shared" si="2"/>
        <v/>
      </c>
      <c r="I71"/>
      <c r="Q71" s="21"/>
      <c r="R71" s="21"/>
    </row>
    <row r="72" spans="1:18" x14ac:dyDescent="0.25">
      <c r="A72" s="21">
        <f t="shared" si="0"/>
        <v>-9.1165820071118175E-2</v>
      </c>
      <c r="B72" t="s">
        <v>46</v>
      </c>
      <c r="C72" s="21" t="str">
        <f t="shared" si="1"/>
        <v>A</v>
      </c>
      <c r="D72">
        <v>156.5</v>
      </c>
      <c r="E72">
        <v>142.23254915887</v>
      </c>
      <c r="F72"/>
      <c r="G72" t="str">
        <f t="shared" si="2"/>
        <v/>
      </c>
      <c r="I72"/>
      <c r="Q72" s="21"/>
      <c r="R72" s="21"/>
    </row>
    <row r="73" spans="1:18" x14ac:dyDescent="0.25">
      <c r="A73" s="21">
        <f t="shared" si="0"/>
        <v>0.49690495232088083</v>
      </c>
      <c r="B73" t="s">
        <v>46</v>
      </c>
      <c r="C73" s="21" t="str">
        <f t="shared" si="1"/>
        <v>B</v>
      </c>
      <c r="D73">
        <v>109</v>
      </c>
      <c r="E73">
        <v>163.162639802976</v>
      </c>
      <c r="F73"/>
      <c r="G73" t="str">
        <f t="shared" si="2"/>
        <v/>
      </c>
      <c r="I73"/>
      <c r="Q73" s="21"/>
      <c r="R73" s="21"/>
    </row>
    <row r="74" spans="1:18" x14ac:dyDescent="0.25">
      <c r="A74" s="21">
        <f t="shared" si="0"/>
        <v>-2.9975274609250091E-2</v>
      </c>
      <c r="B74" t="s">
        <v>46</v>
      </c>
      <c r="C74" s="21" t="str">
        <f t="shared" si="1"/>
        <v>A</v>
      </c>
      <c r="D74">
        <v>112</v>
      </c>
      <c r="E74">
        <v>108.64276924376399</v>
      </c>
      <c r="F74"/>
      <c r="G74" t="str">
        <f t="shared" si="2"/>
        <v/>
      </c>
      <c r="I74"/>
      <c r="Q74" s="21"/>
      <c r="R74" s="21"/>
    </row>
    <row r="75" spans="1:18" x14ac:dyDescent="0.25">
      <c r="A75" s="21">
        <f t="shared" si="0"/>
        <v>2.3998791448236467E-3</v>
      </c>
      <c r="B75" t="s">
        <v>46</v>
      </c>
      <c r="C75" s="21" t="str">
        <f t="shared" si="1"/>
        <v>A</v>
      </c>
      <c r="D75">
        <v>93</v>
      </c>
      <c r="E75">
        <v>93.223188760468602</v>
      </c>
      <c r="F75"/>
      <c r="G75" t="str">
        <f t="shared" si="2"/>
        <v/>
      </c>
      <c r="I75"/>
      <c r="Q75" s="21"/>
      <c r="R75" s="21"/>
    </row>
    <row r="76" spans="1:18" x14ac:dyDescent="0.25">
      <c r="A76" s="21">
        <f t="shared" si="0"/>
        <v>-0.28542479654946795</v>
      </c>
      <c r="B76" t="s">
        <v>46</v>
      </c>
      <c r="C76" s="21" t="str">
        <f t="shared" si="1"/>
        <v>B</v>
      </c>
      <c r="D76">
        <v>163.5</v>
      </c>
      <c r="E76">
        <v>116.83304576416199</v>
      </c>
      <c r="F76"/>
      <c r="G76" t="str">
        <f t="shared" si="2"/>
        <v/>
      </c>
      <c r="I76"/>
      <c r="Q76" s="21"/>
      <c r="R76" s="21"/>
    </row>
    <row r="77" spans="1:18" x14ac:dyDescent="0.25">
      <c r="A77" s="21">
        <f t="shared" si="0"/>
        <v>5.6298503885514606E-2</v>
      </c>
      <c r="B77" t="s">
        <v>46</v>
      </c>
      <c r="C77" s="21" t="str">
        <f t="shared" si="1"/>
        <v>A</v>
      </c>
      <c r="D77">
        <v>136</v>
      </c>
      <c r="E77">
        <v>143.65659652842999</v>
      </c>
      <c r="F77"/>
      <c r="G77" t="str">
        <f t="shared" si="2"/>
        <v/>
      </c>
      <c r="I77"/>
      <c r="Q77" s="21"/>
      <c r="R77" s="21"/>
    </row>
    <row r="78" spans="1:18" x14ac:dyDescent="0.25">
      <c r="A78" s="21">
        <f t="shared" si="0"/>
        <v>-5.282981096052497E-2</v>
      </c>
      <c r="B78" t="s">
        <v>46</v>
      </c>
      <c r="C78" s="21" t="str">
        <f t="shared" si="1"/>
        <v>A</v>
      </c>
      <c r="D78">
        <v>120</v>
      </c>
      <c r="E78">
        <v>113.660422684737</v>
      </c>
      <c r="F78"/>
      <c r="G78" t="str">
        <f t="shared" si="2"/>
        <v/>
      </c>
      <c r="I78"/>
      <c r="Q78" s="21"/>
      <c r="R78" s="21"/>
    </row>
    <row r="79" spans="1:18" x14ac:dyDescent="0.25">
      <c r="A79" s="21">
        <f t="shared" si="0"/>
        <v>0.10161416364998366</v>
      </c>
      <c r="B79" t="s">
        <v>47</v>
      </c>
      <c r="C79" s="21" t="str">
        <f t="shared" si="1"/>
        <v>A</v>
      </c>
      <c r="D79">
        <v>184.5</v>
      </c>
      <c r="E79">
        <v>203.24781319342199</v>
      </c>
      <c r="F79"/>
      <c r="G79" t="str">
        <f t="shared" si="2"/>
        <v/>
      </c>
      <c r="J79"/>
      <c r="Q79" s="21"/>
      <c r="R79" s="21"/>
    </row>
    <row r="80" spans="1:18" x14ac:dyDescent="0.25">
      <c r="A80" s="21">
        <f t="shared" si="0"/>
        <v>-1.0080481557025456E-3</v>
      </c>
      <c r="B80" t="s">
        <v>47</v>
      </c>
      <c r="C80" s="21" t="str">
        <f t="shared" si="1"/>
        <v>A</v>
      </c>
      <c r="D80">
        <v>195</v>
      </c>
      <c r="E80">
        <v>194.80343060963801</v>
      </c>
      <c r="F80"/>
      <c r="G80" t="str">
        <f t="shared" si="2"/>
        <v/>
      </c>
      <c r="J80"/>
      <c r="Q80" s="21"/>
      <c r="R80" s="21"/>
    </row>
    <row r="81" spans="1:18" x14ac:dyDescent="0.25">
      <c r="A81" s="21">
        <f t="shared" si="0"/>
        <v>-0.18436475581622325</v>
      </c>
      <c r="B81" t="s">
        <v>47</v>
      </c>
      <c r="C81" s="21" t="str">
        <f t="shared" si="1"/>
        <v>A</v>
      </c>
      <c r="D81">
        <v>224</v>
      </c>
      <c r="E81">
        <v>182.702294697166</v>
      </c>
      <c r="F81"/>
      <c r="G81" t="str">
        <f t="shared" si="2"/>
        <v/>
      </c>
      <c r="J81"/>
      <c r="Q81" s="21"/>
      <c r="R81" s="21"/>
    </row>
    <row r="82" spans="1:18" x14ac:dyDescent="0.25">
      <c r="A82" s="21">
        <f t="shared" si="0"/>
        <v>-0.16521767770498785</v>
      </c>
      <c r="B82" t="s">
        <v>47</v>
      </c>
      <c r="C82" s="21" t="str">
        <f t="shared" si="1"/>
        <v>A</v>
      </c>
      <c r="D82">
        <v>247</v>
      </c>
      <c r="E82">
        <v>206.191233606868</v>
      </c>
      <c r="F82"/>
      <c r="G82" t="str">
        <f t="shared" si="2"/>
        <v/>
      </c>
      <c r="J82"/>
      <c r="Q82" s="21"/>
      <c r="R82" s="21"/>
    </row>
    <row r="83" spans="1:18" x14ac:dyDescent="0.25">
      <c r="A83" s="21">
        <f t="shared" si="0"/>
        <v>0.38539367687728077</v>
      </c>
      <c r="B83" t="s">
        <v>47</v>
      </c>
      <c r="C83" s="21" t="str">
        <f t="shared" si="1"/>
        <v>B</v>
      </c>
      <c r="D83">
        <v>146</v>
      </c>
      <c r="E83">
        <v>202.26747682408299</v>
      </c>
      <c r="F83"/>
      <c r="G83" t="str">
        <f t="shared" si="2"/>
        <v/>
      </c>
      <c r="J83"/>
      <c r="Q83" s="21"/>
      <c r="R83" s="21"/>
    </row>
    <row r="84" spans="1:18" x14ac:dyDescent="0.25">
      <c r="A84" s="21">
        <f t="shared" si="0"/>
        <v>8.6792225265409861E-2</v>
      </c>
      <c r="B84" t="s">
        <v>47</v>
      </c>
      <c r="C84" s="21" t="str">
        <f t="shared" si="1"/>
        <v>A</v>
      </c>
      <c r="D84">
        <v>183</v>
      </c>
      <c r="E84">
        <v>198.88297722357001</v>
      </c>
      <c r="F84"/>
      <c r="G84" t="str">
        <f t="shared" si="2"/>
        <v/>
      </c>
      <c r="J84"/>
      <c r="Q84" s="21"/>
      <c r="R84" s="21"/>
    </row>
    <row r="85" spans="1:18" x14ac:dyDescent="0.25">
      <c r="A85" s="21">
        <f t="shared" si="0"/>
        <v>0.25018167901855981</v>
      </c>
      <c r="B85" t="s">
        <v>47</v>
      </c>
      <c r="C85" s="21" t="str">
        <f t="shared" si="1"/>
        <v>B</v>
      </c>
      <c r="D85">
        <v>159</v>
      </c>
      <c r="E85">
        <v>198.77888696395101</v>
      </c>
      <c r="F85"/>
      <c r="G85" t="str">
        <f t="shared" si="2"/>
        <v/>
      </c>
      <c r="J85"/>
      <c r="Q85" s="21"/>
      <c r="R85" s="21"/>
    </row>
    <row r="86" spans="1:18" x14ac:dyDescent="0.25">
      <c r="A86" s="21">
        <f t="shared" si="0"/>
        <v>-0.19339048261447678</v>
      </c>
      <c r="B86" t="s">
        <v>50</v>
      </c>
      <c r="C86" s="21" t="str">
        <f t="shared" si="1"/>
        <v>A</v>
      </c>
      <c r="D86">
        <v>99</v>
      </c>
      <c r="E86">
        <v>79.854342221166803</v>
      </c>
      <c r="F86"/>
      <c r="G86" t="str">
        <f t="shared" si="2"/>
        <v/>
      </c>
      <c r="K86"/>
      <c r="Q86" s="21"/>
      <c r="R86" s="21"/>
    </row>
    <row r="87" spans="1:18" x14ac:dyDescent="0.25">
      <c r="A87" s="21">
        <f t="shared" si="0"/>
        <v>6.1221482175000119E-4</v>
      </c>
      <c r="B87" t="s">
        <v>50</v>
      </c>
      <c r="C87" s="21" t="str">
        <f t="shared" si="1"/>
        <v>A</v>
      </c>
      <c r="D87">
        <v>140</v>
      </c>
      <c r="E87">
        <v>140.085710075045</v>
      </c>
      <c r="F87"/>
      <c r="G87" t="str">
        <f t="shared" si="2"/>
        <v/>
      </c>
      <c r="K87"/>
      <c r="Q87" s="21"/>
      <c r="R87" s="21"/>
    </row>
    <row r="88" spans="1:18" x14ac:dyDescent="0.25">
      <c r="A88" s="21">
        <f t="shared" si="0"/>
        <v>-0.20586262599827398</v>
      </c>
      <c r="B88" t="s">
        <v>50</v>
      </c>
      <c r="C88" s="21" t="str">
        <f t="shared" si="1"/>
        <v>B</v>
      </c>
      <c r="D88">
        <v>135</v>
      </c>
      <c r="E88">
        <v>107.20854549023301</v>
      </c>
      <c r="F88"/>
      <c r="G88" t="str">
        <f t="shared" si="2"/>
        <v/>
      </c>
      <c r="K88"/>
      <c r="Q88" s="21"/>
      <c r="R88" s="21"/>
    </row>
    <row r="89" spans="1:18" x14ac:dyDescent="0.25">
      <c r="A89" s="21">
        <f t="shared" si="0"/>
        <v>0.18347264725959178</v>
      </c>
      <c r="B89" t="s">
        <v>50</v>
      </c>
      <c r="C89" s="21" t="str">
        <f t="shared" si="1"/>
        <v>A</v>
      </c>
      <c r="D89">
        <v>98</v>
      </c>
      <c r="E89">
        <v>115.98031943143999</v>
      </c>
      <c r="F89"/>
      <c r="G89" t="str">
        <f t="shared" si="2"/>
        <v/>
      </c>
      <c r="K89"/>
      <c r="Q89" s="21"/>
      <c r="R89" s="21"/>
    </row>
    <row r="90" spans="1:18" x14ac:dyDescent="0.25">
      <c r="A90" s="21">
        <f t="shared" si="0"/>
        <v>-9.0362672443361269E-2</v>
      </c>
      <c r="B90" t="s">
        <v>50</v>
      </c>
      <c r="C90" s="21" t="str">
        <f t="shared" si="1"/>
        <v>A</v>
      </c>
      <c r="D90">
        <v>93</v>
      </c>
      <c r="E90">
        <v>84.596271462767405</v>
      </c>
      <c r="F90"/>
      <c r="G90" t="str">
        <f t="shared" si="2"/>
        <v/>
      </c>
      <c r="K90"/>
      <c r="Q90" s="21"/>
      <c r="R90" s="21"/>
    </row>
    <row r="91" spans="1:18" x14ac:dyDescent="0.25">
      <c r="A91" s="21">
        <f t="shared" si="0"/>
        <v>-0.22207961167675505</v>
      </c>
      <c r="B91" t="s">
        <v>50</v>
      </c>
      <c r="C91" s="21" t="str">
        <f t="shared" si="1"/>
        <v>B</v>
      </c>
      <c r="D91">
        <v>151</v>
      </c>
      <c r="E91">
        <v>117.46597863680999</v>
      </c>
      <c r="F91"/>
      <c r="G91" t="str">
        <f t="shared" si="2"/>
        <v/>
      </c>
      <c r="K91"/>
      <c r="Q91" s="21"/>
      <c r="R91" s="21"/>
    </row>
    <row r="92" spans="1:18" x14ac:dyDescent="0.25">
      <c r="A92" s="21">
        <f t="shared" si="0"/>
        <v>-0.14971395398977427</v>
      </c>
      <c r="B92" t="s">
        <v>50</v>
      </c>
      <c r="C92" s="21" t="str">
        <f t="shared" si="1"/>
        <v>A</v>
      </c>
      <c r="D92">
        <v>164</v>
      </c>
      <c r="E92">
        <v>139.44691154567701</v>
      </c>
      <c r="F92"/>
      <c r="G92" t="str">
        <f t="shared" si="2"/>
        <v/>
      </c>
      <c r="K92"/>
      <c r="Q92" s="21"/>
      <c r="R92" s="21"/>
    </row>
    <row r="93" spans="1:18" x14ac:dyDescent="0.25">
      <c r="A93" s="21">
        <f t="shared" si="0"/>
        <v>-0.19739495824179687</v>
      </c>
      <c r="B93" t="s">
        <v>50</v>
      </c>
      <c r="C93" s="21" t="str">
        <f t="shared" si="1"/>
        <v>A</v>
      </c>
      <c r="D93">
        <v>128</v>
      </c>
      <c r="E93">
        <v>102.73344534505</v>
      </c>
      <c r="F93"/>
      <c r="G93" t="str">
        <f t="shared" si="2"/>
        <v/>
      </c>
      <c r="K93"/>
      <c r="Q93" s="21"/>
      <c r="R93" s="21"/>
    </row>
    <row r="94" spans="1:18" x14ac:dyDescent="0.25">
      <c r="A94" s="21">
        <f t="shared" si="0"/>
        <v>0.24867312801887143</v>
      </c>
      <c r="B94" t="s">
        <v>51</v>
      </c>
      <c r="C94" s="21" t="str">
        <f t="shared" si="1"/>
        <v>B</v>
      </c>
      <c r="D94">
        <v>77</v>
      </c>
      <c r="E94">
        <v>96.147830857453101</v>
      </c>
      <c r="F94"/>
      <c r="G94" t="str">
        <f t="shared" si="2"/>
        <v/>
      </c>
      <c r="L94"/>
      <c r="Q94" s="21"/>
      <c r="R94" s="21"/>
    </row>
    <row r="95" spans="1:18" x14ac:dyDescent="0.25">
      <c r="A95" s="21">
        <f t="shared" si="0"/>
        <v>-0.11359003557857894</v>
      </c>
      <c r="B95" t="s">
        <v>51</v>
      </c>
      <c r="C95" s="21" t="str">
        <f t="shared" si="1"/>
        <v>A</v>
      </c>
      <c r="D95">
        <v>133</v>
      </c>
      <c r="E95">
        <v>117.892525268049</v>
      </c>
      <c r="F95"/>
      <c r="G95" t="str">
        <f t="shared" si="2"/>
        <v/>
      </c>
      <c r="L95"/>
      <c r="Q95" s="21"/>
      <c r="R95" s="21"/>
    </row>
    <row r="96" spans="1:18" x14ac:dyDescent="0.25">
      <c r="A96" s="21">
        <f t="shared" si="0"/>
        <v>0.16868635690981826</v>
      </c>
      <c r="B96" t="s">
        <v>51</v>
      </c>
      <c r="C96" s="21" t="str">
        <f t="shared" si="1"/>
        <v>A</v>
      </c>
      <c r="D96">
        <v>110</v>
      </c>
      <c r="E96">
        <v>128.55549926008001</v>
      </c>
      <c r="F96"/>
      <c r="G96" t="str">
        <f t="shared" si="2"/>
        <v/>
      </c>
      <c r="L96"/>
      <c r="Q96" s="21"/>
      <c r="R96" s="21"/>
    </row>
    <row r="97" spans="1:18" x14ac:dyDescent="0.25">
      <c r="A97" s="21">
        <f t="shared" si="0"/>
        <v>1.880062818761763E-2</v>
      </c>
      <c r="B97" t="s">
        <v>51</v>
      </c>
      <c r="C97" s="21" t="str">
        <f t="shared" si="1"/>
        <v>A</v>
      </c>
      <c r="D97">
        <v>102</v>
      </c>
      <c r="E97">
        <v>103.917664075137</v>
      </c>
      <c r="F97"/>
      <c r="G97" t="str">
        <f t="shared" si="2"/>
        <v/>
      </c>
      <c r="L97"/>
      <c r="Q97" s="21"/>
      <c r="R97" s="21"/>
    </row>
    <row r="98" spans="1:18" x14ac:dyDescent="0.25">
      <c r="A98" s="21">
        <f t="shared" si="0"/>
        <v>0.16243083830548866</v>
      </c>
      <c r="B98" t="s">
        <v>51</v>
      </c>
      <c r="C98" s="21" t="str">
        <f t="shared" si="1"/>
        <v>A</v>
      </c>
      <c r="D98">
        <v>79</v>
      </c>
      <c r="E98">
        <v>91.832036226133596</v>
      </c>
      <c r="F98"/>
      <c r="G98" t="str">
        <f t="shared" si="2"/>
        <v/>
      </c>
      <c r="L98"/>
      <c r="Q98" s="21"/>
      <c r="R98" s="21"/>
    </row>
    <row r="99" spans="1:18" x14ac:dyDescent="0.25">
      <c r="A99" s="21">
        <f t="shared" si="0"/>
        <v>-0.3201858550786516</v>
      </c>
      <c r="B99" t="s">
        <v>51</v>
      </c>
      <c r="C99" s="21" t="str">
        <f t="shared" si="1"/>
        <v>B</v>
      </c>
      <c r="D99">
        <v>155</v>
      </c>
      <c r="E99">
        <v>105.37119246280901</v>
      </c>
      <c r="F99"/>
      <c r="G99" t="str">
        <f t="shared" si="2"/>
        <v/>
      </c>
      <c r="L99"/>
      <c r="Q99" s="21"/>
      <c r="R99" s="21"/>
    </row>
    <row r="100" spans="1:18" x14ac:dyDescent="0.25">
      <c r="A100" s="21">
        <f t="shared" si="0"/>
        <v>-0.25630608189806925</v>
      </c>
      <c r="B100" t="s">
        <v>51</v>
      </c>
      <c r="C100" s="21" t="str">
        <f t="shared" si="1"/>
        <v>B</v>
      </c>
      <c r="D100">
        <v>159</v>
      </c>
      <c r="E100">
        <v>118.247332978207</v>
      </c>
      <c r="F100"/>
      <c r="G100" t="str">
        <f t="shared" si="2"/>
        <v/>
      </c>
      <c r="L100"/>
      <c r="Q100" s="21"/>
      <c r="R100" s="21"/>
    </row>
    <row r="101" spans="1:18" x14ac:dyDescent="0.25">
      <c r="A101" s="21">
        <f t="shared" si="0"/>
        <v>4.2954654119438551E-2</v>
      </c>
      <c r="B101" t="s">
        <v>51</v>
      </c>
      <c r="C101" s="21" t="str">
        <f t="shared" si="1"/>
        <v>A</v>
      </c>
      <c r="D101">
        <v>114</v>
      </c>
      <c r="E101">
        <v>118.896830569616</v>
      </c>
      <c r="F101"/>
      <c r="G101" t="str">
        <f t="shared" si="2"/>
        <v/>
      </c>
      <c r="L101"/>
      <c r="Q101" s="21"/>
      <c r="R101" s="21"/>
    </row>
    <row r="102" spans="1:18" x14ac:dyDescent="0.25">
      <c r="A102" s="21">
        <f t="shared" si="0"/>
        <v>-0.20824839115005145</v>
      </c>
      <c r="B102" t="s">
        <v>52</v>
      </c>
      <c r="C102" s="21" t="str">
        <f t="shared" si="1"/>
        <v>B</v>
      </c>
      <c r="D102">
        <v>136</v>
      </c>
      <c r="E102">
        <v>107.678218803593</v>
      </c>
      <c r="F102"/>
      <c r="G102" t="str">
        <f t="shared" si="2"/>
        <v/>
      </c>
      <c r="L102"/>
      <c r="Q102" s="21"/>
      <c r="R102" s="21"/>
    </row>
    <row r="103" spans="1:18" x14ac:dyDescent="0.25">
      <c r="A103" s="21">
        <f t="shared" ref="A103:A166" si="3">E103/D103-1</f>
        <v>-3.2171318910808044E-2</v>
      </c>
      <c r="B103" t="s">
        <v>52</v>
      </c>
      <c r="C103" s="21" t="str">
        <f t="shared" ref="C103:C166" si="4">IF(OR(A103&gt;=20%,A103&lt;=-20%),"B","A")</f>
        <v>A</v>
      </c>
      <c r="D103">
        <v>125</v>
      </c>
      <c r="E103">
        <v>120.97858513614899</v>
      </c>
      <c r="F103"/>
      <c r="G103" t="str">
        <f t="shared" ref="G103:G166" si="5">IF(C103="A","",IF(C103="B","",IF(C103="C",E103,"error")))</f>
        <v/>
      </c>
      <c r="L103"/>
      <c r="Q103" s="21"/>
      <c r="R103" s="21"/>
    </row>
    <row r="104" spans="1:18" x14ac:dyDescent="0.25">
      <c r="A104" s="21">
        <f t="shared" si="3"/>
        <v>7.8723334764696506E-2</v>
      </c>
      <c r="B104" t="s">
        <v>52</v>
      </c>
      <c r="C104" s="21" t="str">
        <f t="shared" si="4"/>
        <v>A</v>
      </c>
      <c r="D104">
        <v>168</v>
      </c>
      <c r="E104">
        <v>181.225520240469</v>
      </c>
      <c r="F104"/>
      <c r="G104" t="str">
        <f t="shared" si="5"/>
        <v/>
      </c>
      <c r="L104"/>
      <c r="Q104" s="21"/>
      <c r="R104" s="21"/>
    </row>
    <row r="105" spans="1:18" x14ac:dyDescent="0.25">
      <c r="A105" s="21">
        <f t="shared" si="3"/>
        <v>-0.11930892531931092</v>
      </c>
      <c r="B105" t="s">
        <v>52</v>
      </c>
      <c r="C105" s="21" t="str">
        <f t="shared" si="4"/>
        <v>A</v>
      </c>
      <c r="D105">
        <v>148</v>
      </c>
      <c r="E105">
        <v>130.34227905274199</v>
      </c>
      <c r="F105"/>
      <c r="G105" t="str">
        <f t="shared" si="5"/>
        <v/>
      </c>
      <c r="L105"/>
      <c r="Q105" s="21"/>
      <c r="R105" s="21"/>
    </row>
    <row r="106" spans="1:18" x14ac:dyDescent="0.25">
      <c r="A106" s="21">
        <f t="shared" si="3"/>
        <v>-0.39492962611215887</v>
      </c>
      <c r="B106" t="s">
        <v>52</v>
      </c>
      <c r="C106" s="21" t="str">
        <f t="shared" si="4"/>
        <v>B</v>
      </c>
      <c r="D106">
        <v>214</v>
      </c>
      <c r="E106">
        <v>129.485060011998</v>
      </c>
      <c r="F106"/>
      <c r="G106" t="str">
        <f t="shared" si="5"/>
        <v/>
      </c>
      <c r="L106"/>
      <c r="Q106" s="21"/>
      <c r="R106" s="21"/>
    </row>
    <row r="107" spans="1:18" x14ac:dyDescent="0.25">
      <c r="A107" s="21">
        <f t="shared" si="3"/>
        <v>-9.7947587516556189E-2</v>
      </c>
      <c r="B107" t="s">
        <v>53</v>
      </c>
      <c r="C107" s="21" t="str">
        <f t="shared" si="4"/>
        <v>A</v>
      </c>
      <c r="D107">
        <v>196</v>
      </c>
      <c r="E107">
        <v>176.80227284675499</v>
      </c>
      <c r="F107"/>
      <c r="G107" t="str">
        <f t="shared" si="5"/>
        <v/>
      </c>
      <c r="L107"/>
      <c r="Q107" s="21"/>
      <c r="R107" s="21"/>
    </row>
    <row r="108" spans="1:18" x14ac:dyDescent="0.25">
      <c r="A108" s="21">
        <f t="shared" si="3"/>
        <v>-5.5629228031788158E-2</v>
      </c>
      <c r="B108" t="s">
        <v>53</v>
      </c>
      <c r="C108" s="21" t="str">
        <f t="shared" si="4"/>
        <v>A</v>
      </c>
      <c r="D108">
        <v>203</v>
      </c>
      <c r="E108">
        <v>191.70726670954701</v>
      </c>
      <c r="F108"/>
      <c r="G108" t="str">
        <f t="shared" si="5"/>
        <v/>
      </c>
      <c r="L108"/>
      <c r="Q108" s="21"/>
      <c r="R108" s="21"/>
    </row>
    <row r="109" spans="1:18" x14ac:dyDescent="0.25">
      <c r="A109" s="21">
        <f t="shared" si="3"/>
        <v>-0.33182594986078773</v>
      </c>
      <c r="B109" t="s">
        <v>53</v>
      </c>
      <c r="C109" s="21" t="str">
        <f t="shared" si="4"/>
        <v>B</v>
      </c>
      <c r="D109">
        <v>278</v>
      </c>
      <c r="E109">
        <v>185.752385938701</v>
      </c>
      <c r="F109"/>
      <c r="G109" t="str">
        <f t="shared" si="5"/>
        <v/>
      </c>
      <c r="L109"/>
      <c r="Q109" s="21"/>
      <c r="R109" s="21"/>
    </row>
    <row r="110" spans="1:18" x14ac:dyDescent="0.25">
      <c r="A110" s="21">
        <f t="shared" si="3"/>
        <v>-0.10043995889449997</v>
      </c>
      <c r="B110" t="s">
        <v>53</v>
      </c>
      <c r="C110" s="21" t="str">
        <f t="shared" si="4"/>
        <v>A</v>
      </c>
      <c r="D110">
        <v>228</v>
      </c>
      <c r="E110">
        <v>205.099689372054</v>
      </c>
      <c r="F110"/>
      <c r="G110" t="str">
        <f t="shared" si="5"/>
        <v/>
      </c>
      <c r="L110"/>
      <c r="Q110" s="21"/>
      <c r="R110" s="21"/>
    </row>
    <row r="111" spans="1:18" x14ac:dyDescent="0.25">
      <c r="A111" s="21">
        <f t="shared" si="3"/>
        <v>-2.6105233296887187E-2</v>
      </c>
      <c r="B111" t="s">
        <v>53</v>
      </c>
      <c r="C111" s="21" t="str">
        <f t="shared" si="4"/>
        <v>A</v>
      </c>
      <c r="D111">
        <v>195</v>
      </c>
      <c r="E111">
        <v>189.90947950710699</v>
      </c>
      <c r="F111"/>
      <c r="G111" t="str">
        <f t="shared" si="5"/>
        <v/>
      </c>
      <c r="L111"/>
      <c r="Q111" s="21"/>
      <c r="R111" s="21"/>
    </row>
    <row r="112" spans="1:18" x14ac:dyDescent="0.25">
      <c r="A112" s="21">
        <f t="shared" si="3"/>
        <v>-0.32805575475082838</v>
      </c>
      <c r="B112" t="s">
        <v>45</v>
      </c>
      <c r="C112" s="21" t="str">
        <f t="shared" si="4"/>
        <v>B</v>
      </c>
      <c r="D112">
        <v>253.5</v>
      </c>
      <c r="E112">
        <v>170.337866170665</v>
      </c>
      <c r="F112"/>
      <c r="G112" t="str">
        <f t="shared" si="5"/>
        <v/>
      </c>
      <c r="L112"/>
      <c r="Q112" s="21"/>
      <c r="R112" s="21"/>
    </row>
    <row r="113" spans="1:18" x14ac:dyDescent="0.25">
      <c r="A113" s="21">
        <f t="shared" si="3"/>
        <v>-0.23354263049384327</v>
      </c>
      <c r="B113" t="s">
        <v>45</v>
      </c>
      <c r="C113" s="21" t="str">
        <f t="shared" si="4"/>
        <v>B</v>
      </c>
      <c r="D113">
        <v>242.5</v>
      </c>
      <c r="E113">
        <v>185.86591210524301</v>
      </c>
      <c r="F113"/>
      <c r="G113" t="str">
        <f t="shared" si="5"/>
        <v/>
      </c>
      <c r="L113"/>
      <c r="Q113" s="21"/>
      <c r="R113" s="21"/>
    </row>
    <row r="114" spans="1:18" x14ac:dyDescent="0.25">
      <c r="A114" s="21">
        <f t="shared" si="3"/>
        <v>-0.3845277779248234</v>
      </c>
      <c r="B114" t="s">
        <v>45</v>
      </c>
      <c r="C114" s="21" t="str">
        <f t="shared" si="4"/>
        <v>B</v>
      </c>
      <c r="D114">
        <v>266</v>
      </c>
      <c r="E114">
        <v>163.71561107199699</v>
      </c>
      <c r="F114"/>
      <c r="G114" t="str">
        <f t="shared" si="5"/>
        <v/>
      </c>
      <c r="L114"/>
      <c r="Q114" s="21"/>
      <c r="R114" s="21"/>
    </row>
    <row r="115" spans="1:18" x14ac:dyDescent="0.25">
      <c r="A115" s="21">
        <f t="shared" si="3"/>
        <v>-0.46476572878761857</v>
      </c>
      <c r="B115" t="s">
        <v>45</v>
      </c>
      <c r="C115" s="21" t="str">
        <f t="shared" si="4"/>
        <v>B</v>
      </c>
      <c r="D115">
        <v>215</v>
      </c>
      <c r="E115">
        <v>115.075368310662</v>
      </c>
      <c r="F115"/>
      <c r="G115" t="str">
        <f t="shared" si="5"/>
        <v/>
      </c>
      <c r="L115"/>
      <c r="Q115" s="21"/>
      <c r="R115" s="21"/>
    </row>
    <row r="116" spans="1:18" x14ac:dyDescent="0.25">
      <c r="A116" s="21">
        <f t="shared" si="3"/>
        <v>-4.3622294984286714E-2</v>
      </c>
      <c r="B116" t="s">
        <v>45</v>
      </c>
      <c r="C116" s="21" t="str">
        <f t="shared" si="4"/>
        <v>A</v>
      </c>
      <c r="D116">
        <v>139.5</v>
      </c>
      <c r="E116">
        <v>133.414689849692</v>
      </c>
      <c r="F116"/>
      <c r="G116" t="str">
        <f t="shared" si="5"/>
        <v/>
      </c>
      <c r="L116"/>
      <c r="Q116" s="21"/>
      <c r="R116" s="21"/>
    </row>
    <row r="117" spans="1:18" x14ac:dyDescent="0.25">
      <c r="A117" s="21">
        <f t="shared" si="3"/>
        <v>7.9319278703106955E-2</v>
      </c>
      <c r="B117" t="s">
        <v>47</v>
      </c>
      <c r="C117" s="21" t="str">
        <f t="shared" si="4"/>
        <v>A</v>
      </c>
      <c r="D117">
        <v>187</v>
      </c>
      <c r="E117">
        <v>201.832705117481</v>
      </c>
      <c r="F117"/>
      <c r="G117" t="str">
        <f t="shared" si="5"/>
        <v/>
      </c>
      <c r="L117"/>
      <c r="Q117" s="21"/>
      <c r="R117" s="21"/>
    </row>
    <row r="118" spans="1:18" x14ac:dyDescent="0.25">
      <c r="A118" s="21">
        <f t="shared" si="3"/>
        <v>-0.26526841501837017</v>
      </c>
      <c r="B118" t="s">
        <v>47</v>
      </c>
      <c r="C118" s="21" t="str">
        <f t="shared" si="4"/>
        <v>B</v>
      </c>
      <c r="D118">
        <v>281</v>
      </c>
      <c r="E118">
        <v>206.45957537983799</v>
      </c>
      <c r="F118"/>
      <c r="G118" t="str">
        <f t="shared" si="5"/>
        <v/>
      </c>
      <c r="L118"/>
      <c r="Q118" s="21"/>
      <c r="R118" s="21"/>
    </row>
    <row r="119" spans="1:18" x14ac:dyDescent="0.25">
      <c r="A119" s="21">
        <f t="shared" si="3"/>
        <v>-0.34416136498697392</v>
      </c>
      <c r="B119" t="s">
        <v>47</v>
      </c>
      <c r="C119" s="21" t="str">
        <f t="shared" si="4"/>
        <v>B</v>
      </c>
      <c r="D119">
        <v>306</v>
      </c>
      <c r="E119">
        <v>200.68662231398599</v>
      </c>
      <c r="F119"/>
      <c r="G119" t="str">
        <f t="shared" si="5"/>
        <v/>
      </c>
      <c r="L119"/>
      <c r="Q119" s="21"/>
      <c r="R119" s="21"/>
    </row>
    <row r="120" spans="1:18" x14ac:dyDescent="0.25">
      <c r="A120" s="21">
        <f t="shared" si="3"/>
        <v>-0.20957198479174033</v>
      </c>
      <c r="B120" t="s">
        <v>47</v>
      </c>
      <c r="C120" s="21" t="str">
        <f t="shared" si="4"/>
        <v>B</v>
      </c>
      <c r="D120">
        <v>258</v>
      </c>
      <c r="E120">
        <v>203.930427923731</v>
      </c>
      <c r="F120"/>
      <c r="G120" t="str">
        <f t="shared" si="5"/>
        <v/>
      </c>
      <c r="L120"/>
      <c r="Q120" s="21"/>
      <c r="R120" s="21"/>
    </row>
    <row r="121" spans="1:18" x14ac:dyDescent="0.25">
      <c r="A121" s="21">
        <f t="shared" si="3"/>
        <v>-5.7842714128061412E-2</v>
      </c>
      <c r="B121" t="s">
        <v>47</v>
      </c>
      <c r="C121" s="21" t="str">
        <f t="shared" si="4"/>
        <v>A</v>
      </c>
      <c r="D121">
        <v>212</v>
      </c>
      <c r="E121">
        <v>199.73734460485099</v>
      </c>
      <c r="F121"/>
      <c r="G121" t="str">
        <f t="shared" si="5"/>
        <v/>
      </c>
      <c r="L121"/>
      <c r="Q121" s="21"/>
      <c r="R121" s="21"/>
    </row>
    <row r="122" spans="1:18" x14ac:dyDescent="0.25">
      <c r="A122" s="21">
        <f t="shared" si="3"/>
        <v>0.10425592178718812</v>
      </c>
      <c r="B122" t="s">
        <v>47</v>
      </c>
      <c r="C122" s="21" t="str">
        <f t="shared" si="4"/>
        <v>A</v>
      </c>
      <c r="D122">
        <v>186</v>
      </c>
      <c r="E122">
        <v>205.39160145241701</v>
      </c>
      <c r="F122"/>
      <c r="G122" t="str">
        <f t="shared" si="5"/>
        <v/>
      </c>
      <c r="L122"/>
      <c r="Q122" s="21"/>
      <c r="R122" s="21"/>
    </row>
    <row r="123" spans="1:18" x14ac:dyDescent="0.25">
      <c r="A123" s="21">
        <f t="shared" si="3"/>
        <v>0.13770548079880918</v>
      </c>
      <c r="B123" t="s">
        <v>69</v>
      </c>
      <c r="C123" s="21" t="str">
        <f t="shared" si="4"/>
        <v>A</v>
      </c>
      <c r="D123">
        <v>76</v>
      </c>
      <c r="E123">
        <v>86.465616540709505</v>
      </c>
      <c r="F123"/>
      <c r="G123" t="str">
        <f t="shared" si="5"/>
        <v/>
      </c>
      <c r="L123"/>
      <c r="Q123" s="21"/>
      <c r="R123" s="21"/>
    </row>
    <row r="124" spans="1:18" x14ac:dyDescent="0.25">
      <c r="A124" s="21">
        <f t="shared" si="3"/>
        <v>-6.6704539228079618E-2</v>
      </c>
      <c r="B124" t="s">
        <v>69</v>
      </c>
      <c r="C124" s="21" t="str">
        <f t="shared" si="4"/>
        <v>A</v>
      </c>
      <c r="D124">
        <v>113</v>
      </c>
      <c r="E124">
        <v>105.462387067227</v>
      </c>
      <c r="F124"/>
      <c r="G124" t="str">
        <f t="shared" si="5"/>
        <v/>
      </c>
      <c r="L124"/>
      <c r="Q124" s="21"/>
      <c r="R124" s="21"/>
    </row>
    <row r="125" spans="1:18" x14ac:dyDescent="0.25">
      <c r="A125" s="21">
        <f t="shared" si="3"/>
        <v>3.8445796787377029E-2</v>
      </c>
      <c r="B125" t="s">
        <v>69</v>
      </c>
      <c r="C125" s="21" t="str">
        <f t="shared" si="4"/>
        <v>A</v>
      </c>
      <c r="D125">
        <v>87</v>
      </c>
      <c r="E125">
        <v>90.344784320501802</v>
      </c>
      <c r="F125"/>
      <c r="G125" t="str">
        <f t="shared" si="5"/>
        <v/>
      </c>
      <c r="L125"/>
      <c r="Q125" s="21"/>
      <c r="R125" s="21"/>
    </row>
    <row r="126" spans="1:18" x14ac:dyDescent="0.25">
      <c r="A126" s="21">
        <f t="shared" si="3"/>
        <v>0.12025099758886304</v>
      </c>
      <c r="B126" t="s">
        <v>69</v>
      </c>
      <c r="C126" s="21" t="str">
        <f t="shared" si="4"/>
        <v>A</v>
      </c>
      <c r="D126">
        <v>81</v>
      </c>
      <c r="E126">
        <v>90.740330804697905</v>
      </c>
      <c r="F126"/>
      <c r="G126" t="str">
        <f t="shared" si="5"/>
        <v/>
      </c>
      <c r="M126"/>
      <c r="Q126" s="21"/>
      <c r="R126" s="21"/>
    </row>
    <row r="127" spans="1:18" x14ac:dyDescent="0.25">
      <c r="A127" s="21">
        <f t="shared" si="3"/>
        <v>-0.15198235531062454</v>
      </c>
      <c r="B127" t="s">
        <v>69</v>
      </c>
      <c r="C127" s="21" t="str">
        <f t="shared" si="4"/>
        <v>A</v>
      </c>
      <c r="D127">
        <v>110</v>
      </c>
      <c r="E127">
        <v>93.281940915831299</v>
      </c>
      <c r="F127"/>
      <c r="G127" t="str">
        <f t="shared" si="5"/>
        <v/>
      </c>
      <c r="M127"/>
      <c r="Q127" s="21"/>
      <c r="R127" s="21"/>
    </row>
    <row r="128" spans="1:18" x14ac:dyDescent="0.25">
      <c r="A128" s="21">
        <f t="shared" si="3"/>
        <v>-0.21000975587618287</v>
      </c>
      <c r="B128" t="s">
        <v>69</v>
      </c>
      <c r="C128" s="21" t="str">
        <f t="shared" si="4"/>
        <v>B</v>
      </c>
      <c r="D128">
        <v>111</v>
      </c>
      <c r="E128">
        <v>87.688917097743698</v>
      </c>
      <c r="F128"/>
      <c r="G128" t="str">
        <f t="shared" si="5"/>
        <v/>
      </c>
      <c r="M128"/>
      <c r="Q128" s="21"/>
      <c r="R128" s="21"/>
    </row>
    <row r="129" spans="1:18" x14ac:dyDescent="0.25">
      <c r="A129" s="21">
        <f t="shared" si="3"/>
        <v>1.9723629265549381E-2</v>
      </c>
      <c r="B129" t="s">
        <v>69</v>
      </c>
      <c r="C129" s="21" t="str">
        <f t="shared" si="4"/>
        <v>A</v>
      </c>
      <c r="D129">
        <v>93</v>
      </c>
      <c r="E129">
        <v>94.834297521696101</v>
      </c>
      <c r="F129"/>
      <c r="G129" t="str">
        <f t="shared" si="5"/>
        <v/>
      </c>
      <c r="M129"/>
      <c r="Q129" s="21"/>
      <c r="R129" s="21"/>
    </row>
    <row r="130" spans="1:18" x14ac:dyDescent="0.25">
      <c r="A130" s="21">
        <f t="shared" si="3"/>
        <v>-8.4619742048556601E-2</v>
      </c>
      <c r="B130" t="s">
        <v>47</v>
      </c>
      <c r="C130" s="21" t="str">
        <f t="shared" si="4"/>
        <v>A</v>
      </c>
      <c r="D130">
        <v>221</v>
      </c>
      <c r="E130">
        <v>202.29903700726899</v>
      </c>
      <c r="F130"/>
      <c r="G130" t="str">
        <f t="shared" si="5"/>
        <v/>
      </c>
      <c r="M130"/>
      <c r="Q130" s="21"/>
      <c r="R130" s="21"/>
    </row>
    <row r="131" spans="1:18" x14ac:dyDescent="0.25">
      <c r="A131" s="21">
        <f t="shared" si="3"/>
        <v>-0.2645495794450925</v>
      </c>
      <c r="B131" t="s">
        <v>47</v>
      </c>
      <c r="C131" s="21" t="str">
        <f t="shared" si="4"/>
        <v>B</v>
      </c>
      <c r="D131">
        <v>281</v>
      </c>
      <c r="E131">
        <v>206.66156817592901</v>
      </c>
      <c r="F131"/>
      <c r="G131" t="str">
        <f t="shared" si="5"/>
        <v/>
      </c>
      <c r="M131"/>
      <c r="Q131" s="21"/>
      <c r="R131" s="21"/>
    </row>
    <row r="132" spans="1:18" x14ac:dyDescent="0.25">
      <c r="A132" s="21">
        <f t="shared" si="3"/>
        <v>-0.32530820825529971</v>
      </c>
      <c r="B132" t="s">
        <v>47</v>
      </c>
      <c r="C132" s="21" t="str">
        <f t="shared" si="4"/>
        <v>B</v>
      </c>
      <c r="D132">
        <v>287</v>
      </c>
      <c r="E132">
        <v>193.63654423072899</v>
      </c>
      <c r="F132"/>
      <c r="G132" t="str">
        <f t="shared" si="5"/>
        <v/>
      </c>
      <c r="M132"/>
      <c r="Q132" s="21"/>
      <c r="R132" s="21"/>
    </row>
    <row r="133" spans="1:18" x14ac:dyDescent="0.25">
      <c r="A133" s="21">
        <f t="shared" si="3"/>
        <v>-0.27352655790839231</v>
      </c>
      <c r="B133" t="s">
        <v>47</v>
      </c>
      <c r="C133" s="21" t="str">
        <f t="shared" si="4"/>
        <v>B</v>
      </c>
      <c r="D133">
        <v>260</v>
      </c>
      <c r="E133">
        <v>188.88309494381801</v>
      </c>
      <c r="F133"/>
      <c r="G133" t="str">
        <f t="shared" si="5"/>
        <v/>
      </c>
      <c r="M133"/>
      <c r="Q133" s="21"/>
      <c r="R133" s="21"/>
    </row>
    <row r="134" spans="1:18" x14ac:dyDescent="0.25">
      <c r="A134" s="21">
        <f t="shared" si="3"/>
        <v>-0.25872213125106081</v>
      </c>
      <c r="B134" t="s">
        <v>47</v>
      </c>
      <c r="C134" s="21" t="str">
        <f t="shared" si="4"/>
        <v>B</v>
      </c>
      <c r="D134">
        <v>263</v>
      </c>
      <c r="E134">
        <v>194.956079480971</v>
      </c>
      <c r="F134"/>
      <c r="G134" t="str">
        <f t="shared" si="5"/>
        <v/>
      </c>
      <c r="N134"/>
      <c r="Q134" s="21"/>
      <c r="R134" s="21"/>
    </row>
    <row r="135" spans="1:18" x14ac:dyDescent="0.25">
      <c r="A135" s="21">
        <f t="shared" si="3"/>
        <v>-0.38161065153173368</v>
      </c>
      <c r="B135" t="s">
        <v>47</v>
      </c>
      <c r="C135" s="21" t="str">
        <f t="shared" si="4"/>
        <v>B</v>
      </c>
      <c r="D135">
        <v>323</v>
      </c>
      <c r="E135">
        <v>199.73975955525</v>
      </c>
      <c r="F135"/>
      <c r="G135" t="str">
        <f t="shared" si="5"/>
        <v/>
      </c>
      <c r="N135"/>
      <c r="Q135" s="21"/>
      <c r="R135" s="21"/>
    </row>
    <row r="136" spans="1:18" x14ac:dyDescent="0.25">
      <c r="A136" s="21">
        <f t="shared" si="3"/>
        <v>9.1963085810933265E-3</v>
      </c>
      <c r="B136" t="s">
        <v>70</v>
      </c>
      <c r="C136" s="21" t="str">
        <f t="shared" si="4"/>
        <v>A</v>
      </c>
      <c r="D136">
        <v>150</v>
      </c>
      <c r="E136">
        <v>151.379446287164</v>
      </c>
      <c r="F136"/>
      <c r="G136" t="str">
        <f t="shared" si="5"/>
        <v/>
      </c>
      <c r="N136"/>
      <c r="Q136" s="21"/>
      <c r="R136" s="21"/>
    </row>
    <row r="137" spans="1:18" x14ac:dyDescent="0.25">
      <c r="A137" s="21">
        <f t="shared" si="3"/>
        <v>0.58070795075825954</v>
      </c>
      <c r="B137" t="s">
        <v>70</v>
      </c>
      <c r="C137" s="21" t="str">
        <f t="shared" si="4"/>
        <v>B</v>
      </c>
      <c r="D137">
        <v>131</v>
      </c>
      <c r="E137">
        <v>207.07274154933199</v>
      </c>
      <c r="F137"/>
      <c r="G137"/>
      <c r="N137"/>
      <c r="Q137" s="21"/>
      <c r="R137" s="21"/>
    </row>
    <row r="138" spans="1:18" x14ac:dyDescent="0.25">
      <c r="A138" s="21">
        <f t="shared" si="3"/>
        <v>0.35285790824190122</v>
      </c>
      <c r="B138" t="s">
        <v>70</v>
      </c>
      <c r="C138" s="21" t="str">
        <f t="shared" si="4"/>
        <v>B</v>
      </c>
      <c r="D138">
        <v>152</v>
      </c>
      <c r="E138">
        <v>205.63440205276899</v>
      </c>
      <c r="F138"/>
      <c r="G138" t="str">
        <f t="shared" si="5"/>
        <v/>
      </c>
      <c r="N138"/>
      <c r="Q138" s="21"/>
      <c r="R138" s="21"/>
    </row>
    <row r="139" spans="1:18" x14ac:dyDescent="0.25">
      <c r="A139" s="21">
        <f t="shared" si="3"/>
        <v>4.4069944271077022E-2</v>
      </c>
      <c r="B139" t="s">
        <v>70</v>
      </c>
      <c r="C139" s="21" t="str">
        <f t="shared" si="4"/>
        <v>A</v>
      </c>
      <c r="D139">
        <v>156</v>
      </c>
      <c r="E139">
        <v>162.874911306288</v>
      </c>
      <c r="F139"/>
      <c r="G139" t="str">
        <f t="shared" si="5"/>
        <v/>
      </c>
      <c r="N139"/>
      <c r="Q139" s="21"/>
      <c r="R139" s="21"/>
    </row>
    <row r="140" spans="1:18" x14ac:dyDescent="0.25">
      <c r="A140" s="21">
        <f t="shared" si="3"/>
        <v>-0.29797472227590971</v>
      </c>
      <c r="B140" t="s">
        <v>70</v>
      </c>
      <c r="C140" s="21" t="str">
        <f t="shared" si="4"/>
        <v>B</v>
      </c>
      <c r="D140">
        <v>93</v>
      </c>
      <c r="E140">
        <v>65.288350828340398</v>
      </c>
      <c r="F140"/>
      <c r="G140" t="str">
        <f t="shared" si="5"/>
        <v/>
      </c>
      <c r="N140"/>
      <c r="Q140" s="21"/>
      <c r="R140" s="21"/>
    </row>
    <row r="141" spans="1:18" x14ac:dyDescent="0.25">
      <c r="A141" s="21">
        <f t="shared" si="3"/>
        <v>-0.28393760035562587</v>
      </c>
      <c r="B141" t="s">
        <v>70</v>
      </c>
      <c r="C141" s="21" t="str">
        <f t="shared" si="4"/>
        <v>B</v>
      </c>
      <c r="D141">
        <v>155</v>
      </c>
      <c r="E141">
        <v>110.989671944878</v>
      </c>
      <c r="F141"/>
      <c r="G141" t="str">
        <f t="shared" si="5"/>
        <v/>
      </c>
      <c r="N141"/>
      <c r="Q141" s="21"/>
      <c r="R141" s="21"/>
    </row>
    <row r="142" spans="1:18" x14ac:dyDescent="0.25">
      <c r="A142" s="21">
        <f t="shared" si="3"/>
        <v>-0.15944239564668028</v>
      </c>
      <c r="B142" t="s">
        <v>70</v>
      </c>
      <c r="C142" s="21" t="str">
        <f t="shared" si="4"/>
        <v>A</v>
      </c>
      <c r="D142">
        <v>147</v>
      </c>
      <c r="E142">
        <v>123.56196783993801</v>
      </c>
      <c r="F142"/>
      <c r="G142" t="str">
        <f t="shared" si="5"/>
        <v/>
      </c>
      <c r="O142"/>
      <c r="Q142" s="21"/>
      <c r="R142" s="21"/>
    </row>
    <row r="143" spans="1:18" x14ac:dyDescent="0.25">
      <c r="A143" s="21">
        <f t="shared" si="3"/>
        <v>-0.14173537207704101</v>
      </c>
      <c r="B143" t="s">
        <v>70</v>
      </c>
      <c r="C143" s="21" t="str">
        <f t="shared" si="4"/>
        <v>A</v>
      </c>
      <c r="D143">
        <v>112</v>
      </c>
      <c r="E143">
        <v>96.125638327371405</v>
      </c>
      <c r="F143"/>
      <c r="G143" t="str">
        <f t="shared" si="5"/>
        <v/>
      </c>
      <c r="O143"/>
      <c r="Q143" s="21"/>
      <c r="R143" s="21"/>
    </row>
    <row r="144" spans="1:18" x14ac:dyDescent="0.25">
      <c r="A144" s="21">
        <f t="shared" si="3"/>
        <v>-7.5760333592758355E-2</v>
      </c>
      <c r="B144" t="s">
        <v>46</v>
      </c>
      <c r="C144" s="21" t="str">
        <f t="shared" si="4"/>
        <v>A</v>
      </c>
      <c r="D144">
        <v>101</v>
      </c>
      <c r="E144">
        <v>93.348206307131406</v>
      </c>
      <c r="F144"/>
      <c r="G144" t="str">
        <f t="shared" si="5"/>
        <v/>
      </c>
      <c r="O144"/>
      <c r="Q144" s="21"/>
      <c r="R144" s="21"/>
    </row>
    <row r="145" spans="1:18" x14ac:dyDescent="0.25">
      <c r="A145" s="21">
        <f t="shared" si="3"/>
        <v>-0.1589983036085072</v>
      </c>
      <c r="B145" t="s">
        <v>46</v>
      </c>
      <c r="C145" s="21" t="str">
        <f t="shared" si="4"/>
        <v>A</v>
      </c>
      <c r="D145">
        <v>173.5</v>
      </c>
      <c r="E145">
        <v>145.91379432392401</v>
      </c>
      <c r="F145"/>
      <c r="G145" t="str">
        <f t="shared" si="5"/>
        <v/>
      </c>
      <c r="O145"/>
      <c r="Q145" s="21"/>
      <c r="R145" s="21"/>
    </row>
    <row r="146" spans="1:18" x14ac:dyDescent="0.25">
      <c r="A146" s="21">
        <f t="shared" si="3"/>
        <v>-7.908821107860986E-2</v>
      </c>
      <c r="B146" t="s">
        <v>46</v>
      </c>
      <c r="C146" s="21" t="str">
        <f t="shared" si="4"/>
        <v>A</v>
      </c>
      <c r="D146">
        <v>141</v>
      </c>
      <c r="E146">
        <v>129.84856223791601</v>
      </c>
      <c r="F146"/>
      <c r="G146" t="str">
        <f t="shared" si="5"/>
        <v/>
      </c>
      <c r="O146"/>
      <c r="Q146" s="21"/>
      <c r="R146" s="21"/>
    </row>
    <row r="147" spans="1:18" x14ac:dyDescent="0.25">
      <c r="A147" s="21">
        <f t="shared" si="3"/>
        <v>-0.22471037278091721</v>
      </c>
      <c r="B147" t="s">
        <v>46</v>
      </c>
      <c r="C147" s="21" t="str">
        <f t="shared" si="4"/>
        <v>B</v>
      </c>
      <c r="D147">
        <v>157</v>
      </c>
      <c r="E147">
        <v>121.720471473396</v>
      </c>
      <c r="F147"/>
      <c r="G147" t="str">
        <f t="shared" si="5"/>
        <v/>
      </c>
      <c r="O147"/>
      <c r="Q147" s="21"/>
      <c r="R147" s="21"/>
    </row>
    <row r="148" spans="1:18" x14ac:dyDescent="0.25">
      <c r="A148" s="21">
        <f t="shared" si="3"/>
        <v>-0.25365491304815913</v>
      </c>
      <c r="B148" t="s">
        <v>46</v>
      </c>
      <c r="C148" s="21" t="str">
        <f t="shared" si="4"/>
        <v>B</v>
      </c>
      <c r="D148">
        <v>138.25</v>
      </c>
      <c r="E148">
        <v>103.18220827109199</v>
      </c>
      <c r="F148"/>
      <c r="G148" t="str">
        <f t="shared" si="5"/>
        <v/>
      </c>
      <c r="O148"/>
      <c r="Q148" s="21"/>
      <c r="R148" s="21"/>
    </row>
    <row r="149" spans="1:18" x14ac:dyDescent="0.25">
      <c r="A149" s="21">
        <f t="shared" si="3"/>
        <v>2.6322594754351281E-2</v>
      </c>
      <c r="B149" t="s">
        <v>46</v>
      </c>
      <c r="C149" s="21" t="str">
        <f t="shared" si="4"/>
        <v>A</v>
      </c>
      <c r="D149">
        <v>111</v>
      </c>
      <c r="E149">
        <v>113.921808017733</v>
      </c>
      <c r="F149"/>
      <c r="G149" t="str">
        <f t="shared" si="5"/>
        <v/>
      </c>
      <c r="O149"/>
      <c r="Q149" s="21"/>
      <c r="R149" s="21"/>
    </row>
    <row r="150" spans="1:18" x14ac:dyDescent="0.25">
      <c r="A150" s="21">
        <f t="shared" si="3"/>
        <v>-0.13659319470581621</v>
      </c>
      <c r="B150" t="s">
        <v>46</v>
      </c>
      <c r="C150" s="21" t="str">
        <f t="shared" si="4"/>
        <v>A</v>
      </c>
      <c r="D150">
        <v>111</v>
      </c>
      <c r="E150">
        <v>95.838155387654396</v>
      </c>
      <c r="F150"/>
      <c r="G150" t="str">
        <f t="shared" si="5"/>
        <v/>
      </c>
      <c r="O150"/>
      <c r="Q150" s="21"/>
      <c r="R150" s="21"/>
    </row>
    <row r="151" spans="1:18" x14ac:dyDescent="0.25">
      <c r="A151" s="21">
        <f t="shared" si="3"/>
        <v>2.2309707695260972E-2</v>
      </c>
      <c r="B151" t="s">
        <v>46</v>
      </c>
      <c r="C151" s="21" t="str">
        <f t="shared" si="4"/>
        <v>A</v>
      </c>
      <c r="D151">
        <v>95</v>
      </c>
      <c r="E151">
        <v>97.119422231049796</v>
      </c>
      <c r="F151"/>
      <c r="G151" t="str">
        <f t="shared" si="5"/>
        <v/>
      </c>
      <c r="O151"/>
      <c r="Q151" s="21"/>
      <c r="R151" s="21"/>
    </row>
    <row r="152" spans="1:18" x14ac:dyDescent="0.25">
      <c r="A152" s="21">
        <f t="shared" si="3"/>
        <v>-0.3905714348660051</v>
      </c>
      <c r="B152" t="s">
        <v>46</v>
      </c>
      <c r="C152" s="21" t="str">
        <f t="shared" si="4"/>
        <v>B</v>
      </c>
      <c r="D152">
        <v>156.5</v>
      </c>
      <c r="E152">
        <v>95.375570443470195</v>
      </c>
      <c r="F152"/>
      <c r="G152" t="str">
        <f t="shared" si="5"/>
        <v/>
      </c>
      <c r="Q152" s="21"/>
      <c r="R152" s="21"/>
    </row>
    <row r="153" spans="1:18" x14ac:dyDescent="0.25">
      <c r="A153" s="21">
        <f t="shared" si="3"/>
        <v>3.3836618389939677E-2</v>
      </c>
      <c r="B153" t="s">
        <v>46</v>
      </c>
      <c r="C153" s="21" t="str">
        <f t="shared" si="4"/>
        <v>A</v>
      </c>
      <c r="D153">
        <v>116</v>
      </c>
      <c r="E153">
        <v>119.925047733233</v>
      </c>
      <c r="F153"/>
      <c r="G153" t="str">
        <f t="shared" si="5"/>
        <v/>
      </c>
      <c r="Q153" s="21"/>
      <c r="R153" s="21"/>
    </row>
    <row r="154" spans="1:18" x14ac:dyDescent="0.25">
      <c r="A154" s="21">
        <f t="shared" si="3"/>
        <v>-0.15883628035707442</v>
      </c>
      <c r="B154" t="s">
        <v>46</v>
      </c>
      <c r="C154" s="21" t="str">
        <f t="shared" si="4"/>
        <v>A</v>
      </c>
      <c r="D154">
        <v>121</v>
      </c>
      <c r="E154">
        <v>101.780810076794</v>
      </c>
      <c r="F154"/>
      <c r="G154" t="str">
        <f t="shared" si="5"/>
        <v/>
      </c>
      <c r="Q154" s="21"/>
      <c r="R154" s="21"/>
    </row>
    <row r="155" spans="1:18" x14ac:dyDescent="0.25">
      <c r="A155" s="21">
        <f t="shared" si="3"/>
        <v>-0.13082108991585617</v>
      </c>
      <c r="B155" t="s">
        <v>71</v>
      </c>
      <c r="C155" s="21" t="str">
        <f t="shared" si="4"/>
        <v>A</v>
      </c>
      <c r="D155">
        <v>108.5</v>
      </c>
      <c r="E155">
        <v>94.305911744129602</v>
      </c>
      <c r="F155"/>
      <c r="G155" t="str">
        <f t="shared" si="5"/>
        <v/>
      </c>
      <c r="Q155" s="21"/>
      <c r="R155" s="21"/>
    </row>
    <row r="156" spans="1:18" x14ac:dyDescent="0.25">
      <c r="A156" s="21">
        <f t="shared" si="3"/>
        <v>-0.41671951035920396</v>
      </c>
      <c r="B156" t="s">
        <v>71</v>
      </c>
      <c r="C156" s="21" t="str">
        <f t="shared" si="4"/>
        <v>B</v>
      </c>
      <c r="D156">
        <v>203.5</v>
      </c>
      <c r="E156">
        <v>118.697579641902</v>
      </c>
      <c r="F156"/>
      <c r="G156" t="str">
        <f t="shared" si="5"/>
        <v/>
      </c>
      <c r="Q156" s="21"/>
      <c r="R156" s="21"/>
    </row>
    <row r="157" spans="1:18" x14ac:dyDescent="0.25">
      <c r="A157" s="21">
        <f t="shared" si="3"/>
        <v>-0.36855005764140258</v>
      </c>
      <c r="B157" t="s">
        <v>71</v>
      </c>
      <c r="C157" s="21" t="str">
        <f t="shared" si="4"/>
        <v>B</v>
      </c>
      <c r="D157">
        <v>159</v>
      </c>
      <c r="E157">
        <v>100.400540835017</v>
      </c>
      <c r="F157"/>
      <c r="G157" t="str">
        <f t="shared" si="5"/>
        <v/>
      </c>
      <c r="Q157" s="21"/>
      <c r="R157" s="21"/>
    </row>
    <row r="158" spans="1:18" x14ac:dyDescent="0.25">
      <c r="A158" s="21">
        <f t="shared" si="3"/>
        <v>1.1423889267252463E-3</v>
      </c>
      <c r="B158" t="s">
        <v>71</v>
      </c>
      <c r="C158" s="21" t="str">
        <f t="shared" si="4"/>
        <v>A</v>
      </c>
      <c r="D158">
        <v>91</v>
      </c>
      <c r="E158">
        <v>91.103957392332006</v>
      </c>
      <c r="F158"/>
      <c r="G158" t="str">
        <f t="shared" si="5"/>
        <v/>
      </c>
      <c r="Q158" s="21"/>
      <c r="R158" s="21"/>
    </row>
    <row r="159" spans="1:18" x14ac:dyDescent="0.25">
      <c r="A159" s="21">
        <f t="shared" si="3"/>
        <v>-0.20192022917158514</v>
      </c>
      <c r="B159" t="s">
        <v>71</v>
      </c>
      <c r="C159" s="21" t="str">
        <f t="shared" si="4"/>
        <v>B</v>
      </c>
      <c r="D159">
        <v>87.5</v>
      </c>
      <c r="E159">
        <v>69.831979947486303</v>
      </c>
      <c r="F159"/>
      <c r="G159" t="str">
        <f t="shared" si="5"/>
        <v/>
      </c>
      <c r="Q159" s="21"/>
      <c r="R159" s="21"/>
    </row>
    <row r="160" spans="1:18" x14ac:dyDescent="0.25">
      <c r="A160" s="21">
        <f t="shared" si="3"/>
        <v>-0.29388180093012528</v>
      </c>
      <c r="B160" t="s">
        <v>71</v>
      </c>
      <c r="C160" s="21" t="str">
        <f t="shared" si="4"/>
        <v>B</v>
      </c>
      <c r="D160">
        <v>131</v>
      </c>
      <c r="E160">
        <v>92.501484078153595</v>
      </c>
      <c r="F160"/>
      <c r="G160" t="str">
        <f t="shared" si="5"/>
        <v/>
      </c>
      <c r="Q160" s="21"/>
      <c r="R160" s="21"/>
    </row>
    <row r="161" spans="1:18" x14ac:dyDescent="0.25">
      <c r="A161" s="21">
        <f t="shared" si="3"/>
        <v>-0.2791790442036638</v>
      </c>
      <c r="B161" t="s">
        <v>71</v>
      </c>
      <c r="C161" s="21" t="str">
        <f t="shared" si="4"/>
        <v>B</v>
      </c>
      <c r="D161">
        <v>117.5</v>
      </c>
      <c r="E161">
        <v>84.696462306069506</v>
      </c>
      <c r="F161"/>
      <c r="G161" t="str">
        <f t="shared" si="5"/>
        <v/>
      </c>
      <c r="Q161" s="21"/>
      <c r="R161" s="21"/>
    </row>
    <row r="162" spans="1:18" x14ac:dyDescent="0.25">
      <c r="A162" s="21">
        <f t="shared" si="3"/>
        <v>5.8194030871771441E-2</v>
      </c>
      <c r="B162" t="s">
        <v>71</v>
      </c>
      <c r="C162" s="21" t="str">
        <f t="shared" si="4"/>
        <v>A</v>
      </c>
      <c r="D162">
        <v>105</v>
      </c>
      <c r="E162">
        <v>111.110373241536</v>
      </c>
      <c r="F162"/>
      <c r="G162" t="str">
        <f t="shared" si="5"/>
        <v/>
      </c>
      <c r="Q162" s="21"/>
      <c r="R162" s="21"/>
    </row>
    <row r="163" spans="1:18" x14ac:dyDescent="0.25">
      <c r="A163" s="21">
        <f t="shared" si="3"/>
        <v>-0.25599832096944197</v>
      </c>
      <c r="B163" t="s">
        <v>71</v>
      </c>
      <c r="C163" s="21" t="str">
        <f t="shared" si="4"/>
        <v>B</v>
      </c>
      <c r="D163">
        <v>95.5</v>
      </c>
      <c r="E163">
        <v>71.052160347418294</v>
      </c>
      <c r="F163"/>
      <c r="G163" t="str">
        <f t="shared" si="5"/>
        <v/>
      </c>
      <c r="Q163" s="21"/>
      <c r="R163" s="21"/>
    </row>
    <row r="164" spans="1:18" x14ac:dyDescent="0.25">
      <c r="A164" s="21">
        <f t="shared" si="3"/>
        <v>-0.33949575579282654</v>
      </c>
      <c r="B164" t="s">
        <v>71</v>
      </c>
      <c r="C164" s="21" t="str">
        <f t="shared" si="4"/>
        <v>B</v>
      </c>
      <c r="D164">
        <v>219</v>
      </c>
      <c r="E164">
        <v>144.65042948137099</v>
      </c>
      <c r="F164"/>
      <c r="G164" t="str">
        <f t="shared" si="5"/>
        <v/>
      </c>
      <c r="Q164" s="21"/>
      <c r="R164" s="21"/>
    </row>
    <row r="165" spans="1:18" x14ac:dyDescent="0.25">
      <c r="A165" s="21">
        <f t="shared" si="3"/>
        <v>-0.34838944929351268</v>
      </c>
      <c r="B165" t="s">
        <v>71</v>
      </c>
      <c r="C165" s="21" t="str">
        <f t="shared" si="4"/>
        <v>B</v>
      </c>
      <c r="D165">
        <v>197</v>
      </c>
      <c r="E165">
        <v>128.36727848917801</v>
      </c>
      <c r="F165"/>
      <c r="G165" t="str">
        <f t="shared" si="5"/>
        <v/>
      </c>
      <c r="Q165" s="21"/>
      <c r="R165" s="21"/>
    </row>
    <row r="166" spans="1:18" x14ac:dyDescent="0.25">
      <c r="A166" s="21">
        <f t="shared" si="3"/>
        <v>6.5302215736928515E-2</v>
      </c>
      <c r="B166" t="s">
        <v>71</v>
      </c>
      <c r="C166" s="21" t="str">
        <f t="shared" si="4"/>
        <v>A</v>
      </c>
      <c r="D166">
        <v>154</v>
      </c>
      <c r="E166">
        <v>164.05654122348699</v>
      </c>
      <c r="F166"/>
      <c r="G166" t="str">
        <f t="shared" si="5"/>
        <v/>
      </c>
      <c r="Q166" s="21"/>
      <c r="R166" s="21"/>
    </row>
    <row r="167" spans="1:18" x14ac:dyDescent="0.25">
      <c r="A167" s="21">
        <f t="shared" ref="A167:A219" si="6">E167/D167-1</f>
        <v>-6.2718265210444102E-3</v>
      </c>
      <c r="B167" t="s">
        <v>48</v>
      </c>
      <c r="C167" s="21" t="str">
        <f t="shared" ref="C167:C219" si="7">IF(OR(A167&gt;=20%,A167&lt;=-20%),"B","A")</f>
        <v>A</v>
      </c>
      <c r="D167">
        <v>97</v>
      </c>
      <c r="E167">
        <v>96.391632827458693</v>
      </c>
      <c r="F167"/>
      <c r="G167" t="str">
        <f t="shared" ref="G167:G230" si="8">IF(C167="A","",IF(C167="B","",IF(C167="C",E167,"error")))</f>
        <v/>
      </c>
    </row>
    <row r="168" spans="1:18" x14ac:dyDescent="0.25">
      <c r="A168" s="21">
        <f t="shared" si="6"/>
        <v>-7.8520442720674599E-2</v>
      </c>
      <c r="B168" t="s">
        <v>48</v>
      </c>
      <c r="C168" s="21" t="str">
        <f t="shared" si="7"/>
        <v>A</v>
      </c>
      <c r="D168">
        <v>169</v>
      </c>
      <c r="E168">
        <v>155.73004518020599</v>
      </c>
      <c r="F168"/>
      <c r="G168" t="str">
        <f t="shared" si="8"/>
        <v/>
      </c>
    </row>
    <row r="169" spans="1:18" x14ac:dyDescent="0.25">
      <c r="A169" s="21">
        <f t="shared" si="6"/>
        <v>-9.9316966862193046E-2</v>
      </c>
      <c r="B169" t="s">
        <v>48</v>
      </c>
      <c r="C169" s="21" t="str">
        <f t="shared" si="7"/>
        <v>A</v>
      </c>
      <c r="D169">
        <v>114</v>
      </c>
      <c r="E169">
        <v>102.67786577771</v>
      </c>
      <c r="F169"/>
      <c r="G169" t="str">
        <f t="shared" si="8"/>
        <v/>
      </c>
    </row>
    <row r="170" spans="1:18" x14ac:dyDescent="0.25">
      <c r="A170" s="21">
        <f t="shared" si="6"/>
        <v>-3.976905554213872E-2</v>
      </c>
      <c r="B170" t="s">
        <v>48</v>
      </c>
      <c r="C170" s="21" t="str">
        <f t="shared" si="7"/>
        <v>A</v>
      </c>
      <c r="D170">
        <v>137</v>
      </c>
      <c r="E170">
        <v>131.55163939072699</v>
      </c>
      <c r="F170"/>
      <c r="G170" t="str">
        <f t="shared" si="8"/>
        <v/>
      </c>
    </row>
    <row r="171" spans="1:18" x14ac:dyDescent="0.25">
      <c r="A171" s="21">
        <f t="shared" si="6"/>
        <v>-9.176415541710925E-2</v>
      </c>
      <c r="B171" t="s">
        <v>48</v>
      </c>
      <c r="C171" s="21" t="str">
        <f t="shared" si="7"/>
        <v>A</v>
      </c>
      <c r="D171">
        <v>119</v>
      </c>
      <c r="E171">
        <v>108.080065505364</v>
      </c>
      <c r="F171"/>
      <c r="G171" t="str">
        <f t="shared" si="8"/>
        <v/>
      </c>
    </row>
    <row r="172" spans="1:18" x14ac:dyDescent="0.25">
      <c r="A172" s="21">
        <f t="shared" si="6"/>
        <v>-0.13319739398074859</v>
      </c>
      <c r="B172" t="s">
        <v>48</v>
      </c>
      <c r="C172" s="21" t="str">
        <f t="shared" si="7"/>
        <v>A</v>
      </c>
      <c r="D172">
        <v>107</v>
      </c>
      <c r="E172">
        <v>92.747878844059898</v>
      </c>
      <c r="F172"/>
      <c r="G172" t="str">
        <f t="shared" si="8"/>
        <v/>
      </c>
    </row>
    <row r="173" spans="1:18" x14ac:dyDescent="0.25">
      <c r="A173" s="21">
        <f t="shared" si="6"/>
        <v>-0.19609934566449994</v>
      </c>
      <c r="B173" t="s">
        <v>49</v>
      </c>
      <c r="C173" s="21" t="str">
        <f t="shared" si="7"/>
        <v>A</v>
      </c>
      <c r="D173">
        <v>94</v>
      </c>
      <c r="E173">
        <v>75.566661507537006</v>
      </c>
      <c r="F173"/>
      <c r="G173" t="str">
        <f t="shared" si="8"/>
        <v/>
      </c>
    </row>
    <row r="174" spans="1:18" x14ac:dyDescent="0.25">
      <c r="A174" s="21">
        <f t="shared" si="6"/>
        <v>0.10789432473850891</v>
      </c>
      <c r="B174" t="s">
        <v>49</v>
      </c>
      <c r="C174" s="21" t="str">
        <f t="shared" si="7"/>
        <v>A</v>
      </c>
      <c r="D174">
        <v>114</v>
      </c>
      <c r="E174">
        <v>126.29995302019</v>
      </c>
      <c r="F174"/>
      <c r="G174" t="str">
        <f t="shared" si="8"/>
        <v/>
      </c>
    </row>
    <row r="175" spans="1:18" x14ac:dyDescent="0.25">
      <c r="A175" s="21">
        <f t="shared" si="6"/>
        <v>0.12509927938164966</v>
      </c>
      <c r="B175" t="s">
        <v>49</v>
      </c>
      <c r="C175" s="21" t="str">
        <f t="shared" si="7"/>
        <v>A</v>
      </c>
      <c r="D175">
        <v>117</v>
      </c>
      <c r="E175">
        <v>131.63661568765301</v>
      </c>
      <c r="F175"/>
      <c r="G175" t="str">
        <f t="shared" si="8"/>
        <v/>
      </c>
    </row>
    <row r="176" spans="1:18" x14ac:dyDescent="0.25">
      <c r="A176" s="21">
        <f t="shared" si="6"/>
        <v>4.1053394205218252E-2</v>
      </c>
      <c r="B176" t="s">
        <v>49</v>
      </c>
      <c r="C176" s="21" t="str">
        <f t="shared" si="7"/>
        <v>A</v>
      </c>
      <c r="D176">
        <v>110</v>
      </c>
      <c r="E176">
        <v>114.515873362574</v>
      </c>
      <c r="F176"/>
      <c r="G176" t="str">
        <f t="shared" si="8"/>
        <v/>
      </c>
    </row>
    <row r="177" spans="1:7" x14ac:dyDescent="0.25">
      <c r="A177" s="21">
        <f t="shared" si="6"/>
        <v>-7.4202251879998737E-2</v>
      </c>
      <c r="B177" t="s">
        <v>49</v>
      </c>
      <c r="C177" s="21" t="str">
        <f t="shared" si="7"/>
        <v>A</v>
      </c>
      <c r="D177">
        <v>78</v>
      </c>
      <c r="E177">
        <v>72.212224353360099</v>
      </c>
      <c r="F177"/>
      <c r="G177" t="str">
        <f t="shared" si="8"/>
        <v/>
      </c>
    </row>
    <row r="178" spans="1:7" x14ac:dyDescent="0.25">
      <c r="A178" s="21">
        <f t="shared" si="6"/>
        <v>1.4560889112495978E-2</v>
      </c>
      <c r="B178" t="s">
        <v>49</v>
      </c>
      <c r="C178" s="21" t="str">
        <f t="shared" si="7"/>
        <v>A</v>
      </c>
      <c r="D178">
        <v>125</v>
      </c>
      <c r="E178">
        <v>126.82011113906201</v>
      </c>
      <c r="F178"/>
      <c r="G178" t="str">
        <f t="shared" si="8"/>
        <v/>
      </c>
    </row>
    <row r="179" spans="1:7" x14ac:dyDescent="0.25">
      <c r="A179" s="21">
        <f t="shared" si="6"/>
        <v>-6.7391983880853101E-2</v>
      </c>
      <c r="B179" t="s">
        <v>49</v>
      </c>
      <c r="C179" s="21" t="str">
        <f t="shared" si="7"/>
        <v>A</v>
      </c>
      <c r="D179">
        <v>143</v>
      </c>
      <c r="E179">
        <v>133.36294630503801</v>
      </c>
      <c r="F179"/>
      <c r="G179" t="str">
        <f t="shared" si="8"/>
        <v/>
      </c>
    </row>
    <row r="180" spans="1:7" x14ac:dyDescent="0.25">
      <c r="A180" s="21">
        <f t="shared" si="6"/>
        <v>-9.6533281596721254E-2</v>
      </c>
      <c r="B180" t="s">
        <v>49</v>
      </c>
      <c r="C180" s="21" t="str">
        <f t="shared" si="7"/>
        <v>A</v>
      </c>
      <c r="D180">
        <v>122</v>
      </c>
      <c r="E180">
        <v>110.2229396452</v>
      </c>
      <c r="F180"/>
      <c r="G180" t="str">
        <f t="shared" si="8"/>
        <v/>
      </c>
    </row>
    <row r="181" spans="1:7" x14ac:dyDescent="0.25">
      <c r="A181" s="21">
        <f t="shared" si="6"/>
        <v>-5.7661936002685321E-3</v>
      </c>
      <c r="B181" t="s">
        <v>49</v>
      </c>
      <c r="C181" s="21" t="str">
        <f t="shared" si="7"/>
        <v>A</v>
      </c>
      <c r="D181">
        <v>108</v>
      </c>
      <c r="E181">
        <v>107.377251091171</v>
      </c>
      <c r="F181"/>
      <c r="G181" t="str">
        <f t="shared" si="8"/>
        <v/>
      </c>
    </row>
    <row r="182" spans="1:7" x14ac:dyDescent="0.25">
      <c r="A182" s="21">
        <f t="shared" si="6"/>
        <v>0.24935827196436655</v>
      </c>
      <c r="B182" t="s">
        <v>49</v>
      </c>
      <c r="C182" s="21" t="str">
        <f t="shared" si="7"/>
        <v>B</v>
      </c>
      <c r="D182">
        <v>90</v>
      </c>
      <c r="E182">
        <v>112.44224447679299</v>
      </c>
      <c r="F182"/>
      <c r="G182" t="str">
        <f t="shared" si="8"/>
        <v/>
      </c>
    </row>
    <row r="183" spans="1:7" x14ac:dyDescent="0.25">
      <c r="A183" s="21">
        <f t="shared" si="6"/>
        <v>3.8904922959174248E-2</v>
      </c>
      <c r="B183" t="s">
        <v>49</v>
      </c>
      <c r="C183" s="21" t="str">
        <f t="shared" si="7"/>
        <v>A</v>
      </c>
      <c r="D183">
        <v>109</v>
      </c>
      <c r="E183">
        <v>113.24063660255</v>
      </c>
      <c r="F183"/>
      <c r="G183" t="str">
        <f t="shared" si="8"/>
        <v/>
      </c>
    </row>
    <row r="184" spans="1:7" x14ac:dyDescent="0.25">
      <c r="A184" s="21">
        <f t="shared" si="6"/>
        <v>-0.31405064337486577</v>
      </c>
      <c r="B184" t="s">
        <v>49</v>
      </c>
      <c r="C184" s="21" t="str">
        <f t="shared" si="7"/>
        <v>B</v>
      </c>
      <c r="D184">
        <v>149</v>
      </c>
      <c r="E184">
        <v>102.206454137145</v>
      </c>
      <c r="F184"/>
      <c r="G184" t="str">
        <f t="shared" si="8"/>
        <v/>
      </c>
    </row>
    <row r="185" spans="1:7" x14ac:dyDescent="0.25">
      <c r="A185" s="21">
        <f t="shared" si="6"/>
        <v>-0.39853080454895295</v>
      </c>
      <c r="B185" t="s">
        <v>49</v>
      </c>
      <c r="C185" s="21" t="str">
        <f t="shared" si="7"/>
        <v>B</v>
      </c>
      <c r="D185">
        <v>153</v>
      </c>
      <c r="E185">
        <v>92.024786904010199</v>
      </c>
      <c r="F185"/>
      <c r="G185" t="str">
        <f t="shared" si="8"/>
        <v/>
      </c>
    </row>
    <row r="186" spans="1:7" x14ac:dyDescent="0.25">
      <c r="A186" s="21">
        <f t="shared" si="6"/>
        <v>9.0079341691362114E-2</v>
      </c>
      <c r="B186" t="s">
        <v>49</v>
      </c>
      <c r="C186" s="21" t="str">
        <f t="shared" si="7"/>
        <v>A</v>
      </c>
      <c r="D186">
        <v>87</v>
      </c>
      <c r="E186">
        <v>94.836902727148498</v>
      </c>
      <c r="F186"/>
      <c r="G186" t="str">
        <f t="shared" si="8"/>
        <v/>
      </c>
    </row>
    <row r="187" spans="1:7" x14ac:dyDescent="0.25">
      <c r="A187" s="21">
        <f t="shared" si="6"/>
        <v>0.30336650597566095</v>
      </c>
      <c r="B187" t="s">
        <v>49</v>
      </c>
      <c r="C187" s="21" t="str">
        <f t="shared" si="7"/>
        <v>B</v>
      </c>
      <c r="D187">
        <v>115</v>
      </c>
      <c r="E187">
        <v>149.88714818720101</v>
      </c>
      <c r="F187"/>
      <c r="G187" t="str">
        <f t="shared" si="8"/>
        <v/>
      </c>
    </row>
    <row r="188" spans="1:7" x14ac:dyDescent="0.25">
      <c r="A188" s="21">
        <f t="shared" si="6"/>
        <v>-6.9630778392669623E-2</v>
      </c>
      <c r="B188" t="s">
        <v>49</v>
      </c>
      <c r="C188" s="21" t="str">
        <f t="shared" si="7"/>
        <v>A</v>
      </c>
      <c r="D188">
        <v>112</v>
      </c>
      <c r="E188">
        <v>104.201352820021</v>
      </c>
      <c r="F188"/>
      <c r="G188" t="str">
        <f t="shared" si="8"/>
        <v/>
      </c>
    </row>
    <row r="189" spans="1:7" x14ac:dyDescent="0.25">
      <c r="A189" s="21">
        <f t="shared" si="6"/>
        <v>-2.3633635480885262E-3</v>
      </c>
      <c r="B189" t="s">
        <v>49</v>
      </c>
      <c r="C189" s="21" t="str">
        <f t="shared" si="7"/>
        <v>A</v>
      </c>
      <c r="D189">
        <v>113</v>
      </c>
      <c r="E189">
        <v>112.732939919066</v>
      </c>
      <c r="F189"/>
      <c r="G189" t="str">
        <f t="shared" si="8"/>
        <v/>
      </c>
    </row>
    <row r="190" spans="1:7" x14ac:dyDescent="0.25">
      <c r="A190" s="21">
        <f t="shared" si="6"/>
        <v>-8.6059799233024536E-2</v>
      </c>
      <c r="B190" t="s">
        <v>49</v>
      </c>
      <c r="C190" s="21" t="str">
        <f t="shared" si="7"/>
        <v>A</v>
      </c>
      <c r="D190">
        <v>122</v>
      </c>
      <c r="E190">
        <v>111.50070449357101</v>
      </c>
      <c r="F190"/>
      <c r="G190" t="str">
        <f t="shared" si="8"/>
        <v/>
      </c>
    </row>
    <row r="191" spans="1:7" x14ac:dyDescent="0.25">
      <c r="A191" s="21">
        <f t="shared" si="6"/>
        <v>-2.1674831592818911E-2</v>
      </c>
      <c r="B191" t="s">
        <v>49</v>
      </c>
      <c r="C191" s="21" t="str">
        <f t="shared" si="7"/>
        <v>A</v>
      </c>
      <c r="D191">
        <v>116</v>
      </c>
      <c r="E191">
        <v>113.485719535233</v>
      </c>
      <c r="F191"/>
      <c r="G191" t="str">
        <f t="shared" si="8"/>
        <v/>
      </c>
    </row>
    <row r="192" spans="1:7" x14ac:dyDescent="0.25">
      <c r="A192" s="21">
        <f t="shared" si="6"/>
        <v>-0.16619852695068815</v>
      </c>
      <c r="B192" t="s">
        <v>49</v>
      </c>
      <c r="C192" s="21" t="str">
        <f t="shared" si="7"/>
        <v>A</v>
      </c>
      <c r="D192">
        <v>109</v>
      </c>
      <c r="E192">
        <v>90.884360562374994</v>
      </c>
      <c r="F192"/>
      <c r="G192" t="str">
        <f t="shared" si="8"/>
        <v/>
      </c>
    </row>
    <row r="193" spans="1:7" x14ac:dyDescent="0.25">
      <c r="A193" s="21">
        <f t="shared" si="6"/>
        <v>-0.210258484521467</v>
      </c>
      <c r="B193" t="s">
        <v>49</v>
      </c>
      <c r="C193" s="21" t="str">
        <f t="shared" si="7"/>
        <v>B</v>
      </c>
      <c r="D193">
        <v>124</v>
      </c>
      <c r="E193">
        <v>97.927947919338095</v>
      </c>
      <c r="F193"/>
      <c r="G193" t="str">
        <f t="shared" si="8"/>
        <v/>
      </c>
    </row>
    <row r="194" spans="1:7" x14ac:dyDescent="0.25">
      <c r="A194" s="21">
        <f t="shared" si="6"/>
        <v>6.068136417868919E-2</v>
      </c>
      <c r="B194" t="s">
        <v>49</v>
      </c>
      <c r="C194" s="21" t="str">
        <f t="shared" si="7"/>
        <v>A</v>
      </c>
      <c r="D194">
        <v>93</v>
      </c>
      <c r="E194">
        <v>98.643366868618102</v>
      </c>
      <c r="F194"/>
      <c r="G194" t="str">
        <f t="shared" si="8"/>
        <v/>
      </c>
    </row>
    <row r="195" spans="1:7" x14ac:dyDescent="0.25">
      <c r="A195" s="21">
        <f t="shared" si="6"/>
        <v>0.10638800843581531</v>
      </c>
      <c r="B195" t="s">
        <v>49</v>
      </c>
      <c r="C195" s="21" t="str">
        <f t="shared" si="7"/>
        <v>A</v>
      </c>
      <c r="D195">
        <v>72</v>
      </c>
      <c r="E195">
        <v>79.659936607378697</v>
      </c>
      <c r="F195"/>
      <c r="G195" t="str">
        <f t="shared" si="8"/>
        <v/>
      </c>
    </row>
    <row r="196" spans="1:7" x14ac:dyDescent="0.25">
      <c r="A196" s="21">
        <f t="shared" si="6"/>
        <v>0.29371372825707409</v>
      </c>
      <c r="B196" t="s">
        <v>49</v>
      </c>
      <c r="C196" s="21" t="str">
        <f t="shared" si="7"/>
        <v>B</v>
      </c>
      <c r="D196">
        <v>81</v>
      </c>
      <c r="E196">
        <v>104.79081198882299</v>
      </c>
      <c r="F196"/>
      <c r="G196"/>
    </row>
    <row r="197" spans="1:7" x14ac:dyDescent="0.25">
      <c r="A197" s="21">
        <f t="shared" si="6"/>
        <v>-0.17623961362960483</v>
      </c>
      <c r="B197" t="s">
        <v>49</v>
      </c>
      <c r="C197" s="21" t="str">
        <f t="shared" si="7"/>
        <v>A</v>
      </c>
      <c r="D197">
        <v>124</v>
      </c>
      <c r="E197">
        <v>102.146287909929</v>
      </c>
      <c r="F197"/>
      <c r="G197" t="str">
        <f t="shared" si="8"/>
        <v/>
      </c>
    </row>
    <row r="198" spans="1:7" x14ac:dyDescent="0.25">
      <c r="A198" s="21">
        <f t="shared" si="6"/>
        <v>-2.6254898070432464E-4</v>
      </c>
      <c r="B198" t="s">
        <v>49</v>
      </c>
      <c r="C198" s="21" t="str">
        <f t="shared" si="7"/>
        <v>A</v>
      </c>
      <c r="D198">
        <v>115</v>
      </c>
      <c r="E198">
        <v>114.96980686721901</v>
      </c>
      <c r="F198"/>
      <c r="G198" t="str">
        <f t="shared" si="8"/>
        <v/>
      </c>
    </row>
    <row r="199" spans="1:7" x14ac:dyDescent="0.25">
      <c r="A199" s="21">
        <f t="shared" si="6"/>
        <v>-2.7064273583268572E-2</v>
      </c>
      <c r="B199" t="s">
        <v>49</v>
      </c>
      <c r="C199" s="21" t="str">
        <f t="shared" si="7"/>
        <v>A</v>
      </c>
      <c r="D199">
        <v>108</v>
      </c>
      <c r="E199">
        <v>105.077058453007</v>
      </c>
      <c r="F199"/>
      <c r="G199" t="str">
        <f t="shared" si="8"/>
        <v/>
      </c>
    </row>
    <row r="200" spans="1:7" x14ac:dyDescent="0.25">
      <c r="A200" s="21">
        <f t="shared" si="6"/>
        <v>-7.3296806872657716E-2</v>
      </c>
      <c r="B200" t="s">
        <v>49</v>
      </c>
      <c r="C200" s="21" t="str">
        <f t="shared" si="7"/>
        <v>A</v>
      </c>
      <c r="D200">
        <v>111</v>
      </c>
      <c r="E200">
        <v>102.864054437135</v>
      </c>
      <c r="F200"/>
      <c r="G200" t="str">
        <f t="shared" si="8"/>
        <v/>
      </c>
    </row>
    <row r="201" spans="1:7" x14ac:dyDescent="0.25">
      <c r="A201" s="21">
        <f t="shared" si="6"/>
        <v>-3.1796850411288324E-2</v>
      </c>
      <c r="B201" t="s">
        <v>49</v>
      </c>
      <c r="C201" s="21" t="str">
        <f t="shared" si="7"/>
        <v>A</v>
      </c>
      <c r="D201">
        <v>111</v>
      </c>
      <c r="E201">
        <v>107.470549604347</v>
      </c>
      <c r="F201"/>
      <c r="G201" t="str">
        <f t="shared" si="8"/>
        <v/>
      </c>
    </row>
    <row r="202" spans="1:7" x14ac:dyDescent="0.25">
      <c r="A202" s="21">
        <f t="shared" si="6"/>
        <v>0.16610020453984142</v>
      </c>
      <c r="B202" t="s">
        <v>49</v>
      </c>
      <c r="C202" s="21" t="str">
        <f t="shared" si="7"/>
        <v>A</v>
      </c>
      <c r="D202">
        <v>126</v>
      </c>
      <c r="E202">
        <v>146.92862577202001</v>
      </c>
      <c r="F202"/>
      <c r="G202" t="str">
        <f t="shared" si="8"/>
        <v/>
      </c>
    </row>
    <row r="203" spans="1:7" x14ac:dyDescent="0.25">
      <c r="A203" s="21">
        <f t="shared" si="6"/>
        <v>-6.2375519794317325E-2</v>
      </c>
      <c r="B203" t="s">
        <v>49</v>
      </c>
      <c r="C203" s="21" t="str">
        <f t="shared" si="7"/>
        <v>A</v>
      </c>
      <c r="D203">
        <v>104</v>
      </c>
      <c r="E203">
        <v>97.512945941390996</v>
      </c>
      <c r="F203"/>
      <c r="G203" t="str">
        <f t="shared" si="8"/>
        <v/>
      </c>
    </row>
    <row r="204" spans="1:7" x14ac:dyDescent="0.25">
      <c r="A204" s="21">
        <f t="shared" si="6"/>
        <v>-0.15872577146180489</v>
      </c>
      <c r="B204" t="s">
        <v>49</v>
      </c>
      <c r="C204" s="21" t="str">
        <f t="shared" si="7"/>
        <v>A</v>
      </c>
      <c r="D204">
        <v>123</v>
      </c>
      <c r="E204">
        <v>103.47673011019801</v>
      </c>
      <c r="F204"/>
      <c r="G204" t="str">
        <f t="shared" si="8"/>
        <v/>
      </c>
    </row>
    <row r="205" spans="1:7" x14ac:dyDescent="0.25">
      <c r="A205" s="21">
        <f t="shared" si="6"/>
        <v>-8.1831559959689826E-2</v>
      </c>
      <c r="B205" t="s">
        <v>49</v>
      </c>
      <c r="C205" s="21" t="str">
        <f t="shared" si="7"/>
        <v>A</v>
      </c>
      <c r="D205">
        <v>129</v>
      </c>
      <c r="E205">
        <v>118.44372876520001</v>
      </c>
      <c r="F205"/>
      <c r="G205" t="str">
        <f t="shared" si="8"/>
        <v/>
      </c>
    </row>
    <row r="206" spans="1:7" x14ac:dyDescent="0.25">
      <c r="A206" s="21">
        <f t="shared" si="6"/>
        <v>-0.241719560098829</v>
      </c>
      <c r="B206" t="s">
        <v>49</v>
      </c>
      <c r="C206" s="21" t="str">
        <f t="shared" si="7"/>
        <v>B</v>
      </c>
      <c r="D206">
        <v>124</v>
      </c>
      <c r="E206">
        <v>94.026774547745205</v>
      </c>
      <c r="F206"/>
      <c r="G206" t="str">
        <f t="shared" si="8"/>
        <v/>
      </c>
    </row>
    <row r="207" spans="1:7" x14ac:dyDescent="0.25">
      <c r="A207" s="21">
        <f t="shared" si="6"/>
        <v>-0.17096196708716926</v>
      </c>
      <c r="B207" t="s">
        <v>49</v>
      </c>
      <c r="C207" s="21" t="str">
        <f t="shared" si="7"/>
        <v>A</v>
      </c>
      <c r="D207">
        <v>130</v>
      </c>
      <c r="E207">
        <v>107.774944278668</v>
      </c>
      <c r="F207"/>
      <c r="G207" t="str">
        <f t="shared" si="8"/>
        <v/>
      </c>
    </row>
    <row r="208" spans="1:7" x14ac:dyDescent="0.25">
      <c r="A208" s="21">
        <f t="shared" si="6"/>
        <v>0.180154113505129</v>
      </c>
      <c r="B208" t="s">
        <v>49</v>
      </c>
      <c r="C208" s="21" t="str">
        <f t="shared" si="7"/>
        <v>A</v>
      </c>
      <c r="D208">
        <v>93</v>
      </c>
      <c r="E208">
        <v>109.754332555977</v>
      </c>
      <c r="F208"/>
      <c r="G208" t="str">
        <f t="shared" si="8"/>
        <v/>
      </c>
    </row>
    <row r="209" spans="1:7" x14ac:dyDescent="0.25">
      <c r="A209" s="21">
        <f t="shared" si="6"/>
        <v>-0.18016215553131576</v>
      </c>
      <c r="B209" t="s">
        <v>49</v>
      </c>
      <c r="C209" s="21" t="str">
        <f t="shared" si="7"/>
        <v>A</v>
      </c>
      <c r="D209">
        <v>152</v>
      </c>
      <c r="E209">
        <v>124.61535235924001</v>
      </c>
      <c r="F209"/>
      <c r="G209" t="str">
        <f t="shared" si="8"/>
        <v/>
      </c>
    </row>
    <row r="210" spans="1:7" x14ac:dyDescent="0.25">
      <c r="A210" s="21">
        <f t="shared" si="6"/>
        <v>-0.24831641099263047</v>
      </c>
      <c r="B210" t="s">
        <v>49</v>
      </c>
      <c r="C210" s="21" t="str">
        <f t="shared" si="7"/>
        <v>B</v>
      </c>
      <c r="D210">
        <v>138</v>
      </c>
      <c r="E210">
        <v>103.73233528301699</v>
      </c>
      <c r="F210"/>
      <c r="G210" t="str">
        <f t="shared" si="8"/>
        <v/>
      </c>
    </row>
    <row r="211" spans="1:7" x14ac:dyDescent="0.25">
      <c r="A211" s="21">
        <f t="shared" si="6"/>
        <v>0.13206450039438833</v>
      </c>
      <c r="B211" t="s">
        <v>49</v>
      </c>
      <c r="C211" s="21" t="str">
        <f t="shared" si="7"/>
        <v>A</v>
      </c>
      <c r="D211">
        <v>121</v>
      </c>
      <c r="E211">
        <v>136.97980454772099</v>
      </c>
      <c r="F211"/>
      <c r="G211" t="str">
        <f t="shared" si="8"/>
        <v/>
      </c>
    </row>
    <row r="212" spans="1:7" x14ac:dyDescent="0.25">
      <c r="A212" s="21">
        <f t="shared" si="6"/>
        <v>0.21147835258952519</v>
      </c>
      <c r="B212" t="s">
        <v>49</v>
      </c>
      <c r="C212" s="21" t="str">
        <f t="shared" si="7"/>
        <v>B</v>
      </c>
      <c r="D212">
        <v>99</v>
      </c>
      <c r="E212">
        <v>119.936356906363</v>
      </c>
      <c r="F212"/>
      <c r="G212" t="str">
        <f t="shared" si="8"/>
        <v/>
      </c>
    </row>
    <row r="213" spans="1:7" x14ac:dyDescent="0.25">
      <c r="A213" s="21">
        <f t="shared" si="6"/>
        <v>-1</v>
      </c>
      <c r="B213" t="s">
        <v>49</v>
      </c>
      <c r="C213" s="21" t="s">
        <v>72</v>
      </c>
      <c r="D213">
        <v>285</v>
      </c>
      <c r="E213"/>
      <c r="F213">
        <v>107.879193008299</v>
      </c>
      <c r="G213">
        <f t="shared" si="8"/>
        <v>0</v>
      </c>
    </row>
    <row r="214" spans="1:7" x14ac:dyDescent="0.25">
      <c r="A214" s="21">
        <f t="shared" si="6"/>
        <v>-0.39031539208035326</v>
      </c>
      <c r="B214" t="s">
        <v>49</v>
      </c>
      <c r="C214" s="21" t="str">
        <f t="shared" si="7"/>
        <v>B</v>
      </c>
      <c r="D214">
        <v>283</v>
      </c>
      <c r="E214">
        <v>172.54074404126001</v>
      </c>
      <c r="F214"/>
      <c r="G214" t="str">
        <f t="shared" si="8"/>
        <v/>
      </c>
    </row>
    <row r="215" spans="1:7" x14ac:dyDescent="0.25">
      <c r="A215" s="21">
        <f t="shared" si="6"/>
        <v>-3.3513533473748081E-2</v>
      </c>
      <c r="B215" t="s">
        <v>49</v>
      </c>
      <c r="C215" s="21" t="str">
        <f t="shared" si="7"/>
        <v>A</v>
      </c>
      <c r="D215">
        <v>381</v>
      </c>
      <c r="E215">
        <v>368.23134374650198</v>
      </c>
      <c r="F215"/>
      <c r="G215" t="str">
        <f t="shared" si="8"/>
        <v/>
      </c>
    </row>
    <row r="216" spans="1:7" x14ac:dyDescent="0.25">
      <c r="A216" s="21">
        <f t="shared" si="6"/>
        <v>-0.16027826904629816</v>
      </c>
      <c r="B216" t="s">
        <v>49</v>
      </c>
      <c r="C216" s="21" t="str">
        <f t="shared" si="7"/>
        <v>A</v>
      </c>
      <c r="D216">
        <v>332</v>
      </c>
      <c r="E216">
        <v>278.787614676629</v>
      </c>
      <c r="F216"/>
      <c r="G216" t="str">
        <f t="shared" si="8"/>
        <v/>
      </c>
    </row>
    <row r="217" spans="1:7" x14ac:dyDescent="0.25">
      <c r="A217" s="21">
        <f t="shared" si="6"/>
        <v>-0.17472933051163764</v>
      </c>
      <c r="B217" t="s">
        <v>49</v>
      </c>
      <c r="C217" s="21" t="str">
        <f t="shared" si="7"/>
        <v>A</v>
      </c>
      <c r="D217">
        <v>287</v>
      </c>
      <c r="E217">
        <v>236.85268214316</v>
      </c>
      <c r="F217"/>
      <c r="G217" t="str">
        <f t="shared" si="8"/>
        <v/>
      </c>
    </row>
    <row r="218" spans="1:7" x14ac:dyDescent="0.25">
      <c r="A218" s="21">
        <f t="shared" si="6"/>
        <v>-0.14114009177733811</v>
      </c>
      <c r="B218" t="s">
        <v>49</v>
      </c>
      <c r="C218" s="21" t="str">
        <f t="shared" si="7"/>
        <v>A</v>
      </c>
      <c r="D218">
        <v>275</v>
      </c>
      <c r="E218">
        <v>236.18647476123201</v>
      </c>
      <c r="F218"/>
      <c r="G218" t="str">
        <f t="shared" si="8"/>
        <v/>
      </c>
    </row>
    <row r="219" spans="1:7" x14ac:dyDescent="0.25">
      <c r="A219" s="21">
        <f t="shared" si="6"/>
        <v>-4.5145208964774253E-2</v>
      </c>
      <c r="B219" t="s">
        <v>49</v>
      </c>
      <c r="C219" s="21" t="str">
        <f t="shared" si="7"/>
        <v>A</v>
      </c>
      <c r="D219">
        <v>257</v>
      </c>
      <c r="E219">
        <v>245.39768129605301</v>
      </c>
      <c r="F219"/>
      <c r="G219" t="str">
        <f t="shared" si="8"/>
        <v/>
      </c>
    </row>
    <row r="220" spans="1:7" x14ac:dyDescent="0.25">
      <c r="A220" s="21"/>
      <c r="B220"/>
      <c r="C220" s="21"/>
      <c r="D220"/>
      <c r="E220"/>
      <c r="F220"/>
      <c r="G220"/>
    </row>
    <row r="221" spans="1:7" x14ac:dyDescent="0.25">
      <c r="A221" s="21"/>
      <c r="B221"/>
      <c r="C221" s="21"/>
      <c r="D221"/>
      <c r="E221"/>
      <c r="F221"/>
      <c r="G221"/>
    </row>
    <row r="222" spans="1:7" x14ac:dyDescent="0.25">
      <c r="A222" s="21"/>
      <c r="B222"/>
      <c r="C222" s="21"/>
      <c r="D222"/>
      <c r="E222"/>
      <c r="F222"/>
      <c r="G222"/>
    </row>
    <row r="223" spans="1:7" x14ac:dyDescent="0.25">
      <c r="A223" s="21"/>
      <c r="B223"/>
      <c r="C223" s="21"/>
      <c r="D223"/>
      <c r="E223"/>
      <c r="F223"/>
      <c r="G223"/>
    </row>
    <row r="224" spans="1:7" x14ac:dyDescent="0.25">
      <c r="A224" s="21"/>
      <c r="B224"/>
      <c r="C224" s="21"/>
      <c r="D224"/>
      <c r="E224"/>
      <c r="F224"/>
      <c r="G224"/>
    </row>
    <row r="225" spans="1:7" x14ac:dyDescent="0.25">
      <c r="A225" s="21"/>
      <c r="B225"/>
      <c r="C225" s="21"/>
      <c r="D225"/>
      <c r="E225"/>
      <c r="F225"/>
      <c r="G225"/>
    </row>
    <row r="226" spans="1:7" x14ac:dyDescent="0.25">
      <c r="A226" s="21"/>
      <c r="B226"/>
      <c r="C226" s="21"/>
      <c r="D226"/>
      <c r="E226"/>
      <c r="F226"/>
      <c r="G226"/>
    </row>
    <row r="227" spans="1:7" x14ac:dyDescent="0.25">
      <c r="A227" s="21"/>
      <c r="B227"/>
      <c r="C227" s="21"/>
      <c r="D227"/>
      <c r="E227"/>
      <c r="F227"/>
      <c r="G227"/>
    </row>
    <row r="228" spans="1:7" x14ac:dyDescent="0.25">
      <c r="A228" s="21"/>
      <c r="B228"/>
      <c r="C228" s="21"/>
      <c r="D228"/>
      <c r="E228"/>
      <c r="F228"/>
      <c r="G228"/>
    </row>
    <row r="229" spans="1:7" x14ac:dyDescent="0.25">
      <c r="A229" s="21"/>
      <c r="B229"/>
      <c r="C229" s="21"/>
      <c r="D229"/>
      <c r="E229"/>
      <c r="F229"/>
      <c r="G229"/>
    </row>
    <row r="230" spans="1:7" x14ac:dyDescent="0.25">
      <c r="A230" s="21"/>
      <c r="B230"/>
      <c r="C230" s="21"/>
      <c r="D230"/>
      <c r="E230"/>
      <c r="F230"/>
      <c r="G230"/>
    </row>
    <row r="231" spans="1:7" x14ac:dyDescent="0.25">
      <c r="A231" s="21"/>
      <c r="B231"/>
      <c r="C231" s="21"/>
      <c r="D231"/>
      <c r="E231"/>
      <c r="F231"/>
      <c r="G231"/>
    </row>
    <row r="232" spans="1:7" x14ac:dyDescent="0.25">
      <c r="A232" s="21"/>
      <c r="B232"/>
      <c r="C232" s="21"/>
      <c r="D232"/>
      <c r="E232"/>
      <c r="F232"/>
      <c r="G232"/>
    </row>
    <row r="233" spans="1:7" x14ac:dyDescent="0.25">
      <c r="A233" s="21"/>
      <c r="B233"/>
      <c r="C233" s="21"/>
      <c r="D233"/>
      <c r="E233"/>
      <c r="F233"/>
      <c r="G233"/>
    </row>
    <row r="234" spans="1:7" x14ac:dyDescent="0.25">
      <c r="A234" s="21"/>
      <c r="B234"/>
      <c r="C234" s="21"/>
      <c r="D234"/>
      <c r="E234"/>
      <c r="F234"/>
      <c r="G234"/>
    </row>
    <row r="235" spans="1:7" x14ac:dyDescent="0.25">
      <c r="A235" s="21"/>
      <c r="B235"/>
      <c r="C235" s="21"/>
      <c r="D235"/>
      <c r="E235"/>
      <c r="F235"/>
      <c r="G235"/>
    </row>
    <row r="236" spans="1:7" x14ac:dyDescent="0.25">
      <c r="A236" s="21"/>
      <c r="B236"/>
      <c r="C236" s="21"/>
      <c r="D236"/>
      <c r="E236"/>
      <c r="F236"/>
      <c r="G236"/>
    </row>
    <row r="237" spans="1:7" x14ac:dyDescent="0.25">
      <c r="A237" s="21"/>
      <c r="B237"/>
      <c r="C237" s="21"/>
      <c r="D237"/>
      <c r="E237"/>
      <c r="F237"/>
      <c r="G237"/>
    </row>
    <row r="238" spans="1:7" x14ac:dyDescent="0.25">
      <c r="A238" s="21"/>
      <c r="B238"/>
      <c r="C238" s="21"/>
      <c r="D238"/>
      <c r="E238"/>
      <c r="F238"/>
      <c r="G238"/>
    </row>
    <row r="239" spans="1:7" x14ac:dyDescent="0.25">
      <c r="A239" s="21"/>
      <c r="B239"/>
      <c r="C239" s="21"/>
      <c r="D239"/>
      <c r="E239"/>
      <c r="F239"/>
      <c r="G239"/>
    </row>
    <row r="240" spans="1:7" x14ac:dyDescent="0.25">
      <c r="A240" s="21"/>
      <c r="B240"/>
      <c r="C240" s="21"/>
      <c r="D240"/>
      <c r="E240"/>
      <c r="F240"/>
      <c r="G240"/>
    </row>
    <row r="241" spans="1:7" x14ac:dyDescent="0.25">
      <c r="A241" s="21"/>
      <c r="B241"/>
      <c r="C241" s="21"/>
      <c r="D241"/>
      <c r="E241"/>
      <c r="F241"/>
      <c r="G241"/>
    </row>
    <row r="242" spans="1:7" x14ac:dyDescent="0.25">
      <c r="A242" s="21"/>
      <c r="B242"/>
      <c r="C242" s="21"/>
      <c r="D242"/>
      <c r="E242"/>
      <c r="F242"/>
      <c r="G242"/>
    </row>
    <row r="243" spans="1:7" x14ac:dyDescent="0.25">
      <c r="A243" s="21"/>
      <c r="B243"/>
      <c r="C243" s="21"/>
      <c r="D243"/>
      <c r="E243"/>
      <c r="F243"/>
      <c r="G243"/>
    </row>
    <row r="244" spans="1:7" x14ac:dyDescent="0.25">
      <c r="A244" s="21"/>
      <c r="B244"/>
      <c r="C244" s="21"/>
      <c r="D244"/>
      <c r="E244"/>
      <c r="F244"/>
      <c r="G244"/>
    </row>
    <row r="245" spans="1:7" x14ac:dyDescent="0.25">
      <c r="A245" s="21"/>
      <c r="B245"/>
      <c r="C245" s="21"/>
      <c r="D245"/>
      <c r="E245"/>
      <c r="F245"/>
      <c r="G245"/>
    </row>
    <row r="246" spans="1:7" x14ac:dyDescent="0.25">
      <c r="A246" s="21"/>
      <c r="B246"/>
      <c r="C246" s="21"/>
      <c r="D246"/>
      <c r="E246"/>
      <c r="F246"/>
      <c r="G246"/>
    </row>
    <row r="247" spans="1:7" x14ac:dyDescent="0.25">
      <c r="A247" s="21"/>
      <c r="B247"/>
      <c r="C247" s="21"/>
      <c r="D247"/>
      <c r="E247"/>
      <c r="F247"/>
      <c r="G247"/>
    </row>
    <row r="248" spans="1:7" x14ac:dyDescent="0.25">
      <c r="A248" s="21"/>
      <c r="B248"/>
      <c r="C248" s="21"/>
      <c r="D248"/>
      <c r="E248"/>
      <c r="F248"/>
      <c r="G248"/>
    </row>
    <row r="249" spans="1:7" x14ac:dyDescent="0.25">
      <c r="A249" s="21"/>
      <c r="B249"/>
      <c r="C249" s="21"/>
      <c r="D249"/>
      <c r="E249"/>
      <c r="F249"/>
      <c r="G249"/>
    </row>
    <row r="250" spans="1:7" x14ac:dyDescent="0.25">
      <c r="A250" s="21"/>
      <c r="B250"/>
      <c r="C250" s="21"/>
      <c r="D250"/>
      <c r="E250"/>
      <c r="F250"/>
      <c r="G250"/>
    </row>
    <row r="251" spans="1:7" x14ac:dyDescent="0.25">
      <c r="A251" s="21"/>
      <c r="B251"/>
      <c r="C251" s="21"/>
      <c r="D251"/>
      <c r="E251"/>
      <c r="F251"/>
      <c r="G251"/>
    </row>
    <row r="252" spans="1:7" x14ac:dyDescent="0.25">
      <c r="A252" s="21"/>
      <c r="B252"/>
      <c r="C252" s="21"/>
      <c r="D252"/>
      <c r="E252"/>
      <c r="F252"/>
      <c r="G252"/>
    </row>
    <row r="253" spans="1:7" x14ac:dyDescent="0.25">
      <c r="A253" s="21"/>
      <c r="B253"/>
      <c r="C253" s="21"/>
      <c r="D253"/>
      <c r="E253"/>
      <c r="F253"/>
      <c r="G253"/>
    </row>
    <row r="254" spans="1:7" x14ac:dyDescent="0.25">
      <c r="A254" s="21"/>
      <c r="B254"/>
      <c r="C254" s="21"/>
      <c r="D254"/>
      <c r="E254"/>
      <c r="F254"/>
      <c r="G254"/>
    </row>
    <row r="255" spans="1:7" x14ac:dyDescent="0.25">
      <c r="A255" s="21"/>
      <c r="B255"/>
      <c r="C255" s="21"/>
      <c r="D255"/>
      <c r="E255"/>
      <c r="F255"/>
      <c r="G255"/>
    </row>
    <row r="256" spans="1:7" x14ac:dyDescent="0.25">
      <c r="A256" s="21"/>
      <c r="B256"/>
      <c r="C256" s="21"/>
      <c r="D256"/>
      <c r="E256"/>
      <c r="F256"/>
      <c r="G256"/>
    </row>
    <row r="257" spans="1:7" x14ac:dyDescent="0.25">
      <c r="A257" s="21"/>
      <c r="B257"/>
      <c r="C257" s="21"/>
      <c r="D257"/>
      <c r="E257"/>
      <c r="F257"/>
      <c r="G257"/>
    </row>
    <row r="258" spans="1:7" x14ac:dyDescent="0.25">
      <c r="A258" s="21"/>
      <c r="B258"/>
      <c r="C258" s="21"/>
      <c r="D258"/>
      <c r="E258"/>
      <c r="F258"/>
      <c r="G258"/>
    </row>
    <row r="259" spans="1:7" x14ac:dyDescent="0.25">
      <c r="A259" s="21"/>
      <c r="B259"/>
      <c r="C259" s="21"/>
      <c r="D259"/>
      <c r="E259"/>
      <c r="F259"/>
      <c r="G259"/>
    </row>
    <row r="260" spans="1:7" x14ac:dyDescent="0.25">
      <c r="A260" s="21"/>
      <c r="B260"/>
      <c r="C260" s="21"/>
      <c r="D260"/>
      <c r="E260"/>
      <c r="F260"/>
      <c r="G260"/>
    </row>
    <row r="261" spans="1:7" x14ac:dyDescent="0.25">
      <c r="A261" s="21"/>
      <c r="B261"/>
      <c r="C261" s="21"/>
      <c r="D261"/>
      <c r="E261"/>
      <c r="F261"/>
      <c r="G261"/>
    </row>
    <row r="262" spans="1:7" x14ac:dyDescent="0.25">
      <c r="A262" s="21"/>
      <c r="B262"/>
      <c r="C262" s="21"/>
      <c r="D262"/>
      <c r="E262"/>
      <c r="F262"/>
      <c r="G262"/>
    </row>
    <row r="263" spans="1:7" x14ac:dyDescent="0.25">
      <c r="A263" s="21"/>
      <c r="B263"/>
      <c r="C263" s="21"/>
      <c r="D263"/>
      <c r="E263"/>
      <c r="F263"/>
      <c r="G263"/>
    </row>
    <row r="264" spans="1:7" x14ac:dyDescent="0.25">
      <c r="A264" s="21"/>
      <c r="B264"/>
      <c r="C264" s="21"/>
      <c r="D264"/>
      <c r="E264"/>
      <c r="F264"/>
      <c r="G264"/>
    </row>
    <row r="265" spans="1:7" x14ac:dyDescent="0.25">
      <c r="A265" s="21"/>
      <c r="B265"/>
      <c r="C265" s="21"/>
      <c r="D265"/>
      <c r="E265"/>
      <c r="F265"/>
      <c r="G265"/>
    </row>
    <row r="266" spans="1:7" x14ac:dyDescent="0.25">
      <c r="A266" s="21"/>
      <c r="B266"/>
      <c r="C266" s="21"/>
      <c r="D266"/>
      <c r="E266"/>
      <c r="F266"/>
      <c r="G266"/>
    </row>
    <row r="267" spans="1:7" x14ac:dyDescent="0.25">
      <c r="A267" s="21"/>
      <c r="B267"/>
      <c r="C267" s="21"/>
      <c r="D267"/>
      <c r="E267"/>
      <c r="F267"/>
      <c r="G267"/>
    </row>
    <row r="268" spans="1:7" x14ac:dyDescent="0.25">
      <c r="A268" s="21"/>
      <c r="B268"/>
      <c r="C268" s="21"/>
      <c r="D268"/>
      <c r="E268"/>
      <c r="F268"/>
      <c r="G268"/>
    </row>
    <row r="269" spans="1:7" x14ac:dyDescent="0.25">
      <c r="A269" s="21"/>
      <c r="B269"/>
      <c r="C269" s="21"/>
      <c r="D269"/>
      <c r="E269"/>
      <c r="F269"/>
      <c r="G269"/>
    </row>
    <row r="270" spans="1:7" x14ac:dyDescent="0.25">
      <c r="A270" s="21"/>
      <c r="B270"/>
      <c r="C270" s="21"/>
      <c r="D270"/>
      <c r="E270"/>
      <c r="F270"/>
      <c r="G270"/>
    </row>
    <row r="271" spans="1:7" x14ac:dyDescent="0.25">
      <c r="A271" s="21"/>
      <c r="B271"/>
      <c r="C271" s="21"/>
      <c r="D271"/>
      <c r="E271"/>
      <c r="F271"/>
      <c r="G271"/>
    </row>
    <row r="272" spans="1:7" x14ac:dyDescent="0.25">
      <c r="A272" s="21"/>
      <c r="B272"/>
      <c r="C272" s="21"/>
      <c r="D272"/>
      <c r="E272"/>
      <c r="F272"/>
      <c r="G272"/>
    </row>
    <row r="273" spans="1:7" x14ac:dyDescent="0.25">
      <c r="A273" s="21"/>
      <c r="B273"/>
      <c r="C273" s="21"/>
      <c r="D273"/>
      <c r="E273"/>
      <c r="F273"/>
      <c r="G273"/>
    </row>
    <row r="274" spans="1:7" x14ac:dyDescent="0.25">
      <c r="A274" s="21"/>
      <c r="B274"/>
      <c r="C274" s="21"/>
      <c r="D274"/>
      <c r="E274"/>
      <c r="F274"/>
      <c r="G274"/>
    </row>
    <row r="275" spans="1:7" x14ac:dyDescent="0.25">
      <c r="A275" s="21"/>
      <c r="B275"/>
      <c r="C275" s="21"/>
      <c r="D275"/>
      <c r="E275"/>
      <c r="F275"/>
      <c r="G275"/>
    </row>
    <row r="276" spans="1:7" x14ac:dyDescent="0.25">
      <c r="A276" s="21"/>
      <c r="B276"/>
      <c r="C276" s="21"/>
      <c r="D276"/>
      <c r="E276"/>
      <c r="F276"/>
      <c r="G276"/>
    </row>
    <row r="277" spans="1:7" x14ac:dyDescent="0.25">
      <c r="A277" s="21"/>
      <c r="B277"/>
      <c r="C277" s="21"/>
      <c r="D277"/>
      <c r="E277"/>
      <c r="F277"/>
      <c r="G277"/>
    </row>
    <row r="278" spans="1:7" x14ac:dyDescent="0.25">
      <c r="A278" s="21"/>
      <c r="B278"/>
      <c r="C278" s="21"/>
      <c r="D278"/>
      <c r="E278"/>
      <c r="F278"/>
      <c r="G278"/>
    </row>
    <row r="279" spans="1:7" x14ac:dyDescent="0.25">
      <c r="A279" s="21"/>
      <c r="B279"/>
      <c r="C279" s="21"/>
      <c r="D279"/>
      <c r="E279"/>
      <c r="F279"/>
      <c r="G279"/>
    </row>
    <row r="280" spans="1:7" x14ac:dyDescent="0.25">
      <c r="A280" s="21"/>
      <c r="B280"/>
      <c r="C280" s="21"/>
      <c r="D280"/>
      <c r="E280"/>
      <c r="F280"/>
      <c r="G280"/>
    </row>
    <row r="281" spans="1:7" x14ac:dyDescent="0.25">
      <c r="A281" s="21"/>
      <c r="B281"/>
      <c r="C281" s="21"/>
      <c r="D281"/>
      <c r="E281"/>
      <c r="F281"/>
      <c r="G281"/>
    </row>
    <row r="282" spans="1:7" x14ac:dyDescent="0.25">
      <c r="A282" s="21"/>
      <c r="B282"/>
      <c r="C282" s="21"/>
      <c r="D282"/>
      <c r="E282"/>
      <c r="F282"/>
      <c r="G282"/>
    </row>
    <row r="283" spans="1:7" x14ac:dyDescent="0.25">
      <c r="A283" s="21"/>
      <c r="B283"/>
      <c r="C283" s="21"/>
      <c r="D283"/>
      <c r="E283"/>
      <c r="F283"/>
      <c r="G283"/>
    </row>
    <row r="284" spans="1:7" x14ac:dyDescent="0.25">
      <c r="A284" s="21"/>
      <c r="B284"/>
      <c r="C284" s="21"/>
      <c r="D284"/>
      <c r="E284"/>
      <c r="F284"/>
      <c r="G284"/>
    </row>
    <row r="285" spans="1:7" x14ac:dyDescent="0.25">
      <c r="A285" s="21"/>
      <c r="B285"/>
      <c r="C285" s="21"/>
      <c r="D285"/>
      <c r="E285"/>
      <c r="F285"/>
      <c r="G285"/>
    </row>
    <row r="286" spans="1:7" x14ac:dyDescent="0.25">
      <c r="A286" s="21"/>
      <c r="B286"/>
      <c r="C286" s="21"/>
      <c r="D286"/>
      <c r="E286"/>
      <c r="F286"/>
      <c r="G286"/>
    </row>
    <row r="287" spans="1:7" x14ac:dyDescent="0.25">
      <c r="A287" s="21"/>
      <c r="B287"/>
      <c r="C287" s="21"/>
      <c r="D287"/>
      <c r="E287"/>
      <c r="F287"/>
      <c r="G287"/>
    </row>
    <row r="288" spans="1:7" x14ac:dyDescent="0.25">
      <c r="A288" s="21"/>
      <c r="B288"/>
      <c r="C288" s="21"/>
      <c r="D288"/>
      <c r="E288"/>
      <c r="F288"/>
      <c r="G288"/>
    </row>
    <row r="289" spans="1:7" x14ac:dyDescent="0.25">
      <c r="A289" s="21"/>
      <c r="B289"/>
      <c r="C289" s="21"/>
      <c r="D289"/>
      <c r="E289"/>
      <c r="F289"/>
      <c r="G289"/>
    </row>
    <row r="290" spans="1:7" x14ac:dyDescent="0.25">
      <c r="A290" s="21"/>
      <c r="B290"/>
      <c r="C290" s="21"/>
      <c r="D290"/>
      <c r="E290"/>
      <c r="F290"/>
      <c r="G290"/>
    </row>
    <row r="291" spans="1:7" x14ac:dyDescent="0.25">
      <c r="A291" s="21"/>
      <c r="B291"/>
      <c r="C291" s="21"/>
      <c r="D291"/>
      <c r="E291"/>
      <c r="F291"/>
      <c r="G291"/>
    </row>
    <row r="292" spans="1:7" x14ac:dyDescent="0.25">
      <c r="A292" s="21"/>
      <c r="B292"/>
      <c r="C292" s="21"/>
      <c r="D292"/>
      <c r="E292"/>
      <c r="F292"/>
      <c r="G292"/>
    </row>
    <row r="293" spans="1:7" x14ac:dyDescent="0.25">
      <c r="A293" s="21"/>
      <c r="B293"/>
      <c r="C293" s="21"/>
      <c r="D293"/>
      <c r="E293"/>
      <c r="F293"/>
      <c r="G293"/>
    </row>
    <row r="294" spans="1:7" x14ac:dyDescent="0.25">
      <c r="A294" s="21"/>
      <c r="B294"/>
      <c r="C294" s="21"/>
      <c r="D294"/>
      <c r="E294"/>
      <c r="F294"/>
      <c r="G294"/>
    </row>
  </sheetData>
  <phoneticPr fontId="1" type="noConversion"/>
  <conditionalFormatting sqref="A38:A2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20" t="s">
        <v>6</v>
      </c>
      <c r="B2" s="20" t="s">
        <v>63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2</v>
      </c>
      <c r="K2" s="1" t="s">
        <v>0</v>
      </c>
    </row>
    <row r="3" spans="1:11" x14ac:dyDescent="0.25">
      <c r="A3" s="20">
        <v>0</v>
      </c>
      <c r="B3" s="20">
        <v>0</v>
      </c>
      <c r="C3" s="20">
        <v>50</v>
      </c>
      <c r="D3" s="20"/>
      <c r="E3" s="20"/>
      <c r="F3" s="20"/>
      <c r="G3" s="20"/>
      <c r="H3" s="20"/>
      <c r="I3" s="20"/>
      <c r="J3" s="20"/>
      <c r="K3" s="1"/>
    </row>
    <row r="4" spans="1:11" x14ac:dyDescent="0.25">
      <c r="A4" s="20">
        <v>30</v>
      </c>
      <c r="B4" s="20">
        <v>30</v>
      </c>
      <c r="C4" s="20">
        <v>50</v>
      </c>
      <c r="D4" s="20"/>
      <c r="E4" s="20"/>
      <c r="F4" s="20"/>
      <c r="G4" s="20"/>
      <c r="H4" s="20"/>
      <c r="I4" s="20"/>
      <c r="J4" s="20"/>
      <c r="K4" s="1"/>
    </row>
    <row r="5" spans="1:11" x14ac:dyDescent="0.25">
      <c r="A5" s="20">
        <v>140</v>
      </c>
      <c r="B5" s="20">
        <v>140</v>
      </c>
      <c r="C5" s="20">
        <v>170</v>
      </c>
      <c r="D5" s="20"/>
      <c r="E5" s="20"/>
      <c r="F5" s="20"/>
      <c r="G5" s="20"/>
      <c r="H5" s="20"/>
      <c r="I5" s="20"/>
      <c r="J5" s="20"/>
      <c r="K5" s="1"/>
    </row>
    <row r="6" spans="1:11" x14ac:dyDescent="0.25">
      <c r="A6" s="20">
        <v>280</v>
      </c>
      <c r="B6" s="20">
        <v>280</v>
      </c>
      <c r="C6" s="20">
        <v>380</v>
      </c>
      <c r="D6" s="20"/>
      <c r="E6" s="20"/>
      <c r="F6" s="20"/>
      <c r="G6" s="20"/>
      <c r="H6" s="20"/>
      <c r="I6" s="20"/>
      <c r="J6" s="20"/>
      <c r="K6" s="1"/>
    </row>
    <row r="7" spans="1:11" x14ac:dyDescent="0.25">
      <c r="A7" s="20">
        <v>430</v>
      </c>
      <c r="B7" s="20">
        <v>430</v>
      </c>
      <c r="C7" s="20">
        <v>550</v>
      </c>
      <c r="D7" s="20"/>
      <c r="E7" s="20"/>
      <c r="F7" s="20"/>
      <c r="G7" s="20"/>
      <c r="H7" s="20"/>
      <c r="I7" s="20"/>
      <c r="J7" s="20"/>
      <c r="K7" s="1"/>
    </row>
    <row r="8" spans="1:11" x14ac:dyDescent="0.25">
      <c r="A8" s="20">
        <v>120</v>
      </c>
      <c r="B8" s="20">
        <v>120</v>
      </c>
      <c r="C8" s="20"/>
      <c r="D8" s="20"/>
      <c r="E8" s="20"/>
      <c r="F8" s="20">
        <v>0</v>
      </c>
      <c r="G8" s="20"/>
      <c r="H8" s="20"/>
      <c r="I8" s="20"/>
      <c r="J8" s="20"/>
      <c r="K8" s="1"/>
    </row>
    <row r="9" spans="1:11" x14ac:dyDescent="0.25">
      <c r="A9" s="20">
        <v>120</v>
      </c>
      <c r="B9" s="20">
        <v>120</v>
      </c>
      <c r="C9" s="20"/>
      <c r="D9" s="20"/>
      <c r="E9" s="20"/>
      <c r="F9" s="20">
        <v>30</v>
      </c>
      <c r="G9" s="20"/>
      <c r="H9" s="20"/>
      <c r="I9" s="20"/>
      <c r="J9" s="20"/>
      <c r="K9" s="1"/>
    </row>
    <row r="10" spans="1:11" x14ac:dyDescent="0.25">
      <c r="A10" s="20">
        <v>260</v>
      </c>
      <c r="B10" s="20">
        <v>260</v>
      </c>
      <c r="C10" s="20"/>
      <c r="D10" s="20"/>
      <c r="E10" s="20"/>
      <c r="F10" s="20">
        <v>130</v>
      </c>
      <c r="G10" s="20"/>
      <c r="H10" s="20"/>
      <c r="I10" s="20"/>
      <c r="J10" s="20"/>
      <c r="K10" s="1"/>
    </row>
    <row r="11" spans="1:11" x14ac:dyDescent="0.25">
      <c r="A11" s="20">
        <v>550</v>
      </c>
      <c r="B11" s="20">
        <v>550</v>
      </c>
      <c r="C11" s="20"/>
      <c r="D11" s="20"/>
      <c r="E11" s="20"/>
      <c r="F11" s="20">
        <v>250</v>
      </c>
      <c r="G11" s="20"/>
      <c r="H11" s="20"/>
      <c r="I11" s="20"/>
      <c r="J11" s="20"/>
      <c r="K11" s="1"/>
    </row>
    <row r="12" spans="1:11" x14ac:dyDescent="0.25">
      <c r="A12" s="20">
        <v>50</v>
      </c>
      <c r="B12" s="20"/>
      <c r="C12" s="20"/>
      <c r="D12" s="20">
        <v>0</v>
      </c>
      <c r="E12" s="20"/>
      <c r="F12" s="20"/>
      <c r="G12" s="20"/>
      <c r="H12" s="20"/>
      <c r="I12" s="20"/>
      <c r="J12" s="20"/>
      <c r="K12" s="1"/>
    </row>
    <row r="13" spans="1:11" x14ac:dyDescent="0.25">
      <c r="A13" s="20">
        <v>50</v>
      </c>
      <c r="B13" s="20"/>
      <c r="C13" s="20"/>
      <c r="D13" s="20">
        <v>30</v>
      </c>
      <c r="E13" s="20"/>
      <c r="F13" s="20"/>
      <c r="G13" s="20"/>
      <c r="H13" s="20"/>
      <c r="I13" s="20"/>
      <c r="J13" s="20"/>
      <c r="K13" s="1"/>
    </row>
    <row r="14" spans="1:11" x14ac:dyDescent="0.25">
      <c r="A14" s="20">
        <v>170</v>
      </c>
      <c r="B14" s="20"/>
      <c r="C14" s="20"/>
      <c r="D14" s="20">
        <v>145</v>
      </c>
      <c r="E14" s="20"/>
      <c r="F14" s="20"/>
      <c r="G14" s="20"/>
      <c r="H14" s="20"/>
      <c r="I14" s="20"/>
      <c r="J14" s="20"/>
      <c r="K14" s="1"/>
    </row>
    <row r="15" spans="1:11" x14ac:dyDescent="0.25">
      <c r="A15" s="20">
        <v>385</v>
      </c>
      <c r="B15" s="20"/>
      <c r="C15" s="20"/>
      <c r="D15" s="20">
        <v>300</v>
      </c>
      <c r="E15" s="20"/>
      <c r="F15" s="20"/>
      <c r="G15" s="20"/>
      <c r="H15" s="20"/>
      <c r="I15" s="20"/>
      <c r="J15" s="20"/>
      <c r="K15" s="1"/>
    </row>
    <row r="16" spans="1:11" x14ac:dyDescent="0.25">
      <c r="A16" s="20">
        <v>550</v>
      </c>
      <c r="B16" s="20"/>
      <c r="C16" s="20"/>
      <c r="D16" s="20">
        <v>450</v>
      </c>
      <c r="E16" s="20"/>
      <c r="F16" s="20"/>
      <c r="G16" s="20"/>
      <c r="H16" s="20"/>
      <c r="I16" s="20"/>
      <c r="J16" s="20"/>
      <c r="K16" s="1"/>
    </row>
    <row r="17" spans="1:11" x14ac:dyDescent="0.25">
      <c r="A17" s="20">
        <v>0</v>
      </c>
      <c r="B17" s="20"/>
      <c r="C17" s="20"/>
      <c r="D17" s="20"/>
      <c r="E17" s="20">
        <v>60</v>
      </c>
      <c r="F17" s="20"/>
      <c r="G17" s="20"/>
      <c r="H17" s="20"/>
      <c r="I17" s="20"/>
      <c r="J17" s="20"/>
      <c r="K17" s="1"/>
    </row>
    <row r="18" spans="1:11" x14ac:dyDescent="0.25">
      <c r="A18" s="20">
        <v>30</v>
      </c>
      <c r="B18" s="20"/>
      <c r="C18" s="20"/>
      <c r="D18" s="20"/>
      <c r="E18" s="20">
        <v>60</v>
      </c>
      <c r="F18" s="20"/>
      <c r="G18" s="20"/>
      <c r="H18" s="20"/>
      <c r="I18" s="20"/>
      <c r="J18" s="20"/>
      <c r="K18" s="1"/>
    </row>
    <row r="19" spans="1:11" x14ac:dyDescent="0.25">
      <c r="A19" s="20">
        <v>50</v>
      </c>
      <c r="B19" s="20"/>
      <c r="C19" s="20"/>
      <c r="D19" s="20"/>
      <c r="E19" s="20">
        <v>80</v>
      </c>
      <c r="F19" s="20"/>
      <c r="G19" s="20"/>
      <c r="H19" s="20"/>
      <c r="I19" s="20"/>
      <c r="J19" s="20"/>
      <c r="K19" s="1"/>
    </row>
    <row r="20" spans="1:11" x14ac:dyDescent="0.25">
      <c r="A20" s="20">
        <v>70</v>
      </c>
      <c r="B20" s="20"/>
      <c r="C20" s="20"/>
      <c r="D20" s="20"/>
      <c r="E20" s="20">
        <v>110</v>
      </c>
      <c r="F20" s="20"/>
      <c r="G20" s="20"/>
      <c r="H20" s="20"/>
      <c r="I20" s="20"/>
      <c r="J20" s="20"/>
      <c r="K20" s="1"/>
    </row>
    <row r="21" spans="1:11" x14ac:dyDescent="0.25">
      <c r="A21" s="20">
        <v>260</v>
      </c>
      <c r="B21" s="20"/>
      <c r="C21" s="20"/>
      <c r="D21" s="20"/>
      <c r="E21" s="20">
        <v>550</v>
      </c>
      <c r="F21" s="20"/>
      <c r="G21" s="20"/>
      <c r="H21" s="20"/>
      <c r="I21" s="20"/>
      <c r="J21" s="20"/>
      <c r="K21" s="1"/>
    </row>
    <row r="22" spans="1:11" x14ac:dyDescent="0.25">
      <c r="A22" s="20">
        <v>250</v>
      </c>
      <c r="B22" s="20"/>
      <c r="C22" s="20"/>
      <c r="D22" s="20"/>
      <c r="E22" s="20"/>
      <c r="F22" s="20"/>
      <c r="G22" s="20"/>
      <c r="H22" s="20">
        <v>0</v>
      </c>
      <c r="I22" s="20"/>
      <c r="J22" s="20"/>
      <c r="K22" s="1"/>
    </row>
    <row r="23" spans="1:11" x14ac:dyDescent="0.25">
      <c r="A23" s="20">
        <v>250</v>
      </c>
      <c r="B23" s="20"/>
      <c r="C23" s="20"/>
      <c r="D23" s="20"/>
      <c r="E23" s="20"/>
      <c r="F23" s="20"/>
      <c r="G23" s="20"/>
      <c r="H23" s="20">
        <v>40</v>
      </c>
      <c r="I23" s="20"/>
      <c r="J23" s="20"/>
      <c r="K23" s="1"/>
    </row>
    <row r="24" spans="1:11" x14ac:dyDescent="0.25">
      <c r="A24" s="20">
        <v>550</v>
      </c>
      <c r="B24" s="20"/>
      <c r="C24" s="20"/>
      <c r="D24" s="20"/>
      <c r="E24" s="20"/>
      <c r="F24" s="20"/>
      <c r="G24" s="20"/>
      <c r="H24" s="20">
        <v>150</v>
      </c>
      <c r="I24" s="20"/>
      <c r="J24" s="20"/>
      <c r="K24" s="1"/>
    </row>
    <row r="25" spans="1:11" x14ac:dyDescent="0.25">
      <c r="A25" s="20">
        <v>0</v>
      </c>
      <c r="B25" s="20"/>
      <c r="C25" s="20"/>
      <c r="D25" s="20"/>
      <c r="E25" s="20"/>
      <c r="F25" s="20"/>
      <c r="G25" s="20">
        <v>100</v>
      </c>
      <c r="H25" s="20"/>
      <c r="I25" s="20"/>
      <c r="J25" s="20"/>
      <c r="K25" s="1"/>
    </row>
    <row r="26" spans="1:11" x14ac:dyDescent="0.25">
      <c r="A26" s="20">
        <v>25</v>
      </c>
      <c r="B26" s="20"/>
      <c r="C26" s="20"/>
      <c r="D26" s="20"/>
      <c r="E26" s="20"/>
      <c r="F26" s="20"/>
      <c r="G26" s="20">
        <v>100</v>
      </c>
      <c r="H26" s="20"/>
      <c r="I26" s="20"/>
      <c r="J26" s="20"/>
      <c r="K26" s="1"/>
    </row>
    <row r="27" spans="1:11" x14ac:dyDescent="0.25">
      <c r="A27" s="20">
        <v>50</v>
      </c>
      <c r="B27" s="20"/>
      <c r="C27" s="20"/>
      <c r="D27" s="20"/>
      <c r="E27" s="20"/>
      <c r="F27" s="20"/>
      <c r="G27" s="20">
        <v>125</v>
      </c>
      <c r="H27" s="20"/>
      <c r="I27" s="20"/>
      <c r="J27" s="20"/>
      <c r="K27" s="1"/>
    </row>
    <row r="28" spans="1:11" x14ac:dyDescent="0.25">
      <c r="A28" s="20">
        <v>80</v>
      </c>
      <c r="B28" s="20"/>
      <c r="C28" s="20"/>
      <c r="D28" s="20"/>
      <c r="E28" s="20"/>
      <c r="F28" s="20"/>
      <c r="G28" s="20">
        <v>215</v>
      </c>
      <c r="H28" s="20"/>
      <c r="I28" s="20"/>
      <c r="J28" s="20"/>
      <c r="K28" s="1"/>
    </row>
    <row r="29" spans="1:11" x14ac:dyDescent="0.25">
      <c r="A29" s="20">
        <v>125</v>
      </c>
      <c r="B29" s="20"/>
      <c r="C29" s="20"/>
      <c r="D29" s="20"/>
      <c r="E29" s="20"/>
      <c r="F29" s="20"/>
      <c r="G29" s="20">
        <v>550</v>
      </c>
      <c r="H29" s="20"/>
      <c r="I29" s="20"/>
      <c r="J29" s="20"/>
      <c r="K29" s="1"/>
    </row>
    <row r="30" spans="1:11" x14ac:dyDescent="0.25">
      <c r="A30" s="20">
        <v>0</v>
      </c>
      <c r="B30" s="20"/>
      <c r="C30" s="20"/>
      <c r="D30" s="20"/>
      <c r="E30" s="20"/>
      <c r="F30" s="20"/>
      <c r="G30" s="20"/>
      <c r="H30" s="20"/>
      <c r="I30" s="20">
        <v>150</v>
      </c>
      <c r="J30" s="20"/>
      <c r="K30" s="1"/>
    </row>
    <row r="31" spans="1:11" x14ac:dyDescent="0.25">
      <c r="A31" s="20">
        <v>35</v>
      </c>
      <c r="B31" s="20"/>
      <c r="C31" s="20"/>
      <c r="D31" s="20"/>
      <c r="E31" s="20"/>
      <c r="F31" s="20"/>
      <c r="G31" s="20"/>
      <c r="H31" s="20"/>
      <c r="I31" s="20">
        <v>155</v>
      </c>
      <c r="J31" s="20"/>
      <c r="K31" s="1"/>
    </row>
    <row r="32" spans="1:11" x14ac:dyDescent="0.25">
      <c r="A32" s="20">
        <v>50</v>
      </c>
      <c r="B32" s="20"/>
      <c r="C32" s="20"/>
      <c r="D32" s="20"/>
      <c r="E32" s="20"/>
      <c r="F32" s="20"/>
      <c r="G32" s="20"/>
      <c r="H32" s="20"/>
      <c r="I32" s="20">
        <v>550</v>
      </c>
      <c r="J32" s="20"/>
      <c r="K32" s="1"/>
    </row>
    <row r="33" spans="1:11" x14ac:dyDescent="0.25">
      <c r="A33" s="20">
        <v>0</v>
      </c>
      <c r="B33" s="20"/>
      <c r="C33" s="20"/>
      <c r="D33" s="20"/>
      <c r="E33" s="20"/>
      <c r="F33" s="20"/>
      <c r="G33" s="20"/>
      <c r="H33" s="20"/>
      <c r="I33" s="20"/>
      <c r="J33" s="20">
        <v>0</v>
      </c>
      <c r="K33" s="1"/>
    </row>
    <row r="34" spans="1:11" x14ac:dyDescent="0.25">
      <c r="A34" s="20">
        <v>550</v>
      </c>
      <c r="B34" s="20"/>
      <c r="C34" s="20"/>
      <c r="D34" s="20"/>
      <c r="E34" s="20"/>
      <c r="F34" s="20"/>
      <c r="G34" s="20"/>
      <c r="H34" s="20"/>
      <c r="I34" s="20"/>
      <c r="J34" s="20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2</v>
      </c>
    </row>
    <row r="3" spans="1:9" x14ac:dyDescent="0.25">
      <c r="A3" s="20">
        <v>0</v>
      </c>
      <c r="B3" s="20">
        <v>50</v>
      </c>
      <c r="C3" s="20"/>
      <c r="D3" s="20">
        <v>60</v>
      </c>
      <c r="E3" s="20"/>
      <c r="F3" s="20">
        <v>100</v>
      </c>
      <c r="G3" s="20"/>
      <c r="H3" s="20">
        <v>150</v>
      </c>
      <c r="I3" s="20">
        <v>0</v>
      </c>
    </row>
    <row r="4" spans="1:9" x14ac:dyDescent="0.25">
      <c r="A4" s="20">
        <v>25</v>
      </c>
      <c r="B4" s="20"/>
      <c r="C4" s="20"/>
      <c r="D4" s="20"/>
      <c r="E4" s="20"/>
      <c r="F4" s="20">
        <v>100</v>
      </c>
      <c r="G4" s="20"/>
      <c r="H4" s="20"/>
      <c r="I4" s="20"/>
    </row>
    <row r="5" spans="1:9" x14ac:dyDescent="0.25">
      <c r="A5" s="20">
        <v>30</v>
      </c>
      <c r="B5" s="20">
        <v>50</v>
      </c>
      <c r="C5" s="20"/>
      <c r="D5" s="20">
        <v>60</v>
      </c>
      <c r="E5" s="20"/>
      <c r="F5" s="20"/>
      <c r="G5" s="20"/>
      <c r="H5" s="20"/>
      <c r="I5" s="20"/>
    </row>
    <row r="6" spans="1:9" x14ac:dyDescent="0.25">
      <c r="A6" s="20">
        <v>35</v>
      </c>
      <c r="B6" s="20"/>
      <c r="C6" s="20"/>
      <c r="D6" s="20"/>
      <c r="E6" s="20"/>
      <c r="F6" s="20"/>
      <c r="G6" s="20"/>
      <c r="H6" s="20">
        <v>155</v>
      </c>
      <c r="I6" s="20"/>
    </row>
    <row r="7" spans="1:9" x14ac:dyDescent="0.25">
      <c r="A7" s="20">
        <v>50</v>
      </c>
      <c r="B7" s="20"/>
      <c r="C7" s="20">
        <v>0</v>
      </c>
      <c r="D7" s="20"/>
      <c r="E7" s="20"/>
      <c r="F7" s="20"/>
      <c r="G7" s="20"/>
      <c r="H7" s="20"/>
      <c r="I7" s="20"/>
    </row>
    <row r="8" spans="1:9" x14ac:dyDescent="0.25">
      <c r="A8" s="20">
        <v>50</v>
      </c>
      <c r="B8" s="20"/>
      <c r="C8" s="20">
        <v>30</v>
      </c>
      <c r="D8" s="20">
        <v>80</v>
      </c>
      <c r="E8" s="20"/>
      <c r="F8" s="20">
        <v>125</v>
      </c>
      <c r="G8" s="20"/>
      <c r="H8" s="20">
        <v>550</v>
      </c>
      <c r="I8" s="20"/>
    </row>
    <row r="9" spans="1:9" x14ac:dyDescent="0.25">
      <c r="A9" s="20">
        <v>70</v>
      </c>
      <c r="B9" s="20"/>
      <c r="C9" s="20"/>
      <c r="D9" s="20">
        <v>110</v>
      </c>
      <c r="E9" s="20"/>
      <c r="F9" s="20"/>
      <c r="G9" s="20"/>
      <c r="H9" s="20"/>
      <c r="I9" s="20"/>
    </row>
    <row r="10" spans="1:9" x14ac:dyDescent="0.25">
      <c r="A10" s="20">
        <v>80</v>
      </c>
      <c r="B10" s="20"/>
      <c r="C10" s="20"/>
      <c r="D10" s="20"/>
      <c r="E10" s="20"/>
      <c r="F10" s="20">
        <v>215</v>
      </c>
      <c r="G10" s="20"/>
      <c r="H10" s="20"/>
      <c r="I10" s="20"/>
    </row>
    <row r="11" spans="1:9" x14ac:dyDescent="0.25">
      <c r="A11" s="20">
        <v>140</v>
      </c>
      <c r="B11" s="20">
        <v>170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20">
        <v>120</v>
      </c>
      <c r="B12" s="20"/>
      <c r="C12" s="20"/>
      <c r="D12" s="20"/>
      <c r="E12" s="20">
        <v>0</v>
      </c>
      <c r="F12" s="20"/>
      <c r="G12" s="20"/>
      <c r="H12" s="20"/>
      <c r="I12" s="20"/>
    </row>
    <row r="13" spans="1:9" x14ac:dyDescent="0.25">
      <c r="A13" s="20">
        <v>120</v>
      </c>
      <c r="B13" s="20"/>
      <c r="C13" s="20"/>
      <c r="D13" s="20"/>
      <c r="E13" s="20">
        <v>30</v>
      </c>
      <c r="F13" s="20"/>
      <c r="G13" s="20"/>
      <c r="H13" s="20"/>
      <c r="I13" s="20"/>
    </row>
    <row r="14" spans="1:9" x14ac:dyDescent="0.25">
      <c r="A14" s="20">
        <v>125</v>
      </c>
      <c r="B14" s="20"/>
      <c r="C14" s="20"/>
      <c r="D14" s="20"/>
      <c r="E14" s="20"/>
      <c r="F14" s="20">
        <v>550</v>
      </c>
      <c r="G14" s="20"/>
      <c r="H14" s="20"/>
      <c r="I14" s="20"/>
    </row>
    <row r="15" spans="1:9" x14ac:dyDescent="0.25">
      <c r="A15" s="20">
        <v>170</v>
      </c>
      <c r="B15" s="20"/>
      <c r="C15" s="20">
        <v>145</v>
      </c>
      <c r="D15" s="20"/>
      <c r="E15" s="20"/>
      <c r="F15" s="20"/>
      <c r="G15" s="20"/>
      <c r="H15" s="20"/>
      <c r="I15" s="20"/>
    </row>
    <row r="16" spans="1:9" x14ac:dyDescent="0.25">
      <c r="A16" s="20">
        <v>250</v>
      </c>
      <c r="B16" s="20"/>
      <c r="C16" s="20"/>
      <c r="D16" s="20"/>
      <c r="E16" s="20"/>
      <c r="F16" s="20"/>
      <c r="G16" s="20">
        <v>0</v>
      </c>
      <c r="H16" s="20"/>
      <c r="I16" s="20"/>
    </row>
    <row r="17" spans="1:9" x14ac:dyDescent="0.25">
      <c r="A17" s="20">
        <v>250</v>
      </c>
      <c r="B17" s="20"/>
      <c r="C17" s="20"/>
      <c r="D17" s="20"/>
      <c r="E17" s="20"/>
      <c r="F17" s="20"/>
      <c r="G17" s="20">
        <v>40</v>
      </c>
      <c r="H17" s="20"/>
      <c r="I17" s="20"/>
    </row>
    <row r="18" spans="1:9" x14ac:dyDescent="0.25">
      <c r="A18" s="20">
        <v>260</v>
      </c>
      <c r="B18" s="20"/>
      <c r="C18" s="20"/>
      <c r="D18" s="20">
        <v>550</v>
      </c>
      <c r="E18" s="20">
        <v>130</v>
      </c>
      <c r="F18" s="20"/>
      <c r="G18" s="20"/>
      <c r="H18" s="20"/>
      <c r="I18" s="20"/>
    </row>
    <row r="19" spans="1:9" x14ac:dyDescent="0.25">
      <c r="A19" s="20">
        <v>280</v>
      </c>
      <c r="B19" s="20">
        <v>380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20">
        <v>385</v>
      </c>
      <c r="B20" s="20"/>
      <c r="C20" s="20">
        <v>300</v>
      </c>
      <c r="D20" s="20"/>
      <c r="E20" s="20"/>
      <c r="F20" s="20"/>
      <c r="G20" s="20"/>
      <c r="H20" s="20"/>
      <c r="I20" s="20"/>
    </row>
    <row r="21" spans="1:9" x14ac:dyDescent="0.25">
      <c r="A21" s="20">
        <v>430</v>
      </c>
      <c r="B21" s="20">
        <v>550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20">
        <v>550</v>
      </c>
      <c r="B22" s="20"/>
      <c r="C22" s="20">
        <v>450</v>
      </c>
      <c r="D22" s="20"/>
      <c r="E22" s="20">
        <v>250</v>
      </c>
      <c r="F22" s="20"/>
      <c r="G22" s="20">
        <v>150</v>
      </c>
      <c r="H22" s="20"/>
      <c r="I22" s="20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tester C</vt:lpstr>
      <vt:lpstr>tester A</vt:lpstr>
      <vt:lpstr>乘DC</vt:lpstr>
      <vt:lpstr>20  feature-with Elky</vt:lpstr>
      <vt:lpstr>EGA (mmol per L)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2019-01-16T15:19:31Z</dcterms:modified>
</cp:coreProperties>
</file>