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"/>
    </mc:Choice>
  </mc:AlternateContent>
  <bookViews>
    <workbookView xWindow="600" yWindow="285" windowWidth="19395" windowHeight="6300" activeTab="3"/>
  </bookViews>
  <sheets>
    <sheet name="tester C" sheetId="2" r:id="rId1"/>
    <sheet name="tester A" sheetId="5" r:id="rId2"/>
    <sheet name="乘DC" sheetId="4" r:id="rId3"/>
    <sheet name="乘DC (2)" sheetId="6" r:id="rId4"/>
    <sheet name="EGA (mmol per L)" sheetId="3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H219" i="3" l="1"/>
  <c r="N34" i="3"/>
  <c r="C34" i="3"/>
  <c r="N33" i="3"/>
  <c r="C33" i="3"/>
  <c r="M32" i="3"/>
  <c r="C32" i="3"/>
  <c r="M31" i="3"/>
  <c r="C31" i="3"/>
  <c r="M30" i="3"/>
  <c r="C30" i="3"/>
  <c r="K29" i="3"/>
  <c r="C29" i="3"/>
  <c r="K28" i="3"/>
  <c r="C28" i="3"/>
  <c r="K27" i="3"/>
  <c r="C27" i="3"/>
  <c r="K26" i="3"/>
  <c r="C26" i="3"/>
  <c r="K25" i="3"/>
  <c r="C25" i="3"/>
  <c r="L24" i="3"/>
  <c r="C24" i="3"/>
  <c r="L23" i="3"/>
  <c r="C23" i="3"/>
  <c r="L22" i="3"/>
  <c r="C22" i="3"/>
  <c r="I21" i="3"/>
  <c r="C21" i="3"/>
  <c r="I20" i="3"/>
  <c r="C20" i="3"/>
  <c r="I19" i="3"/>
  <c r="C19" i="3"/>
  <c r="I18" i="3"/>
  <c r="C18" i="3"/>
  <c r="I17" i="3"/>
  <c r="C17" i="3"/>
  <c r="H16" i="3"/>
  <c r="C16" i="3"/>
  <c r="H15" i="3"/>
  <c r="C15" i="3"/>
  <c r="H14" i="3"/>
  <c r="C14" i="3"/>
  <c r="H13" i="3"/>
  <c r="C13" i="3"/>
  <c r="H12" i="3"/>
  <c r="C12" i="3"/>
  <c r="J11" i="3"/>
  <c r="D11" i="3"/>
  <c r="C11" i="3"/>
  <c r="J10" i="3"/>
  <c r="D10" i="3"/>
  <c r="C10" i="3"/>
  <c r="J9" i="3"/>
  <c r="D9" i="3"/>
  <c r="C9" i="3"/>
  <c r="J8" i="3"/>
  <c r="D8" i="3"/>
  <c r="C8" i="3"/>
  <c r="G7" i="3"/>
  <c r="D7" i="3"/>
  <c r="C7" i="3"/>
  <c r="G6" i="3"/>
  <c r="D6" i="3"/>
  <c r="C6" i="3"/>
  <c r="G5" i="3"/>
  <c r="D5" i="3"/>
  <c r="C5" i="3"/>
  <c r="G4" i="3"/>
  <c r="D4" i="3"/>
  <c r="C4" i="3"/>
  <c r="G3" i="3"/>
  <c r="D3" i="3"/>
  <c r="C3" i="3"/>
</calcChain>
</file>

<file path=xl/sharedStrings.xml><?xml version="1.0" encoding="utf-8"?>
<sst xmlns="http://schemas.openxmlformats.org/spreadsheetml/2006/main" count="214" uniqueCount="63">
  <si>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</si>
  <si>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</si>
  <si>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</si>
  <si>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</si>
  <si>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</si>
  <si>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</si>
  <si>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</si>
  <si>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</si>
  <si>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</si>
  <si>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</si>
  <si>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</si>
  <si>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</si>
  <si>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</si>
  <si>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</si>
  <si>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</si>
  <si>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</si>
  <si>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</si>
  <si>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</si>
  <si>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</si>
  <si>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</si>
  <si>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</si>
  <si>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</si>
  <si>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</si>
  <si>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</si>
  <si>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</si>
  <si>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</si>
  <si>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</si>
  <si>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</si>
  <si>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</si>
  <si>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</si>
  <si>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upper zone E</t>
    <phoneticPr fontId="1" type="noConversion"/>
  </si>
  <si>
    <t>ZoneB</t>
    <phoneticPr fontId="1" type="noConversion"/>
  </si>
  <si>
    <t>Glucose solution</t>
    <phoneticPr fontId="1" type="noConversion"/>
  </si>
  <si>
    <t>plasma</t>
    <phoneticPr fontId="1" type="noConversion"/>
  </si>
  <si>
    <t>(2)</t>
    <phoneticPr fontId="1" type="noConversion"/>
  </si>
  <si>
    <t>(3)</t>
    <phoneticPr fontId="1" type="noConversion"/>
  </si>
  <si>
    <t>RW</t>
  </si>
  <si>
    <t>RW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</si>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</sst>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4" tint="-0.249977111117893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theme="1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3-4146-9706-8D5423975E04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103-4146-9706-8D5423975E04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03-4146-9706-8D5423975E04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F103-4146-9706-8D5423975E04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F103-4146-9706-8D5423975E04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03-4146-9706-8D5423975E04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103-4146-9706-8D5423975E0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103-4146-9706-8D5423975E04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103-4146-9706-8D5423975E04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103-4146-9706-8D5423975E0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103-4146-9706-8D5423975E04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103-4146-9706-8D5423975E04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103-4146-9706-8D5423975E04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103-4146-9706-8D5423975E04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103-4146-9706-8D5423975E04}"/>
            </c:ext>
          </c:extLst>
        </c:ser>
        <c:ser>
          <c:idx val="6"/>
          <c:order val="5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103-4146-9706-8D5423975E04}"/>
            </c:ext>
          </c:extLst>
        </c:ser>
        <c:ser>
          <c:idx val="7"/>
          <c:order val="6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103-4146-9706-8D5423975E04}"/>
            </c:ext>
          </c:extLst>
        </c:ser>
        <c:ser>
          <c:idx val="8"/>
          <c:order val="7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103-4146-9706-8D5423975E04}"/>
            </c:ext>
          </c:extLst>
        </c:ser>
        <c:ser>
          <c:idx val="9"/>
          <c:order val="8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103-4146-9706-8D54239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1-48D3-A111-11615B3CA97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661-48D3-A111-11615B3CA97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661-48D3-A111-11615B3CA97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7661-48D3-A111-11615B3CA97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7661-48D3-A111-11615B3CA978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61-48D3-A111-11615B3CA97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7661-48D3-A111-11615B3CA97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7661-48D3-A111-11615B3CA978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661-48D3-A111-11615B3CA97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7661-48D3-A111-11615B3CA97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7661-48D3-A111-11615B3CA978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661-48D3-A111-11615B3CA97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7661-48D3-A111-11615B3CA978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661-48D3-A111-11615B3CA97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661-48D3-A111-11615B3CA97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661-48D3-A111-11615B3CA978}"/>
            </c:ext>
          </c:extLst>
        </c:ser>
        <c:ser>
          <c:idx val="6"/>
          <c:order val="6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661-48D3-A111-11615B3CA978}"/>
            </c:ext>
          </c:extLst>
        </c:ser>
        <c:ser>
          <c:idx val="7"/>
          <c:order val="7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661-48D3-A111-11615B3CA978}"/>
            </c:ext>
          </c:extLst>
        </c:ser>
        <c:ser>
          <c:idx val="8"/>
          <c:order val="8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661-48D3-A111-11615B3CA978}"/>
            </c:ext>
          </c:extLst>
        </c:ser>
        <c:ser>
          <c:idx val="9"/>
          <c:order val="9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661-48D3-A111-11615B3CA978}"/>
            </c:ext>
          </c:extLst>
        </c:ser>
        <c:ser>
          <c:idx val="10"/>
          <c:order val="10"/>
          <c:tx>
            <c:strRef>
              <c:f>'tester C'!$H$37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661-48D3-A111-11615B3CA978}"/>
            </c:ext>
          </c:extLst>
        </c:ser>
        <c:ser>
          <c:idx val="11"/>
          <c:order val="11"/>
          <c:tx>
            <c:strRef>
              <c:f>'tester C'!$I$37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661-48D3-A111-11615B3CA978}"/>
            </c:ext>
          </c:extLst>
        </c:ser>
        <c:ser>
          <c:idx val="12"/>
          <c:order val="12"/>
          <c:tx>
            <c:strRef>
              <c:f>'tester C'!$J$37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661-48D3-A111-11615B3C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E-4A38-9355-B159D92ABA4B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EE-4A38-9355-B159D92ABA4B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EE-4A38-9355-B159D92ABA4B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2EE-4A38-9355-B159D92ABA4B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2EE-4A38-9355-B159D92ABA4B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EE-4A38-9355-B159D92ABA4B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2EE-4A38-9355-B159D92ABA4B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2EE-4A38-9355-B159D92ABA4B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2EE-4A38-9355-B159D92ABA4B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2EE-4A38-9355-B159D92ABA4B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2EE-4A38-9355-B159D92ABA4B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2EE-4A38-9355-B159D92ABA4B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2EE-4A38-9355-B159D92ABA4B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2EE-4A38-9355-B159D92ABA4B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2EE-4A38-9355-B159D92ABA4B}"/>
            </c:ext>
          </c:extLst>
        </c:ser>
        <c:ser>
          <c:idx val="6"/>
          <c:order val="5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2EE-4A38-9355-B159D92ABA4B}"/>
            </c:ext>
          </c:extLst>
        </c:ser>
        <c:ser>
          <c:idx val="7"/>
          <c:order val="6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2EE-4A38-9355-B159D92ABA4B}"/>
            </c:ext>
          </c:extLst>
        </c:ser>
        <c:ser>
          <c:idx val="8"/>
          <c:order val="7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2EE-4A38-9355-B159D92ABA4B}"/>
            </c:ext>
          </c:extLst>
        </c:ser>
        <c:ser>
          <c:idx val="9"/>
          <c:order val="8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2EE-4A38-9355-B159D92A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20-4934-8DDD-0CD0DEC3654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20-4934-8DDD-0CD0DEC3654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20-4934-8DDD-0CD0DEC3654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0120-4934-8DDD-0CD0DEC3654E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0120-4934-8DDD-0CD0DEC3654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20-4934-8DDD-0CD0DEC3654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120-4934-8DDD-0CD0DEC3654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120-4934-8DDD-0CD0DEC3654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20-4934-8DDD-0CD0DEC3654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120-4934-8DDD-0CD0DEC3654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120-4934-8DDD-0CD0DEC3654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120-4934-8DDD-0CD0DEC3654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120-4934-8DDD-0CD0DEC3654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120-4934-8DDD-0CD0DEC3654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120-4934-8DDD-0CD0DEC3654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120-4934-8DDD-0CD0DEC3654E}"/>
            </c:ext>
          </c:extLst>
        </c:ser>
        <c:ser>
          <c:idx val="6"/>
          <c:order val="6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120-4934-8DDD-0CD0DEC3654E}"/>
            </c:ext>
          </c:extLst>
        </c:ser>
        <c:ser>
          <c:idx val="7"/>
          <c:order val="7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120-4934-8DDD-0CD0DEC3654E}"/>
            </c:ext>
          </c:extLst>
        </c:ser>
        <c:ser>
          <c:idx val="8"/>
          <c:order val="8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120-4934-8DDD-0CD0DEC3654E}"/>
            </c:ext>
          </c:extLst>
        </c:ser>
        <c:ser>
          <c:idx val="9"/>
          <c:order val="9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120-4934-8DDD-0CD0DEC3654E}"/>
            </c:ext>
          </c:extLst>
        </c:ser>
        <c:ser>
          <c:idx val="10"/>
          <c:order val="10"/>
          <c:tx>
            <c:strRef>
              <c:f>'tester A'!$H$37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120-4934-8DDD-0CD0DEC3654E}"/>
            </c:ext>
          </c:extLst>
        </c:ser>
        <c:ser>
          <c:idx val="11"/>
          <c:order val="11"/>
          <c:tx>
            <c:strRef>
              <c:f>'tester A'!$I$37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120-4934-8DDD-0CD0DEC3654E}"/>
            </c:ext>
          </c:extLst>
        </c:ser>
        <c:ser>
          <c:idx val="12"/>
          <c:order val="12"/>
          <c:tx>
            <c:strRef>
              <c:f>'tester A'!$J$37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120-4934-8DDD-0CD0DEC3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6-4DFE-96C5-9F55BE11C071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D6-4DFE-96C5-9F55BE11C071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D6-4DFE-96C5-9F55BE11C071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E8D6-4DFE-96C5-9F55BE11C071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E8D6-4DFE-96C5-9F55BE11C071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D6-4DFE-96C5-9F55BE11C071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E8D6-4DFE-96C5-9F55BE11C071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E8D6-4DFE-96C5-9F55BE11C071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D6-4DFE-96C5-9F55BE11C071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E8D6-4DFE-96C5-9F55BE11C071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E8D6-4DFE-96C5-9F55BE11C071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D6-4DFE-96C5-9F55BE11C071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E8D6-4DFE-96C5-9F55BE11C071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8D6-4DFE-96C5-9F55BE11C071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D6-4DFE-96C5-9F55BE11C07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8D6-4DFE-96C5-9F55BE11C071}"/>
            </c:ext>
          </c:extLst>
        </c:ser>
        <c:ser>
          <c:idx val="6"/>
          <c:order val="6"/>
          <c:tx>
            <c:strRef>
              <c:f>乘DC!$D$37</c:f>
              <c:strCache>
                <c:ptCount val="1"/>
                <c:pt idx="0">
                  <c:v>RW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乘DC!$D$38:$D$126</c:f>
              <c:numCache>
                <c:formatCode>General</c:formatCode>
                <c:ptCount val="89"/>
                <c:pt idx="0">
                  <c:v>103.62552746723463</c:v>
                </c:pt>
                <c:pt idx="1">
                  <c:v>96.496752710613691</c:v>
                </c:pt>
                <c:pt idx="2">
                  <c:v>132.71487627033957</c:v>
                </c:pt>
                <c:pt idx="3">
                  <c:v>78.467246865961442</c:v>
                </c:pt>
                <c:pt idx="4">
                  <c:v>102.3843406965733</c:v>
                </c:pt>
                <c:pt idx="5">
                  <c:v>91.57375257353624</c:v>
                </c:pt>
                <c:pt idx="6">
                  <c:v>130.31613771205684</c:v>
                </c:pt>
                <c:pt idx="7">
                  <c:v>124.11543829585776</c:v>
                </c:pt>
                <c:pt idx="8">
                  <c:v>114.96226594755763</c:v>
                </c:pt>
                <c:pt idx="9">
                  <c:v>108.99415964159812</c:v>
                </c:pt>
                <c:pt idx="10">
                  <c:v>150.75892375369995</c:v>
                </c:pt>
                <c:pt idx="11">
                  <c:v>86.13156525958982</c:v>
                </c:pt>
                <c:pt idx="12">
                  <c:v>136.63575905499124</c:v>
                </c:pt>
                <c:pt idx="13">
                  <c:v>90.946563200401442</c:v>
                </c:pt>
                <c:pt idx="14">
                  <c:v>311.73858647308225</c:v>
                </c:pt>
                <c:pt idx="15">
                  <c:v>261.32102521709726</c:v>
                </c:pt>
                <c:pt idx="16">
                  <c:v>156.15034738026293</c:v>
                </c:pt>
                <c:pt idx="17">
                  <c:v>200.84675827762817</c:v>
                </c:pt>
                <c:pt idx="18">
                  <c:v>100.81997320194341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D6-4DFE-96C5-9F55BE11C071}"/>
            </c:ext>
          </c:extLst>
        </c:ser>
        <c:ser>
          <c:idx val="7"/>
          <c:order val="7"/>
          <c:tx>
            <c:strRef>
              <c:f>乘DC!$E$37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乘DC!$E$38:$E$126</c:f>
              <c:numCache>
                <c:formatCode>General</c:formatCode>
                <c:ptCount val="89"/>
                <c:pt idx="0">
                  <c:v>103.85252522607593</c:v>
                </c:pt>
                <c:pt idx="1">
                  <c:v>97.645975060457971</c:v>
                </c:pt>
                <c:pt idx="2">
                  <c:v>138.52061277644015</c:v>
                </c:pt>
                <c:pt idx="3">
                  <c:v>108.91302480270809</c:v>
                </c:pt>
                <c:pt idx="4">
                  <c:v>141.5465431058968</c:v>
                </c:pt>
                <c:pt idx="5">
                  <c:v>93.339969311346962</c:v>
                </c:pt>
                <c:pt idx="6">
                  <c:v>133.02904326984111</c:v>
                </c:pt>
                <c:pt idx="7">
                  <c:v>140.97345010552499</c:v>
                </c:pt>
                <c:pt idx="8">
                  <c:v>126.81410064327511</c:v>
                </c:pt>
                <c:pt idx="9">
                  <c:v>108.89224636429086</c:v>
                </c:pt>
                <c:pt idx="10">
                  <c:v>126.33112764212643</c:v>
                </c:pt>
                <c:pt idx="11">
                  <c:v>80.400404686198982</c:v>
                </c:pt>
                <c:pt idx="12">
                  <c:v>117.85249162413695</c:v>
                </c:pt>
                <c:pt idx="13">
                  <c:v>101.4551800178341</c:v>
                </c:pt>
                <c:pt idx="14">
                  <c:v>300.49112527370249</c:v>
                </c:pt>
                <c:pt idx="15">
                  <c:v>276.60607557556267</c:v>
                </c:pt>
                <c:pt idx="16">
                  <c:v>139.21540379417658</c:v>
                </c:pt>
                <c:pt idx="17">
                  <c:v>160.65358464858161</c:v>
                </c:pt>
                <c:pt idx="18">
                  <c:v>82.467116071813507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8D6-4DFE-96C5-9F55BE11C071}"/>
            </c:ext>
          </c:extLst>
        </c:ser>
        <c:ser>
          <c:idx val="8"/>
          <c:order val="8"/>
          <c:tx>
            <c:strRef>
              <c:f>乘DC!$F$37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乘DC!$F$38:$F$126</c:f>
              <c:numCache>
                <c:formatCode>General</c:formatCode>
                <c:ptCount val="89"/>
                <c:pt idx="0">
                  <c:v>137.74952203399241</c:v>
                </c:pt>
                <c:pt idx="1">
                  <c:v>106.8767088640931</c:v>
                </c:pt>
                <c:pt idx="2">
                  <c:v>101.76462175728506</c:v>
                </c:pt>
                <c:pt idx="3">
                  <c:v>82.503246879678855</c:v>
                </c:pt>
                <c:pt idx="4">
                  <c:v>91.849667022084603</c:v>
                </c:pt>
                <c:pt idx="5">
                  <c:v>98.599322623768671</c:v>
                </c:pt>
                <c:pt idx="6">
                  <c:v>148.92937976894333</c:v>
                </c:pt>
                <c:pt idx="7">
                  <c:v>143.67858450438862</c:v>
                </c:pt>
                <c:pt idx="8">
                  <c:v>144.3543213490569</c:v>
                </c:pt>
                <c:pt idx="9">
                  <c:v>115.92820008645519</c:v>
                </c:pt>
                <c:pt idx="10">
                  <c:v>104.84908482868771</c:v>
                </c:pt>
                <c:pt idx="11">
                  <c:v>82.584267043693998</c:v>
                </c:pt>
                <c:pt idx="12">
                  <c:v>129.17812340742674</c:v>
                </c:pt>
                <c:pt idx="13">
                  <c:v>91.426830317230952</c:v>
                </c:pt>
                <c:pt idx="14">
                  <c:v>289.20608524226964</c:v>
                </c:pt>
                <c:pt idx="15">
                  <c:v>242.7817414665823</c:v>
                </c:pt>
                <c:pt idx="16">
                  <c:v>140.37530348814155</c:v>
                </c:pt>
                <c:pt idx="17">
                  <c:v>227.74484928201059</c:v>
                </c:pt>
                <c:pt idx="18">
                  <c:v>98.620140034202706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D6-4DFE-96C5-9F55BE11C071}"/>
            </c:ext>
          </c:extLst>
        </c:ser>
        <c:ser>
          <c:idx val="9"/>
          <c:order val="9"/>
          <c:tx>
            <c:strRef>
              <c:f>乘DC!$G$37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乘DC!$G$38:$G$63</c:f>
              <c:numCache>
                <c:formatCode>General</c:formatCode>
                <c:ptCount val="26"/>
                <c:pt idx="0">
                  <c:v>95.519755925093847</c:v>
                </c:pt>
                <c:pt idx="1">
                  <c:v>89.266612852490653</c:v>
                </c:pt>
                <c:pt idx="2">
                  <c:v>162.66026555923236</c:v>
                </c:pt>
                <c:pt idx="3">
                  <c:v>72.122645636206698</c:v>
                </c:pt>
                <c:pt idx="4">
                  <c:v>145.56805314864278</c:v>
                </c:pt>
                <c:pt idx="5">
                  <c:v>117.07021638666356</c:v>
                </c:pt>
                <c:pt idx="6">
                  <c:v>127.46181924146815</c:v>
                </c:pt>
                <c:pt idx="7">
                  <c:v>143.57895627580592</c:v>
                </c:pt>
                <c:pt idx="8">
                  <c:v>131.41132724357294</c:v>
                </c:pt>
                <c:pt idx="9">
                  <c:v>101.24844077034913</c:v>
                </c:pt>
                <c:pt idx="10">
                  <c:v>136.11793376748074</c:v>
                </c:pt>
                <c:pt idx="11">
                  <c:v>98.422590112757348</c:v>
                </c:pt>
                <c:pt idx="12">
                  <c:v>102.01859501454612</c:v>
                </c:pt>
                <c:pt idx="13">
                  <c:v>94.4485736108212</c:v>
                </c:pt>
                <c:pt idx="14">
                  <c:v>313.25778764405339</c:v>
                </c:pt>
                <c:pt idx="15">
                  <c:v>234.92543886369731</c:v>
                </c:pt>
                <c:pt idx="16">
                  <c:v>147.61478249331321</c:v>
                </c:pt>
                <c:pt idx="17">
                  <c:v>141.73121872212005</c:v>
                </c:pt>
                <c:pt idx="18">
                  <c:v>124.55498673170609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8D6-4DFE-96C5-9F55BE11C071}"/>
            </c:ext>
          </c:extLst>
        </c:ser>
        <c:ser>
          <c:idx val="10"/>
          <c:order val="10"/>
          <c:tx>
            <c:strRef>
              <c:f>乘DC!$H$37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乘DC!$H$38:$H$63</c:f>
              <c:numCache>
                <c:formatCode>General</c:formatCode>
                <c:ptCount val="26"/>
                <c:pt idx="0">
                  <c:v>103.31927768920575</c:v>
                </c:pt>
                <c:pt idx="1">
                  <c:v>114.51120685574824</c:v>
                </c:pt>
                <c:pt idx="2">
                  <c:v>118.7760699647564</c:v>
                </c:pt>
                <c:pt idx="3">
                  <c:v>145.1540588550547</c:v>
                </c:pt>
                <c:pt idx="4">
                  <c:v>133.94796361183967</c:v>
                </c:pt>
                <c:pt idx="5">
                  <c:v>97.259237405316981</c:v>
                </c:pt>
                <c:pt idx="6">
                  <c:v>123.06469254930369</c:v>
                </c:pt>
                <c:pt idx="7">
                  <c:v>107.03799207953682</c:v>
                </c:pt>
                <c:pt idx="8">
                  <c:v>125.89660838587383</c:v>
                </c:pt>
                <c:pt idx="9">
                  <c:v>104.07590204351754</c:v>
                </c:pt>
                <c:pt idx="10">
                  <c:v>122.36809244153062</c:v>
                </c:pt>
                <c:pt idx="11">
                  <c:v>77.714594351920766</c:v>
                </c:pt>
                <c:pt idx="12">
                  <c:v>129.0544027499372</c:v>
                </c:pt>
                <c:pt idx="13">
                  <c:v>93.813345778329278</c:v>
                </c:pt>
                <c:pt idx="14">
                  <c:v>293.2736932403327</c:v>
                </c:pt>
                <c:pt idx="15">
                  <c:v>260.52603872008694</c:v>
                </c:pt>
                <c:pt idx="16">
                  <c:v>120.38788552892174</c:v>
                </c:pt>
                <c:pt idx="17">
                  <c:v>209.14333957430063</c:v>
                </c:pt>
                <c:pt idx="18">
                  <c:v>99.675598174476818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D6-4DFE-96C5-9F55BE11C071}"/>
            </c:ext>
          </c:extLst>
        </c:ser>
        <c:ser>
          <c:idx val="11"/>
          <c:order val="11"/>
          <c:tx>
            <c:strRef>
              <c:f>乘DC!$I$37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8D6-4DFE-96C5-9F55BE11C071}"/>
            </c:ext>
          </c:extLst>
        </c:ser>
        <c:ser>
          <c:idx val="12"/>
          <c:order val="12"/>
          <c:tx>
            <c:strRef>
              <c:f>乘DC!$J$37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D6-4DFE-96C5-9F55BE1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37-4EB3-9C18-EFE3827FC6BD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A37-4EB3-9C18-EFE3827FC6BD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A37-4EB3-9C18-EFE3827FC6BD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37-4EB3-9C18-EFE3827FC6BD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DA37-4EB3-9C18-EFE3827FC6BD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DA37-4EB3-9C18-EFE3827FC6BD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DA37-4EB3-9C18-EFE3827FC6BD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DA37-4EB3-9C18-EFE3827FC6BD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A37-4EB3-9C18-EFE3827FC6BD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DA37-4EB3-9C18-EFE3827FC6BD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DA37-4EB3-9C18-EFE3827FC6BD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DA37-4EB3-9C18-EFE3827FC6BD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DA37-4EB3-9C18-EFE3827FC6BD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DA37-4EB3-9C18-EFE3827FC6BD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DA37-4EB3-9C18-EFE3827FC6BD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DA37-4EB3-9C18-EFE3827FC6BD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A37-4EB3-9C18-EFE3827FC6BD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DA37-4EB3-9C18-EFE3827FC6BD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DA37-4EB3-9C18-EFE3827FC6BD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DA37-4EB3-9C18-EFE3827FC6BD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DA37-4EB3-9C18-EFE3827FC6BD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DA37-4EB3-9C18-EFE3827FC6BD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DA37-4EB3-9C18-EFE3827FC6BD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A37-4EB3-9C18-EFE3827FC6BD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DA37-4EB3-9C18-EFE3827FC6BD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DA37-4EB3-9C18-EFE3827FC6BD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A37-4EB3-9C18-EFE3827FC6BD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A37-4EB3-9C18-EFE3827FC6BD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A37-4EB3-9C18-EFE3827FC6BD}"/>
            </c:ext>
          </c:extLst>
        </c:ser>
        <c:ser>
          <c:idx val="6"/>
          <c:order val="6"/>
          <c:tx>
            <c:strRef>
              <c:f>'乘DC (2)'!$D$37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(2)'!$D$38:$D$500</c:f>
              <c:numCache>
                <c:formatCode>General</c:formatCode>
                <c:ptCount val="463"/>
                <c:pt idx="0">
                  <c:v>124.64234972832</c:v>
                </c:pt>
                <c:pt idx="1">
                  <c:v>117.599911390522</c:v>
                </c:pt>
                <c:pt idx="2">
                  <c:v>127.358381821636</c:v>
                </c:pt>
                <c:pt idx="3">
                  <c:v>119.962919164222</c:v>
                </c:pt>
                <c:pt idx="4">
                  <c:v>165.40704396317301</c:v>
                </c:pt>
                <c:pt idx="5">
                  <c:v>143.43380231383799</c:v>
                </c:pt>
                <c:pt idx="6">
                  <c:v>138.46747558337</c:v>
                </c:pt>
                <c:pt idx="7">
                  <c:v>154.92464929560199</c:v>
                </c:pt>
                <c:pt idx="8">
                  <c:v>146.547930615464</c:v>
                </c:pt>
                <c:pt idx="9">
                  <c:v>124.099923799298</c:v>
                </c:pt>
                <c:pt idx="10">
                  <c:v>130.203315915275</c:v>
                </c:pt>
                <c:pt idx="11">
                  <c:v>107.405560694573</c:v>
                </c:pt>
                <c:pt idx="12">
                  <c:v>119.739462147485</c:v>
                </c:pt>
                <c:pt idx="13">
                  <c:v>111.404403732833</c:v>
                </c:pt>
                <c:pt idx="14">
                  <c:v>97.424784047413894</c:v>
                </c:pt>
                <c:pt idx="15">
                  <c:v>93.115449386481203</c:v>
                </c:pt>
                <c:pt idx="16">
                  <c:v>91.466618497954599</c:v>
                </c:pt>
                <c:pt idx="17">
                  <c:v>101.53302820316</c:v>
                </c:pt>
                <c:pt idx="18">
                  <c:v>105.220247929642</c:v>
                </c:pt>
                <c:pt idx="19">
                  <c:v>94.994614712120296</c:v>
                </c:pt>
                <c:pt idx="20">
                  <c:v>107.23730281768501</c:v>
                </c:pt>
                <c:pt idx="21">
                  <c:v>120.084223181441</c:v>
                </c:pt>
                <c:pt idx="22">
                  <c:v>105.44859482955999</c:v>
                </c:pt>
                <c:pt idx="23">
                  <c:v>106.03276094064201</c:v>
                </c:pt>
                <c:pt idx="24">
                  <c:v>221.183398339836</c:v>
                </c:pt>
                <c:pt idx="25">
                  <c:v>241.403176207554</c:v>
                </c:pt>
                <c:pt idx="26">
                  <c:v>263.13207797901401</c:v>
                </c:pt>
                <c:pt idx="27">
                  <c:v>283.42194384939199</c:v>
                </c:pt>
                <c:pt idx="28">
                  <c:v>403.19504775977703</c:v>
                </c:pt>
                <c:pt idx="29">
                  <c:v>133.33402616920799</c:v>
                </c:pt>
                <c:pt idx="30">
                  <c:v>143.12720304778301</c:v>
                </c:pt>
                <c:pt idx="31">
                  <c:v>137.29649320261899</c:v>
                </c:pt>
                <c:pt idx="32">
                  <c:v>145.20031559353501</c:v>
                </c:pt>
                <c:pt idx="33">
                  <c:v>140.73257872179099</c:v>
                </c:pt>
                <c:pt idx="34">
                  <c:v>143.177515504881</c:v>
                </c:pt>
                <c:pt idx="35">
                  <c:v>145.96707772548501</c:v>
                </c:pt>
                <c:pt idx="36">
                  <c:v>135.22155174626999</c:v>
                </c:pt>
                <c:pt idx="37">
                  <c:v>140.43970730529901</c:v>
                </c:pt>
                <c:pt idx="38">
                  <c:v>139.98904522768899</c:v>
                </c:pt>
                <c:pt idx="39">
                  <c:v>140.55150405132801</c:v>
                </c:pt>
                <c:pt idx="40">
                  <c:v>136.87783714800901</c:v>
                </c:pt>
                <c:pt idx="41">
                  <c:v>201.97349254718</c:v>
                </c:pt>
                <c:pt idx="42">
                  <c:v>207.72839666281499</c:v>
                </c:pt>
                <c:pt idx="43">
                  <c:v>228.59787279428201</c:v>
                </c:pt>
                <c:pt idx="44">
                  <c:v>216.293328216963</c:v>
                </c:pt>
                <c:pt idx="45">
                  <c:v>198.90370577281701</c:v>
                </c:pt>
                <c:pt idx="46">
                  <c:v>209.580501940034</c:v>
                </c:pt>
                <c:pt idx="47">
                  <c:v>220.205471279134</c:v>
                </c:pt>
                <c:pt idx="48">
                  <c:v>103.586106044625</c:v>
                </c:pt>
                <c:pt idx="49">
                  <c:v>152.20443382613999</c:v>
                </c:pt>
                <c:pt idx="50">
                  <c:v>133.33763742484101</c:v>
                </c:pt>
                <c:pt idx="51">
                  <c:v>142.968152669163</c:v>
                </c:pt>
                <c:pt idx="52">
                  <c:v>134.37878710603599</c:v>
                </c:pt>
                <c:pt idx="53">
                  <c:v>128.374639704928</c:v>
                </c:pt>
                <c:pt idx="54">
                  <c:v>154.75634547802099</c:v>
                </c:pt>
                <c:pt idx="55">
                  <c:v>124.99336967913</c:v>
                </c:pt>
                <c:pt idx="56">
                  <c:v>165.44121440238601</c:v>
                </c:pt>
                <c:pt idx="57">
                  <c:v>125.704524268846</c:v>
                </c:pt>
                <c:pt idx="58">
                  <c:v>105.196435561754</c:v>
                </c:pt>
                <c:pt idx="59">
                  <c:v>90.412959122185597</c:v>
                </c:pt>
                <c:pt idx="60">
                  <c:v>143.14681892338899</c:v>
                </c:pt>
                <c:pt idx="61">
                  <c:v>138.08835514440801</c:v>
                </c:pt>
                <c:pt idx="62">
                  <c:v>144.90606697936099</c:v>
                </c:pt>
                <c:pt idx="63">
                  <c:v>108.03758242270401</c:v>
                </c:pt>
                <c:pt idx="64">
                  <c:v>101.22477727995</c:v>
                </c:pt>
                <c:pt idx="65">
                  <c:v>108.973494764365</c:v>
                </c:pt>
                <c:pt idx="66">
                  <c:v>114.449412575105</c:v>
                </c:pt>
                <c:pt idx="67">
                  <c:v>113.716873886144</c:v>
                </c:pt>
                <c:pt idx="68">
                  <c:v>109.850053614285</c:v>
                </c:pt>
                <c:pt idx="69">
                  <c:v>124.705103235726</c:v>
                </c:pt>
                <c:pt idx="70">
                  <c:v>107.996766441807</c:v>
                </c:pt>
                <c:pt idx="71">
                  <c:v>127.129858371746</c:v>
                </c:pt>
                <c:pt idx="72">
                  <c:v>112.01658471857699</c:v>
                </c:pt>
                <c:pt idx="73">
                  <c:v>125.707062450221</c:v>
                </c:pt>
                <c:pt idx="74">
                  <c:v>162.83450892185701</c:v>
                </c:pt>
                <c:pt idx="75">
                  <c:v>123.606237505636</c:v>
                </c:pt>
                <c:pt idx="76">
                  <c:v>117.82954857425</c:v>
                </c:pt>
                <c:pt idx="77">
                  <c:v>133.79347516137099</c:v>
                </c:pt>
                <c:pt idx="78">
                  <c:v>128.658507055158</c:v>
                </c:pt>
                <c:pt idx="79">
                  <c:v>130.94728459755601</c:v>
                </c:pt>
                <c:pt idx="80">
                  <c:v>101.484113063745</c:v>
                </c:pt>
                <c:pt idx="81">
                  <c:v>108.99450927871401</c:v>
                </c:pt>
                <c:pt idx="82">
                  <c:v>138.19128353598501</c:v>
                </c:pt>
                <c:pt idx="83">
                  <c:v>133.36142136182801</c:v>
                </c:pt>
                <c:pt idx="84">
                  <c:v>106.098883932155</c:v>
                </c:pt>
                <c:pt idx="85">
                  <c:v>148.076077727757</c:v>
                </c:pt>
                <c:pt idx="86">
                  <c:v>142.10236738610999</c:v>
                </c:pt>
                <c:pt idx="87">
                  <c:v>126.64858757060701</c:v>
                </c:pt>
                <c:pt idx="88">
                  <c:v>93.404305594797407</c:v>
                </c:pt>
                <c:pt idx="89">
                  <c:v>95.647883841490895</c:v>
                </c:pt>
                <c:pt idx="90">
                  <c:v>102.866953253053</c:v>
                </c:pt>
                <c:pt idx="91">
                  <c:v>114.26964526109199</c:v>
                </c:pt>
                <c:pt idx="92">
                  <c:v>94.951067937374106</c:v>
                </c:pt>
                <c:pt idx="93">
                  <c:v>105.117659031811</c:v>
                </c:pt>
                <c:pt idx="94">
                  <c:v>147.808964779712</c:v>
                </c:pt>
                <c:pt idx="95">
                  <c:v>135.51990161139599</c:v>
                </c:pt>
                <c:pt idx="96">
                  <c:v>101.622699481876</c:v>
                </c:pt>
                <c:pt idx="97">
                  <c:v>92.208949842284895</c:v>
                </c:pt>
                <c:pt idx="98">
                  <c:v>102.058487017491</c:v>
                </c:pt>
                <c:pt idx="99">
                  <c:v>125.39551615486199</c:v>
                </c:pt>
                <c:pt idx="100">
                  <c:v>176.23503868531699</c:v>
                </c:pt>
                <c:pt idx="101">
                  <c:v>117.94456086955999</c:v>
                </c:pt>
                <c:pt idx="102">
                  <c:v>152.16825897013101</c:v>
                </c:pt>
                <c:pt idx="103">
                  <c:v>156.04221996050299</c:v>
                </c:pt>
                <c:pt idx="104">
                  <c:v>166.268302075798</c:v>
                </c:pt>
                <c:pt idx="105">
                  <c:v>118.974571760435</c:v>
                </c:pt>
                <c:pt idx="106">
                  <c:v>109.574255623426</c:v>
                </c:pt>
                <c:pt idx="107">
                  <c:v>130.44551677481201</c:v>
                </c:pt>
                <c:pt idx="108">
                  <c:v>143.40216504185901</c:v>
                </c:pt>
                <c:pt idx="109">
                  <c:v>128.87018679706401</c:v>
                </c:pt>
                <c:pt idx="110">
                  <c:v>108.77964402360401</c:v>
                </c:pt>
                <c:pt idx="111">
                  <c:v>141.67335952980901</c:v>
                </c:pt>
                <c:pt idx="112">
                  <c:v>198.978453635552</c:v>
                </c:pt>
                <c:pt idx="113">
                  <c:v>108.520266955043</c:v>
                </c:pt>
                <c:pt idx="114">
                  <c:v>123.088569751622</c:v>
                </c:pt>
                <c:pt idx="115">
                  <c:v>130.698649651273</c:v>
                </c:pt>
                <c:pt idx="116">
                  <c:v>132.376467262011</c:v>
                </c:pt>
                <c:pt idx="117">
                  <c:v>150.98262472177501</c:v>
                </c:pt>
                <c:pt idx="118">
                  <c:v>125.451983080682</c:v>
                </c:pt>
                <c:pt idx="119">
                  <c:v>133.81647499592901</c:v>
                </c:pt>
                <c:pt idx="120">
                  <c:v>150.33437346592601</c:v>
                </c:pt>
                <c:pt idx="121">
                  <c:v>143.542914992569</c:v>
                </c:pt>
                <c:pt idx="122">
                  <c:v>217.13114578768199</c:v>
                </c:pt>
                <c:pt idx="123">
                  <c:v>195.10229307460099</c:v>
                </c:pt>
                <c:pt idx="124">
                  <c:v>169.96022255513199</c:v>
                </c:pt>
                <c:pt idx="125">
                  <c:v>223.55225685330501</c:v>
                </c:pt>
                <c:pt idx="126">
                  <c:v>230.09187151160199</c:v>
                </c:pt>
                <c:pt idx="127">
                  <c:v>144.81583932873801</c:v>
                </c:pt>
                <c:pt idx="128">
                  <c:v>164.624777594779</c:v>
                </c:pt>
                <c:pt idx="129">
                  <c:v>208.03840144324201</c:v>
                </c:pt>
                <c:pt idx="130">
                  <c:v>150.85067693518101</c:v>
                </c:pt>
                <c:pt idx="131">
                  <c:v>137.010451257922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A37-4EB3-9C18-EFE3827FC6BD}"/>
            </c:ext>
          </c:extLst>
        </c:ser>
        <c:ser>
          <c:idx val="7"/>
          <c:order val="7"/>
          <c:tx>
            <c:strRef>
              <c:f>'乘DC (2)'!$E$37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(2)'!$E$38:$E$500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A37-4EB3-9C18-EFE3827FC6BD}"/>
            </c:ext>
          </c:extLst>
        </c:ser>
        <c:ser>
          <c:idx val="8"/>
          <c:order val="8"/>
          <c:tx>
            <c:strRef>
              <c:f>'乘DC (2)'!$F$37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A37-4EB3-9C18-EFE3827FC6BD}"/>
            </c:ext>
          </c:extLst>
        </c:ser>
        <c:ser>
          <c:idx val="9"/>
          <c:order val="9"/>
          <c:tx>
            <c:strRef>
              <c:f>'乘DC (2)'!$G$37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A37-4EB3-9C18-EFE3827FC6BD}"/>
            </c:ext>
          </c:extLst>
        </c:ser>
        <c:ser>
          <c:idx val="10"/>
          <c:order val="10"/>
          <c:tx>
            <c:strRef>
              <c:f>'乘DC (2)'!$H$37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A37-4EB3-9C18-EFE3827FC6BD}"/>
            </c:ext>
          </c:extLst>
        </c:ser>
        <c:ser>
          <c:idx val="11"/>
          <c:order val="11"/>
          <c:tx>
            <c:strRef>
              <c:f>'乘DC (2)'!$I$37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A37-4EB3-9C18-EFE3827FC6BD}"/>
            </c:ext>
          </c:extLst>
        </c:ser>
        <c:ser>
          <c:idx val="12"/>
          <c:order val="12"/>
          <c:tx>
            <c:strRef>
              <c:f>'乘DC (2)'!$J$37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A37-4EB3-9C18-EFE3827FC6BD}"/>
            </c:ext>
          </c:extLst>
        </c:ser>
        <c:ser>
          <c:idx val="13"/>
          <c:order val="13"/>
          <c:tx>
            <c:strRef>
              <c:f>'乘DC (2)'!$K$37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6DD3-46EF-BB15-AA278F83D955}"/>
            </c:ext>
          </c:extLst>
        </c:ser>
        <c:ser>
          <c:idx val="14"/>
          <c:order val="14"/>
          <c:tx>
            <c:strRef>
              <c:f>'乘DC (2)'!$L$37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6DD3-46EF-BB15-AA278F83D955}"/>
            </c:ext>
          </c:extLst>
        </c:ser>
        <c:ser>
          <c:idx val="15"/>
          <c:order val="15"/>
          <c:tx>
            <c:strRef>
              <c:f>'乘DC (2)'!$M$37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6DD3-46EF-BB15-AA278F83D955}"/>
            </c:ext>
          </c:extLst>
        </c:ser>
        <c:ser>
          <c:idx val="16"/>
          <c:order val="16"/>
          <c:tx>
            <c:strRef>
              <c:f>'乘DC (2)'!$N$37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6DD3-46EF-BB15-AA278F83D955}"/>
            </c:ext>
          </c:extLst>
        </c:ser>
        <c:ser>
          <c:idx val="17"/>
          <c:order val="17"/>
          <c:tx>
            <c:strRef>
              <c:f>'乘DC (2)'!$O$37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'乘DC (2)'!$C$38:$C$500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87</c:v>
                </c:pt>
                <c:pt idx="49">
                  <c:v>155</c:v>
                </c:pt>
                <c:pt idx="50">
                  <c:v>110</c:v>
                </c:pt>
                <c:pt idx="51">
                  <c:v>87</c:v>
                </c:pt>
                <c:pt idx="52">
                  <c:v>110</c:v>
                </c:pt>
                <c:pt idx="53">
                  <c:v>104</c:v>
                </c:pt>
                <c:pt idx="54">
                  <c:v>155</c:v>
                </c:pt>
                <c:pt idx="55">
                  <c:v>87</c:v>
                </c:pt>
                <c:pt idx="56">
                  <c:v>113</c:v>
                </c:pt>
                <c:pt idx="57">
                  <c:v>120</c:v>
                </c:pt>
                <c:pt idx="58">
                  <c:v>96</c:v>
                </c:pt>
                <c:pt idx="59">
                  <c:v>84</c:v>
                </c:pt>
                <c:pt idx="60">
                  <c:v>107</c:v>
                </c:pt>
                <c:pt idx="61">
                  <c:v>105</c:v>
                </c:pt>
                <c:pt idx="62">
                  <c:v>120</c:v>
                </c:pt>
                <c:pt idx="63">
                  <c:v>84</c:v>
                </c:pt>
                <c:pt idx="64">
                  <c:v>82</c:v>
                </c:pt>
                <c:pt idx="65">
                  <c:v>150</c:v>
                </c:pt>
                <c:pt idx="66">
                  <c:v>126</c:v>
                </c:pt>
                <c:pt idx="67">
                  <c:v>94</c:v>
                </c:pt>
                <c:pt idx="68">
                  <c:v>86</c:v>
                </c:pt>
                <c:pt idx="69">
                  <c:v>137</c:v>
                </c:pt>
                <c:pt idx="70">
                  <c:v>108</c:v>
                </c:pt>
                <c:pt idx="71">
                  <c:v>104</c:v>
                </c:pt>
                <c:pt idx="72">
                  <c:v>82</c:v>
                </c:pt>
                <c:pt idx="73">
                  <c:v>150</c:v>
                </c:pt>
                <c:pt idx="74">
                  <c:v>126</c:v>
                </c:pt>
                <c:pt idx="75">
                  <c:v>94</c:v>
                </c:pt>
                <c:pt idx="76">
                  <c:v>86</c:v>
                </c:pt>
                <c:pt idx="77">
                  <c:v>137</c:v>
                </c:pt>
                <c:pt idx="78">
                  <c:v>108</c:v>
                </c:pt>
                <c:pt idx="79">
                  <c:v>104</c:v>
                </c:pt>
                <c:pt idx="80">
                  <c:v>80</c:v>
                </c:pt>
                <c:pt idx="81">
                  <c:v>150</c:v>
                </c:pt>
                <c:pt idx="82">
                  <c:v>110</c:v>
                </c:pt>
                <c:pt idx="83">
                  <c:v>92</c:v>
                </c:pt>
                <c:pt idx="84">
                  <c:v>84</c:v>
                </c:pt>
                <c:pt idx="85">
                  <c:v>145</c:v>
                </c:pt>
                <c:pt idx="86">
                  <c:v>123</c:v>
                </c:pt>
                <c:pt idx="87">
                  <c:v>100</c:v>
                </c:pt>
                <c:pt idx="88">
                  <c:v>87</c:v>
                </c:pt>
                <c:pt idx="89">
                  <c:v>86</c:v>
                </c:pt>
                <c:pt idx="90">
                  <c:v>126</c:v>
                </c:pt>
                <c:pt idx="91">
                  <c:v>110</c:v>
                </c:pt>
                <c:pt idx="92">
                  <c:v>95</c:v>
                </c:pt>
                <c:pt idx="93">
                  <c:v>88</c:v>
                </c:pt>
                <c:pt idx="94">
                  <c:v>149</c:v>
                </c:pt>
                <c:pt idx="95">
                  <c:v>143</c:v>
                </c:pt>
                <c:pt idx="96">
                  <c:v>133</c:v>
                </c:pt>
                <c:pt idx="97">
                  <c:v>88</c:v>
                </c:pt>
                <c:pt idx="98">
                  <c:v>83</c:v>
                </c:pt>
                <c:pt idx="99">
                  <c:v>143</c:v>
                </c:pt>
                <c:pt idx="100">
                  <c:v>114</c:v>
                </c:pt>
                <c:pt idx="101">
                  <c:v>108</c:v>
                </c:pt>
                <c:pt idx="102">
                  <c:v>79</c:v>
                </c:pt>
                <c:pt idx="103">
                  <c:v>135</c:v>
                </c:pt>
                <c:pt idx="104">
                  <c:v>119</c:v>
                </c:pt>
                <c:pt idx="105">
                  <c:v>107</c:v>
                </c:pt>
                <c:pt idx="106">
                  <c:v>99</c:v>
                </c:pt>
                <c:pt idx="107">
                  <c:v>140</c:v>
                </c:pt>
                <c:pt idx="108">
                  <c:v>135</c:v>
                </c:pt>
                <c:pt idx="109">
                  <c:v>98</c:v>
                </c:pt>
                <c:pt idx="110">
                  <c:v>93</c:v>
                </c:pt>
                <c:pt idx="111">
                  <c:v>151</c:v>
                </c:pt>
                <c:pt idx="112">
                  <c:v>164</c:v>
                </c:pt>
                <c:pt idx="113">
                  <c:v>128</c:v>
                </c:pt>
                <c:pt idx="114">
                  <c:v>77</c:v>
                </c:pt>
                <c:pt idx="115">
                  <c:v>133</c:v>
                </c:pt>
                <c:pt idx="116">
                  <c:v>110</c:v>
                </c:pt>
                <c:pt idx="117">
                  <c:v>102</c:v>
                </c:pt>
                <c:pt idx="118">
                  <c:v>79</c:v>
                </c:pt>
                <c:pt idx="119">
                  <c:v>155</c:v>
                </c:pt>
                <c:pt idx="120">
                  <c:v>159</c:v>
                </c:pt>
                <c:pt idx="121">
                  <c:v>114</c:v>
                </c:pt>
                <c:pt idx="122">
                  <c:v>136</c:v>
                </c:pt>
                <c:pt idx="123">
                  <c:v>125</c:v>
                </c:pt>
                <c:pt idx="124">
                  <c:v>168</c:v>
                </c:pt>
                <c:pt idx="125">
                  <c:v>148</c:v>
                </c:pt>
                <c:pt idx="126">
                  <c:v>214</c:v>
                </c:pt>
                <c:pt idx="127">
                  <c:v>196</c:v>
                </c:pt>
                <c:pt idx="128">
                  <c:v>203</c:v>
                </c:pt>
                <c:pt idx="129">
                  <c:v>278</c:v>
                </c:pt>
                <c:pt idx="130">
                  <c:v>228</c:v>
                </c:pt>
                <c:pt idx="131">
                  <c:v>195</c:v>
                </c:pt>
              </c:numCache>
            </c:numRef>
          </c:xVal>
          <c:yVal>
            <c:numRef>
              <c:f>'乘DC (2)'!$O$38:$O$500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6DD3-46EF-BB15-AA278F83D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3500139682563E-2"/>
          <c:y val="3.012311634386609E-2"/>
          <c:w val="0.73089849317186495"/>
          <c:h val="0.897197200999225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D9-42C3-9BF2-011942F7594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D9-42C3-9BF2-011942F7594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D9-42C3-9BF2-011942F7594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7D9-42C3-9BF2-011942F7594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7D9-42C3-9BF2-011942F75948}"/>
              </c:ext>
            </c:extLst>
          </c:dPt>
          <c:xVal>
            <c:numRef>
              <c:f>('EGA (mmol per L)'!$C$3:$C$7,'EGA (mmol per L)'!$C$12:$C$16)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1.6666666666666667</c:v>
                </c:pt>
                <c:pt idx="2">
                  <c:v>7.7777777777777777</c:v>
                </c:pt>
                <c:pt idx="3">
                  <c:v>15.555555555555555</c:v>
                </c:pt>
                <c:pt idx="4">
                  <c:v>106.66666666666667</c:v>
                </c:pt>
                <c:pt idx="5">
                  <c:v>2.7777777777777777</c:v>
                </c:pt>
                <c:pt idx="6">
                  <c:v>2.7777777777777777</c:v>
                </c:pt>
                <c:pt idx="7">
                  <c:v>9.4444444444444446</c:v>
                </c:pt>
                <c:pt idx="8">
                  <c:v>21.388888888888889</c:v>
                </c:pt>
                <c:pt idx="9">
                  <c:v>61.111111111111114</c:v>
                </c:pt>
              </c:numCache>
            </c:numRef>
          </c:xVal>
          <c:yVal>
            <c:numRef>
              <c:f>('EGA (mmol per L)'!$G$3:$G$7,'EGA (mmol per L)'!$H$12:$H$16)</c:f>
              <c:numCache>
                <c:formatCode>General</c:formatCode>
                <c:ptCount val="10"/>
                <c:pt idx="0">
                  <c:v>2.7777777777777777</c:v>
                </c:pt>
                <c:pt idx="1">
                  <c:v>2.7777777777777777</c:v>
                </c:pt>
                <c:pt idx="2">
                  <c:v>9.4444444444444446</c:v>
                </c:pt>
                <c:pt idx="3">
                  <c:v>21.111111111111111</c:v>
                </c:pt>
                <c:pt idx="4">
                  <c:v>122.22222222222223</c:v>
                </c:pt>
                <c:pt idx="5">
                  <c:v>0</c:v>
                </c:pt>
                <c:pt idx="6">
                  <c:v>1.6666666666666667</c:v>
                </c:pt>
                <c:pt idx="7">
                  <c:v>8.0555555555555554</c:v>
                </c:pt>
                <c:pt idx="8">
                  <c:v>16.666666666666668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7D9-42C3-9BF2-011942F7594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7D9-42C3-9BF2-011942F7594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7D9-42C3-9BF2-011942F75948}"/>
              </c:ext>
            </c:extLst>
          </c:dPt>
          <c:xVal>
            <c:numRef>
              <c:f>('EGA (mmol per L)'!$C$8:$C$11,'EGA (mmol per L)'!$C$17:$C$21)</c:f>
              <c:numCache>
                <c:formatCode>General</c:formatCode>
                <c:ptCount val="9"/>
                <c:pt idx="0">
                  <c:v>6.666666666666667</c:v>
                </c:pt>
                <c:pt idx="1">
                  <c:v>6.666666666666667</c:v>
                </c:pt>
                <c:pt idx="2">
                  <c:v>14.444444444444445</c:v>
                </c:pt>
                <c:pt idx="3">
                  <c:v>61.111111111111114</c:v>
                </c:pt>
                <c:pt idx="4">
                  <c:v>0</c:v>
                </c:pt>
                <c:pt idx="5">
                  <c:v>1.6666666666666667</c:v>
                </c:pt>
                <c:pt idx="6">
                  <c:v>2.7777777777777777</c:v>
                </c:pt>
                <c:pt idx="7">
                  <c:v>3.8888888888888888</c:v>
                </c:pt>
                <c:pt idx="8">
                  <c:v>57.777777777777779</c:v>
                </c:pt>
              </c:numCache>
            </c:numRef>
          </c:xVal>
          <c:yVal>
            <c:numRef>
              <c:f>('EGA (mmol per L)'!$J$8:$J$11,'EGA (mmol per L)'!$I$17:$I$21)</c:f>
              <c:numCache>
                <c:formatCode>General</c:formatCode>
                <c:ptCount val="9"/>
                <c:pt idx="0">
                  <c:v>0</c:v>
                </c:pt>
                <c:pt idx="1">
                  <c:v>1.6666666666666667</c:v>
                </c:pt>
                <c:pt idx="2">
                  <c:v>7.2222222222222223</c:v>
                </c:pt>
                <c:pt idx="3">
                  <c:v>27.777777777777779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4.4444444444444446</c:v>
                </c:pt>
                <c:pt idx="7">
                  <c:v>6.1111111111111107</c:v>
                </c:pt>
                <c:pt idx="8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7D9-42C3-9BF2-011942F7594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7D9-42C3-9BF2-011942F7594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7D9-42C3-9BF2-011942F75948}"/>
              </c:ext>
            </c:extLst>
          </c:dPt>
          <c:xVal>
            <c:numRef>
              <c:f>('EGA (mmol per L)'!$C$22:$C$24,'EGA (mmol per L)'!$C$25:$C$29)</c:f>
              <c:numCache>
                <c:formatCode>General</c:formatCode>
                <c:ptCount val="8"/>
                <c:pt idx="0">
                  <c:v>13.888888888888889</c:v>
                </c:pt>
                <c:pt idx="1">
                  <c:v>13.888888888888889</c:v>
                </c:pt>
                <c:pt idx="2">
                  <c:v>61.111111111111114</c:v>
                </c:pt>
                <c:pt idx="3">
                  <c:v>0</c:v>
                </c:pt>
                <c:pt idx="4">
                  <c:v>1.3888888888888888</c:v>
                </c:pt>
                <c:pt idx="5">
                  <c:v>2.7777777777777777</c:v>
                </c:pt>
                <c:pt idx="6">
                  <c:v>4.4444444444444446</c:v>
                </c:pt>
                <c:pt idx="7">
                  <c:v>27.777777777777779</c:v>
                </c:pt>
              </c:numCache>
            </c:numRef>
          </c:xVal>
          <c:yVal>
            <c:numRef>
              <c:f>('EGA (mmol per L)'!$L$22:$L$24,'EGA (mmol per L)'!$K$25:$K$29)</c:f>
              <c:numCache>
                <c:formatCode>General</c:formatCode>
                <c:ptCount val="8"/>
                <c:pt idx="0">
                  <c:v>0</c:v>
                </c:pt>
                <c:pt idx="1">
                  <c:v>2.2222222222222223</c:v>
                </c:pt>
                <c:pt idx="2">
                  <c:v>16.666666666666668</c:v>
                </c:pt>
                <c:pt idx="3">
                  <c:v>5.5555555555555554</c:v>
                </c:pt>
                <c:pt idx="4">
                  <c:v>5.5555555555555554</c:v>
                </c:pt>
                <c:pt idx="5">
                  <c:v>6.9444444444444446</c:v>
                </c:pt>
                <c:pt idx="6">
                  <c:v>11.944444444444445</c:v>
                </c:pt>
                <c:pt idx="7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7D9-42C3-9BF2-011942F7594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7D9-42C3-9BF2-011942F75948}"/>
              </c:ext>
            </c:extLst>
          </c:dPt>
          <c:xVal>
            <c:numRef>
              <c:f>('EGA (mmol per L)'!$C$30:$C$32,'EGA (mmol per L)'!$C$33:$C$34)</c:f>
              <c:numCache>
                <c:formatCode>General</c:formatCode>
                <c:ptCount val="5"/>
                <c:pt idx="0">
                  <c:v>0</c:v>
                </c:pt>
                <c:pt idx="1">
                  <c:v>1.9444444444444444</c:v>
                </c:pt>
                <c:pt idx="2">
                  <c:v>11.111111111111111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xVal>
          <c:yVal>
            <c:numRef>
              <c:f>('EGA (mmol per L)'!$M$30:$M$32,'EGA (mmol per L)'!$N$33:$N$34)</c:f>
              <c:numCache>
                <c:formatCode>General</c:formatCode>
                <c:ptCount val="5"/>
                <c:pt idx="0">
                  <c:v>8.3333333333333339</c:v>
                </c:pt>
                <c:pt idx="1">
                  <c:v>8.6111111111111107</c:v>
                </c:pt>
                <c:pt idx="2">
                  <c:v>122.22222222222223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7D9-42C3-9BF2-011942F7594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7D9-42C3-9BF2-011942F7594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7D9-42C3-9BF2-011942F75948}"/>
            </c:ext>
          </c:extLst>
        </c:ser>
        <c:ser>
          <c:idx val="6"/>
          <c:order val="6"/>
          <c:tx>
            <c:strRef>
              <c:f>'EGA (mmol per L)'!$D$37</c:f>
              <c:strCache>
                <c:ptCount val="1"/>
                <c:pt idx="0">
                  <c:v>Glucose solution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4F81BD"/>
              </a:solidFill>
            </c:spPr>
          </c:marker>
          <c:xVal>
            <c:numRef>
              <c:f>'EGA (mmol per L)'!$C$38:$C$255</c:f>
              <c:numCache>
                <c:formatCode>General</c:formatCode>
                <c:ptCount val="218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L)'!$D$38:$D$255</c:f>
              <c:numCache>
                <c:formatCode>General</c:formatCode>
                <c:ptCount val="218"/>
                <c:pt idx="0">
                  <c:v>2.2000000000000002</c:v>
                </c:pt>
                <c:pt idx="1">
                  <c:v>2.1</c:v>
                </c:pt>
                <c:pt idx="2">
                  <c:v>2.1</c:v>
                </c:pt>
                <c:pt idx="3">
                  <c:v>2.2999999999999998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6.4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6.4</c:v>
                </c:pt>
                <c:pt idx="32">
                  <c:v>6.3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6.5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19.600000000000001</c:v>
                </c:pt>
                <c:pt idx="41">
                  <c:v>19.5</c:v>
                </c:pt>
                <c:pt idx="42">
                  <c:v>19.899999999999999</c:v>
                </c:pt>
                <c:pt idx="43">
                  <c:v>19.600000000000001</c:v>
                </c:pt>
                <c:pt idx="44">
                  <c:v>20.3</c:v>
                </c:pt>
                <c:pt idx="45">
                  <c:v>20.8</c:v>
                </c:pt>
                <c:pt idx="46">
                  <c:v>20.100000000000001</c:v>
                </c:pt>
                <c:pt idx="47">
                  <c:v>19.899999999999999</c:v>
                </c:pt>
                <c:pt idx="48">
                  <c:v>20</c:v>
                </c:pt>
                <c:pt idx="49">
                  <c:v>19.899999999999999</c:v>
                </c:pt>
                <c:pt idx="50">
                  <c:v>19.5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19.7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</c:v>
                </c:pt>
                <c:pt idx="59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7D9-42C3-9BF2-011942F75948}"/>
            </c:ext>
          </c:extLst>
        </c:ser>
        <c:ser>
          <c:idx val="7"/>
          <c:order val="7"/>
          <c:tx>
            <c:strRef>
              <c:f>'EGA (mmol per L)'!$E$37</c:f>
              <c:strCache>
                <c:ptCount val="1"/>
                <c:pt idx="0">
                  <c:v>plasma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'EGA (mmol per L)'!$C$38:$C$257</c:f>
              <c:numCache>
                <c:formatCode>General</c:formatCode>
                <c:ptCount val="220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L)'!$E$38:$E$257</c:f>
              <c:numCache>
                <c:formatCode>General</c:formatCode>
                <c:ptCount val="220"/>
                <c:pt idx="60">
                  <c:v>3.4</c:v>
                </c:pt>
                <c:pt idx="61">
                  <c:v>3.1</c:v>
                </c:pt>
                <c:pt idx="62">
                  <c:v>3.1</c:v>
                </c:pt>
                <c:pt idx="63">
                  <c:v>3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</c:v>
                </c:pt>
                <c:pt idx="69">
                  <c:v>3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3.4</c:v>
                </c:pt>
                <c:pt idx="82">
                  <c:v>3.1</c:v>
                </c:pt>
                <c:pt idx="83">
                  <c:v>3.4</c:v>
                </c:pt>
                <c:pt idx="84">
                  <c:v>3.1</c:v>
                </c:pt>
                <c:pt idx="85">
                  <c:v>6.5</c:v>
                </c:pt>
                <c:pt idx="86">
                  <c:v>6.5</c:v>
                </c:pt>
                <c:pt idx="87">
                  <c:v>6.7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6.9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6.7</c:v>
                </c:pt>
                <c:pt idx="99">
                  <c:v>6.8</c:v>
                </c:pt>
                <c:pt idx="100">
                  <c:v>6.7</c:v>
                </c:pt>
                <c:pt idx="101">
                  <c:v>6.9</c:v>
                </c:pt>
                <c:pt idx="102">
                  <c:v>6.7</c:v>
                </c:pt>
                <c:pt idx="103">
                  <c:v>6.8</c:v>
                </c:pt>
                <c:pt idx="104">
                  <c:v>6.7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6.6</c:v>
                </c:pt>
                <c:pt idx="109">
                  <c:v>6.9</c:v>
                </c:pt>
                <c:pt idx="110">
                  <c:v>21.5</c:v>
                </c:pt>
                <c:pt idx="111">
                  <c:v>21</c:v>
                </c:pt>
                <c:pt idx="112">
                  <c:v>21.9</c:v>
                </c:pt>
                <c:pt idx="113">
                  <c:v>21.7</c:v>
                </c:pt>
                <c:pt idx="114">
                  <c:v>20.399999999999999</c:v>
                </c:pt>
                <c:pt idx="115">
                  <c:v>21.5</c:v>
                </c:pt>
                <c:pt idx="116">
                  <c:v>20</c:v>
                </c:pt>
                <c:pt idx="117">
                  <c:v>21.2</c:v>
                </c:pt>
                <c:pt idx="118">
                  <c:v>20.3</c:v>
                </c:pt>
                <c:pt idx="119">
                  <c:v>20.7</c:v>
                </c:pt>
                <c:pt idx="120">
                  <c:v>21.5</c:v>
                </c:pt>
                <c:pt idx="121">
                  <c:v>21.3</c:v>
                </c:pt>
                <c:pt idx="122">
                  <c:v>20.399999999999999</c:v>
                </c:pt>
                <c:pt idx="123">
                  <c:v>20.8</c:v>
                </c:pt>
                <c:pt idx="124">
                  <c:v>20.5</c:v>
                </c:pt>
                <c:pt idx="125">
                  <c:v>21.6</c:v>
                </c:pt>
                <c:pt idx="126">
                  <c:v>21.5</c:v>
                </c:pt>
                <c:pt idx="127">
                  <c:v>21</c:v>
                </c:pt>
                <c:pt idx="128">
                  <c:v>22.3</c:v>
                </c:pt>
                <c:pt idx="129">
                  <c:v>20.3</c:v>
                </c:pt>
                <c:pt idx="130">
                  <c:v>21</c:v>
                </c:pt>
                <c:pt idx="131">
                  <c:v>20.9</c:v>
                </c:pt>
                <c:pt idx="132">
                  <c:v>21.8</c:v>
                </c:pt>
                <c:pt idx="133">
                  <c:v>21</c:v>
                </c:pt>
                <c:pt idx="134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7D9-42C3-9BF2-011942F75948}"/>
            </c:ext>
          </c:extLst>
        </c:ser>
        <c:ser>
          <c:idx val="8"/>
          <c:order val="8"/>
          <c:tx>
            <c:strRef>
              <c:f>'EGA (mmol per L)'!$F$37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L)'!$F$38:$F$138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D9-42C3-9BF2-011942F75948}"/>
            </c:ext>
          </c:extLst>
        </c:ser>
        <c:ser>
          <c:idx val="9"/>
          <c:order val="9"/>
          <c:tx>
            <c:strRef>
              <c:f>'EGA (mmol per L)'!$G$37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L)'!$G$38:$G$138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D9-42C3-9BF2-011942F75948}"/>
            </c:ext>
          </c:extLst>
        </c:ser>
        <c:ser>
          <c:idx val="10"/>
          <c:order val="10"/>
          <c:tx>
            <c:strRef>
              <c:f>'EGA (mmol per L)'!$H$37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L)'!$H$38:$H$137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D9-42C3-9BF2-011942F75948}"/>
            </c:ext>
          </c:extLst>
        </c:ser>
        <c:ser>
          <c:idx val="11"/>
          <c:order val="11"/>
          <c:tx>
            <c:strRef>
              <c:f>'EGA (mmol per L)'!$I$37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L)'!$I$38:$I$137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D9-42C3-9BF2-011942F75948}"/>
            </c:ext>
          </c:extLst>
        </c:ser>
        <c:ser>
          <c:idx val="12"/>
          <c:order val="12"/>
          <c:tx>
            <c:strRef>
              <c:f>'EGA (mmol per L)'!$J$37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L)'!$J$38:$J$138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D9-42C3-9BF2-011942F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368"/>
        <c:axId val="110424832"/>
      </c:scatterChart>
      <c:valAx>
        <c:axId val="11041036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YSI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24832"/>
        <c:crosses val="autoZero"/>
        <c:crossBetween val="midCat"/>
        <c:majorUnit val="5"/>
      </c:valAx>
      <c:valAx>
        <c:axId val="110424832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Meter reading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10368"/>
        <c:crosses val="autoZero"/>
        <c:crossBetween val="midCat"/>
        <c:majorUnit val="5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1262664116141858"/>
          <c:y val="3.4669237773849698E-2"/>
          <c:w val="0.17698250503477975"/>
          <c:h val="0.16703723722846334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4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657725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657725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465350</xdr:colOff>
      <xdr:row>34</xdr:row>
      <xdr:rowOff>63953</xdr:rowOff>
    </xdr:from>
    <xdr:to>
      <xdr:col>23</xdr:col>
      <xdr:colOff>40822</xdr:colOff>
      <xdr:row>57</xdr:row>
      <xdr:rowOff>40821</xdr:rowOff>
    </xdr:to>
    <xdr:grpSp>
      <xdr:nvGrpSpPr>
        <xdr:cNvPr id="2" name="群組 1"/>
        <xdr:cNvGrpSpPr/>
      </xdr:nvGrpSpPr>
      <xdr:grpSpPr>
        <a:xfrm>
          <a:off x="12167493" y="7003596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669459</xdr:colOff>
      <xdr:row>37</xdr:row>
      <xdr:rowOff>145597</xdr:rowOff>
    </xdr:from>
    <xdr:to>
      <xdr:col>20</xdr:col>
      <xdr:colOff>421823</xdr:colOff>
      <xdr:row>60</xdr:row>
      <xdr:rowOff>95250</xdr:rowOff>
    </xdr:to>
    <xdr:grpSp>
      <xdr:nvGrpSpPr>
        <xdr:cNvPr id="2" name="群組 1"/>
        <xdr:cNvGrpSpPr/>
      </xdr:nvGrpSpPr>
      <xdr:grpSpPr>
        <a:xfrm>
          <a:off x="10507423" y="7711168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421822</xdr:colOff>
      <xdr:row>36</xdr:row>
      <xdr:rowOff>176893</xdr:rowOff>
    </xdr:from>
    <xdr:to>
      <xdr:col>12</xdr:col>
      <xdr:colOff>664030</xdr:colOff>
      <xdr:row>60</xdr:row>
      <xdr:rowOff>85725</xdr:rowOff>
    </xdr:to>
    <xdr:grpSp>
      <xdr:nvGrpSpPr>
        <xdr:cNvPr id="20" name="群組 19"/>
        <xdr:cNvGrpSpPr/>
      </xdr:nvGrpSpPr>
      <xdr:grpSpPr>
        <a:xfrm>
          <a:off x="4313465" y="7524750"/>
          <a:ext cx="7127422" cy="5133975"/>
          <a:chOff x="12126685" y="812346"/>
          <a:chExt cx="7127422" cy="5133975"/>
        </a:xfrm>
      </xdr:grpSpPr>
      <xdr:graphicFrame macro="">
        <xdr:nvGraphicFramePr>
          <xdr:cNvPr id="21" name="圖表 20"/>
          <xdr:cNvGraphicFramePr/>
        </xdr:nvGraphicFramePr>
        <xdr:xfrm>
          <a:off x="12126685" y="812346"/>
          <a:ext cx="7127422" cy="513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文字方塊 21"/>
          <xdr:cNvSpPr txBox="1"/>
        </xdr:nvSpPr>
        <xdr:spPr>
          <a:xfrm>
            <a:off x="16305446" y="1676376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6729983" y="2069625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4" name="文字方塊 23"/>
          <xdr:cNvSpPr txBox="1"/>
        </xdr:nvSpPr>
        <xdr:spPr>
          <a:xfrm>
            <a:off x="17064723" y="3007160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5" name="文字方塊 24"/>
          <xdr:cNvSpPr txBox="1"/>
        </xdr:nvSpPr>
        <xdr:spPr>
          <a:xfrm>
            <a:off x="15170609" y="1587928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6" name="文字方塊 25"/>
          <xdr:cNvSpPr txBox="1"/>
        </xdr:nvSpPr>
        <xdr:spPr>
          <a:xfrm>
            <a:off x="14154157" y="1419199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7" name="文字方塊 26"/>
          <xdr:cNvSpPr txBox="1"/>
        </xdr:nvSpPr>
        <xdr:spPr>
          <a:xfrm>
            <a:off x="17176301" y="3932454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8" name="文字方塊 27"/>
          <xdr:cNvSpPr txBox="1"/>
        </xdr:nvSpPr>
        <xdr:spPr>
          <a:xfrm>
            <a:off x="17131397" y="4935300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29" name="文字方塊 28"/>
          <xdr:cNvSpPr txBox="1"/>
        </xdr:nvSpPr>
        <xdr:spPr>
          <a:xfrm>
            <a:off x="13313236" y="1405592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30" name="文字方塊 29"/>
          <xdr:cNvSpPr txBox="1"/>
        </xdr:nvSpPr>
        <xdr:spPr>
          <a:xfrm>
            <a:off x="12695471" y="1460020"/>
            <a:ext cx="2535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E</a:t>
            </a:r>
            <a:endParaRPr lang="zh-TW" alt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D34" zoomScale="70" zoomScaleNormal="70" workbookViewId="0">
      <selection activeCell="B61" sqref="B61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119</v>
      </c>
      <c r="D38" s="18">
        <v>97.542586447888254</v>
      </c>
      <c r="E38" s="19">
        <v>146.70110524616558</v>
      </c>
      <c r="F38" s="19">
        <v>136.7205246595058</v>
      </c>
      <c r="G38" s="18">
        <v>188.16364883389284</v>
      </c>
    </row>
    <row r="39" spans="3:14" ht="17.25" x14ac:dyDescent="0.25">
      <c r="C39" s="3">
        <v>145</v>
      </c>
      <c r="D39" s="18">
        <v>80.216154219028553</v>
      </c>
      <c r="E39" s="19">
        <v>139.4385631113976</v>
      </c>
      <c r="F39" s="19">
        <v>126.51375415024908</v>
      </c>
      <c r="G39" s="18">
        <v>77.261502506903867</v>
      </c>
    </row>
    <row r="40" spans="3:14" ht="17.25" x14ac:dyDescent="0.25">
      <c r="C40" s="3">
        <v>204</v>
      </c>
      <c r="D40" s="18">
        <v>101.03360470245325</v>
      </c>
      <c r="E40" s="19">
        <v>156.34908625410122</v>
      </c>
      <c r="F40" s="19">
        <v>165.03237410164971</v>
      </c>
      <c r="G40" s="18">
        <v>113.32341464615784</v>
      </c>
    </row>
    <row r="41" spans="3:14" ht="17.25" x14ac:dyDescent="0.25">
      <c r="C41" s="3">
        <v>220</v>
      </c>
      <c r="D41" s="18">
        <v>128.19218932468868</v>
      </c>
      <c r="E41" s="19">
        <v>175.81002746920865</v>
      </c>
      <c r="F41" s="19">
        <v>171.6993622389711</v>
      </c>
      <c r="G41" s="18">
        <v>129.75137071600807</v>
      </c>
    </row>
    <row r="42" spans="3:14" ht="17.25" x14ac:dyDescent="0.25">
      <c r="C42" s="3">
        <v>249</v>
      </c>
      <c r="D42" s="18">
        <v>294.53088370790732</v>
      </c>
      <c r="E42" s="19">
        <v>238.46230284929933</v>
      </c>
      <c r="F42" s="19">
        <v>207.58170071634368</v>
      </c>
      <c r="G42" s="18">
        <v>179.57189012189639</v>
      </c>
    </row>
    <row r="43" spans="3:14" ht="17.25" x14ac:dyDescent="0.25">
      <c r="C43" s="3">
        <v>186</v>
      </c>
      <c r="D43" s="18">
        <v>243.39230700401467</v>
      </c>
      <c r="E43" s="19">
        <v>254.29530314583786</v>
      </c>
      <c r="F43" s="19">
        <v>206.46361799220816</v>
      </c>
      <c r="G43" s="18">
        <v>377.16890617229751</v>
      </c>
    </row>
    <row r="44" spans="3:14" ht="17.25" x14ac:dyDescent="0.25">
      <c r="C44" s="3">
        <v>266</v>
      </c>
      <c r="D44" s="18">
        <v>323.60259368330111</v>
      </c>
      <c r="E44" s="19">
        <v>309.68618678276022</v>
      </c>
      <c r="F44" s="19">
        <v>272.64855920714461</v>
      </c>
      <c r="G44" s="18">
        <v>377.16890617229751</v>
      </c>
    </row>
    <row r="45" spans="3:14" ht="17.25" x14ac:dyDescent="0.25">
      <c r="C45" s="3">
        <v>160</v>
      </c>
      <c r="D45" s="18">
        <v>120.06624451983592</v>
      </c>
      <c r="E45" s="19">
        <v>145.35481708956473</v>
      </c>
      <c r="F45" s="19">
        <v>170.01794480548577</v>
      </c>
      <c r="G45" s="18">
        <v>209.83190308659121</v>
      </c>
    </row>
    <row r="46" spans="3:14" ht="17.25" x14ac:dyDescent="0.25">
      <c r="C46" s="3">
        <v>218</v>
      </c>
      <c r="D46" s="18">
        <v>172.48670090030546</v>
      </c>
      <c r="E46" s="19">
        <v>201.02049400645421</v>
      </c>
      <c r="F46" s="19">
        <v>253.80226791349517</v>
      </c>
      <c r="G46" s="18">
        <v>189.02210283087845</v>
      </c>
    </row>
    <row r="47" spans="3:14" ht="17.25" x14ac:dyDescent="0.25">
      <c r="C47" s="3">
        <v>131</v>
      </c>
      <c r="D47" s="18">
        <v>254.52432416268061</v>
      </c>
      <c r="E47" s="19">
        <v>91.35400070672685</v>
      </c>
      <c r="F47" s="19">
        <v>34.951711311823644</v>
      </c>
      <c r="G47" s="18">
        <v>28.55429716967889</v>
      </c>
    </row>
    <row r="48" spans="3:14" ht="17.25" x14ac:dyDescent="0.25">
      <c r="C48" s="3">
        <v>189</v>
      </c>
      <c r="D48" s="18">
        <v>278.79584430214737</v>
      </c>
      <c r="E48" s="19">
        <v>208.9394286461532</v>
      </c>
      <c r="F48" s="19">
        <v>276.86477435937587</v>
      </c>
      <c r="G48" s="18">
        <v>188.01483366301554</v>
      </c>
    </row>
    <row r="49" spans="3:7" ht="17.25" x14ac:dyDescent="0.25">
      <c r="C49" s="3">
        <v>139</v>
      </c>
      <c r="D49" s="18">
        <v>131.61656702574894</v>
      </c>
      <c r="E49" s="19">
        <v>158.58868469233022</v>
      </c>
      <c r="F49" s="19">
        <v>172.30448095169911</v>
      </c>
      <c r="G49" s="18">
        <v>168.16722408038203</v>
      </c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60" sqref="I6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125</v>
      </c>
      <c r="D38" s="18">
        <v>157.14254588727411</v>
      </c>
      <c r="E38" s="19">
        <v>135.72288734538432</v>
      </c>
      <c r="F38" s="19">
        <v>12.944642702932633</v>
      </c>
      <c r="G38" s="18"/>
    </row>
    <row r="39" spans="3:14" ht="17.25" x14ac:dyDescent="0.25">
      <c r="C39" s="3">
        <v>170</v>
      </c>
      <c r="D39" s="18">
        <v>128.86005310609346</v>
      </c>
      <c r="E39" s="19">
        <v>137.93052064908017</v>
      </c>
      <c r="F39" s="19">
        <v>58.607024568448594</v>
      </c>
      <c r="G39" s="18"/>
    </row>
    <row r="40" spans="3:14" ht="17.25" x14ac:dyDescent="0.25">
      <c r="C40" s="3">
        <v>205</v>
      </c>
      <c r="D40" s="18">
        <v>246.298594510805</v>
      </c>
      <c r="E40" s="19">
        <v>155.29926167316012</v>
      </c>
      <c r="F40" s="19">
        <v>109.79792226473732</v>
      </c>
      <c r="G40" s="18"/>
    </row>
    <row r="41" spans="3:14" ht="17.25" x14ac:dyDescent="0.25">
      <c r="C41" s="3">
        <v>287</v>
      </c>
      <c r="D41" s="18">
        <v>303.16295261169091</v>
      </c>
      <c r="E41" s="19">
        <v>279.96422934639804</v>
      </c>
      <c r="F41" s="19">
        <v>105.74635428557421</v>
      </c>
      <c r="G41" s="18"/>
    </row>
    <row r="42" spans="3:14" ht="17.25" x14ac:dyDescent="0.25">
      <c r="C42" s="3">
        <v>209</v>
      </c>
      <c r="D42" s="18">
        <v>160.53585388413663</v>
      </c>
      <c r="E42" s="19">
        <v>287.08310098597735</v>
      </c>
      <c r="F42" s="19">
        <v>708.90405617830743</v>
      </c>
      <c r="G42" s="18"/>
    </row>
    <row r="43" spans="3:14" ht="17.25" x14ac:dyDescent="0.25">
      <c r="C43" s="3"/>
      <c r="D43" s="18"/>
      <c r="E43" s="19"/>
      <c r="F43" s="19"/>
      <c r="G43" s="18"/>
    </row>
    <row r="44" spans="3:14" ht="17.25" x14ac:dyDescent="0.25">
      <c r="C44" s="3"/>
      <c r="D44" s="18"/>
      <c r="E44" s="19"/>
      <c r="F44" s="19"/>
      <c r="G44" s="18"/>
    </row>
    <row r="45" spans="3:14" ht="17.25" x14ac:dyDescent="0.25">
      <c r="C45" s="3"/>
      <c r="D45" s="18"/>
      <c r="E45" s="19"/>
      <c r="F45" s="19"/>
      <c r="G45" s="18"/>
    </row>
    <row r="46" spans="3:14" ht="17.25" x14ac:dyDescent="0.25">
      <c r="C46" s="3"/>
      <c r="D46" s="18"/>
      <c r="E46" s="19"/>
      <c r="F46" s="19"/>
      <c r="G46" s="18"/>
    </row>
    <row r="47" spans="3:14" ht="17.25" x14ac:dyDescent="0.25">
      <c r="C47" s="3"/>
      <c r="D47" s="18"/>
      <c r="E47" s="19"/>
      <c r="F47" s="19"/>
      <c r="G47" s="18"/>
    </row>
    <row r="48" spans="3:14" ht="17.25" x14ac:dyDescent="0.25">
      <c r="C48" s="3"/>
      <c r="D48" s="18"/>
      <c r="E48" s="19"/>
      <c r="F48" s="19"/>
      <c r="G48" s="18"/>
    </row>
    <row r="49" spans="3:7" ht="17.25" x14ac:dyDescent="0.25">
      <c r="C49" s="3"/>
      <c r="D49" s="18"/>
      <c r="E49" s="19"/>
      <c r="F49" s="19"/>
      <c r="G49" s="18"/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38" sqref="I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2" t="s">
        <v>37</v>
      </c>
      <c r="E37" s="2" t="s">
        <v>38</v>
      </c>
      <c r="F37" s="2" t="s">
        <v>39</v>
      </c>
      <c r="G37" s="2" t="s">
        <v>40</v>
      </c>
      <c r="H37" s="2" t="s">
        <v>41</v>
      </c>
      <c r="I37" s="2"/>
    </row>
    <row r="38" spans="3:14" ht="17.25" x14ac:dyDescent="0.25">
      <c r="C38" s="3">
        <v>102</v>
      </c>
      <c r="D38" s="4">
        <v>103.62552746723463</v>
      </c>
      <c r="E38" s="5">
        <v>103.85252522607593</v>
      </c>
      <c r="F38" s="5">
        <v>137.74952203399241</v>
      </c>
      <c r="G38" s="1">
        <v>95.519755925093847</v>
      </c>
      <c r="H38" s="1">
        <v>103.31927768920575</v>
      </c>
    </row>
    <row r="39" spans="3:14" ht="17.25" x14ac:dyDescent="0.25">
      <c r="C39" s="3">
        <v>96</v>
      </c>
      <c r="D39" s="4">
        <v>96.496752710613691</v>
      </c>
      <c r="E39" s="5">
        <v>97.645975060457971</v>
      </c>
      <c r="F39" s="5">
        <v>106.8767088640931</v>
      </c>
      <c r="G39" s="1">
        <v>89.266612852490653</v>
      </c>
      <c r="H39" s="1">
        <v>114.51120685574824</v>
      </c>
    </row>
    <row r="40" spans="3:14" ht="17.25" x14ac:dyDescent="0.25">
      <c r="C40" s="3">
        <v>131</v>
      </c>
      <c r="D40" s="4">
        <v>132.71487627033957</v>
      </c>
      <c r="E40" s="5">
        <v>138.52061277644015</v>
      </c>
      <c r="F40" s="5">
        <v>101.76462175728506</v>
      </c>
      <c r="G40" s="1">
        <v>162.66026555923236</v>
      </c>
      <c r="H40" s="1">
        <v>118.7760699647564</v>
      </c>
    </row>
    <row r="41" spans="3:14" ht="17.25" x14ac:dyDescent="0.25">
      <c r="C41" s="3">
        <v>85</v>
      </c>
      <c r="D41" s="4">
        <v>78.467246865961442</v>
      </c>
      <c r="E41" s="5">
        <v>108.91302480270809</v>
      </c>
      <c r="F41" s="5">
        <v>82.503246879678855</v>
      </c>
      <c r="G41" s="1">
        <v>72.122645636206698</v>
      </c>
      <c r="H41" s="1">
        <v>145.1540588550547</v>
      </c>
    </row>
    <row r="42" spans="3:14" ht="17.25" x14ac:dyDescent="0.25">
      <c r="C42" s="3">
        <v>105</v>
      </c>
      <c r="D42" s="4">
        <v>102.3843406965733</v>
      </c>
      <c r="E42" s="5">
        <v>141.5465431058968</v>
      </c>
      <c r="F42" s="5">
        <v>91.849667022084603</v>
      </c>
      <c r="G42" s="1">
        <v>145.56805314864278</v>
      </c>
      <c r="H42" s="1">
        <v>133.94796361183967</v>
      </c>
    </row>
    <row r="43" spans="3:14" ht="17.25" x14ac:dyDescent="0.25">
      <c r="C43" s="3">
        <v>105</v>
      </c>
      <c r="D43" s="4">
        <v>91.57375257353624</v>
      </c>
      <c r="E43" s="5">
        <v>93.339969311346962</v>
      </c>
      <c r="F43" s="5">
        <v>98.599322623768671</v>
      </c>
      <c r="G43" s="1">
        <v>117.07021638666356</v>
      </c>
      <c r="H43" s="1">
        <v>97.259237405316981</v>
      </c>
    </row>
    <row r="44" spans="3:14" ht="17.25" x14ac:dyDescent="0.25">
      <c r="C44" s="3">
        <v>132</v>
      </c>
      <c r="D44" s="4">
        <v>130.31613771205684</v>
      </c>
      <c r="E44" s="5">
        <v>133.02904326984111</v>
      </c>
      <c r="F44" s="5">
        <v>148.92937976894333</v>
      </c>
      <c r="G44" s="1">
        <v>127.46181924146815</v>
      </c>
      <c r="H44" s="1">
        <v>123.06469254930369</v>
      </c>
    </row>
    <row r="45" spans="3:14" ht="17.25" x14ac:dyDescent="0.25">
      <c r="C45" s="3">
        <v>95</v>
      </c>
      <c r="D45" s="4">
        <v>124.11543829585776</v>
      </c>
      <c r="E45" s="5">
        <v>140.97345010552499</v>
      </c>
      <c r="F45" s="5">
        <v>143.67858450438862</v>
      </c>
      <c r="G45" s="1">
        <v>143.57895627580592</v>
      </c>
      <c r="H45" s="1">
        <v>107.03799207953682</v>
      </c>
    </row>
    <row r="46" spans="3:14" ht="17.25" x14ac:dyDescent="0.25">
      <c r="C46" s="3">
        <v>105</v>
      </c>
      <c r="D46" s="4">
        <v>114.96226594755763</v>
      </c>
      <c r="E46" s="5">
        <v>126.81410064327511</v>
      </c>
      <c r="F46" s="5">
        <v>144.3543213490569</v>
      </c>
      <c r="G46" s="1">
        <v>131.41132724357294</v>
      </c>
      <c r="H46" s="1">
        <v>125.89660838587383</v>
      </c>
    </row>
    <row r="47" spans="3:14" ht="17.25" x14ac:dyDescent="0.25">
      <c r="C47" s="3">
        <v>109</v>
      </c>
      <c r="D47" s="4">
        <v>108.99415964159812</v>
      </c>
      <c r="E47" s="5">
        <v>108.89224636429086</v>
      </c>
      <c r="F47" s="5">
        <v>115.92820008645519</v>
      </c>
      <c r="G47" s="1">
        <v>101.24844077034913</v>
      </c>
      <c r="H47" s="1">
        <v>104.07590204351754</v>
      </c>
    </row>
    <row r="48" spans="3:14" ht="17.25" x14ac:dyDescent="0.25">
      <c r="C48" s="3">
        <v>111</v>
      </c>
      <c r="D48" s="4">
        <v>150.75892375369995</v>
      </c>
      <c r="E48" s="5">
        <v>126.33112764212643</v>
      </c>
      <c r="F48" s="5">
        <v>104.84908482868771</v>
      </c>
      <c r="G48" s="1">
        <v>136.11793376748074</v>
      </c>
      <c r="H48" s="1">
        <v>122.36809244153062</v>
      </c>
    </row>
    <row r="49" spans="3:8" ht="17.25" x14ac:dyDescent="0.25">
      <c r="C49" s="3">
        <v>89</v>
      </c>
      <c r="D49" s="4">
        <v>86.13156525958982</v>
      </c>
      <c r="E49" s="5">
        <v>80.400404686198982</v>
      </c>
      <c r="F49" s="5">
        <v>82.584267043693998</v>
      </c>
      <c r="G49" s="1">
        <v>98.422590112757348</v>
      </c>
      <c r="H49" s="1">
        <v>77.714594351920766</v>
      </c>
    </row>
    <row r="50" spans="3:8" ht="17.25" x14ac:dyDescent="0.25">
      <c r="C50" s="3">
        <v>133</v>
      </c>
      <c r="D50" s="4">
        <v>136.63575905499124</v>
      </c>
      <c r="E50" s="5">
        <v>117.85249162413695</v>
      </c>
      <c r="F50" s="5">
        <v>129.17812340742674</v>
      </c>
      <c r="G50" s="1">
        <v>102.01859501454612</v>
      </c>
      <c r="H50" s="1">
        <v>129.0544027499372</v>
      </c>
    </row>
    <row r="51" spans="3:8" ht="17.25" x14ac:dyDescent="0.25">
      <c r="C51" s="3">
        <v>93</v>
      </c>
      <c r="D51" s="4">
        <v>90.946563200401442</v>
      </c>
      <c r="E51" s="5">
        <v>101.4551800178341</v>
      </c>
      <c r="F51" s="5">
        <v>91.426830317230952</v>
      </c>
      <c r="G51" s="1">
        <v>94.4485736108212</v>
      </c>
      <c r="H51" s="1">
        <v>93.813345778329278</v>
      </c>
    </row>
    <row r="52" spans="3:8" ht="17.25" x14ac:dyDescent="0.25">
      <c r="C52" s="3">
        <v>307</v>
      </c>
      <c r="D52" s="4">
        <v>311.73858647308225</v>
      </c>
      <c r="E52" s="5">
        <v>300.49112527370249</v>
      </c>
      <c r="F52" s="5">
        <v>289.20608524226964</v>
      </c>
      <c r="G52" s="1">
        <v>313.25778764405339</v>
      </c>
      <c r="H52" s="1">
        <v>293.2736932403327</v>
      </c>
    </row>
    <row r="53" spans="3:8" ht="17.25" x14ac:dyDescent="0.25">
      <c r="C53" s="3">
        <v>267</v>
      </c>
      <c r="D53" s="4">
        <v>261.32102521709726</v>
      </c>
      <c r="E53" s="5">
        <v>276.60607557556267</v>
      </c>
      <c r="F53" s="5">
        <v>242.7817414665823</v>
      </c>
      <c r="G53" s="1">
        <v>234.92543886369731</v>
      </c>
      <c r="H53" s="1">
        <v>260.52603872008694</v>
      </c>
    </row>
    <row r="54" spans="3:8" ht="17.25" x14ac:dyDescent="0.25">
      <c r="C54" s="3">
        <v>222</v>
      </c>
      <c r="D54" s="4">
        <v>156.15034738026293</v>
      </c>
      <c r="E54" s="5">
        <v>139.21540379417658</v>
      </c>
      <c r="F54" s="5">
        <v>140.37530348814155</v>
      </c>
      <c r="G54" s="1">
        <v>147.61478249331321</v>
      </c>
      <c r="H54" s="1">
        <v>120.38788552892174</v>
      </c>
    </row>
    <row r="55" spans="3:8" ht="17.25" x14ac:dyDescent="0.25">
      <c r="C55" s="3">
        <v>198</v>
      </c>
      <c r="D55" s="4">
        <v>200.84675827762817</v>
      </c>
      <c r="E55" s="5">
        <v>160.65358464858161</v>
      </c>
      <c r="F55" s="5">
        <v>227.74484928201059</v>
      </c>
      <c r="G55" s="1">
        <v>141.73121872212005</v>
      </c>
      <c r="H55" s="1">
        <v>209.14333957430063</v>
      </c>
    </row>
    <row r="56" spans="3:8" ht="17.25" x14ac:dyDescent="0.25">
      <c r="C56" s="3">
        <v>94</v>
      </c>
      <c r="D56" s="4">
        <v>100.81997320194341</v>
      </c>
      <c r="E56" s="5">
        <v>82.467116071813507</v>
      </c>
      <c r="F56" s="5">
        <v>98.620140034202706</v>
      </c>
      <c r="G56" s="1">
        <v>124.55498673170609</v>
      </c>
      <c r="H56" s="1">
        <v>99.675598174476818</v>
      </c>
    </row>
    <row r="57" spans="3:8" ht="17.25" x14ac:dyDescent="0.25">
      <c r="C57" s="3"/>
      <c r="D57" s="4"/>
      <c r="E57" s="5"/>
      <c r="F57" s="5"/>
    </row>
    <row r="58" spans="3:8" ht="17.25" x14ac:dyDescent="0.25">
      <c r="C58" s="3"/>
      <c r="D58" s="4"/>
      <c r="E58" s="5"/>
      <c r="F58" s="5"/>
    </row>
    <row r="59" spans="3:8" ht="17.25" x14ac:dyDescent="0.25">
      <c r="C59" s="3"/>
      <c r="D59" s="4"/>
      <c r="E59" s="5"/>
      <c r="F59" s="5"/>
    </row>
    <row r="60" spans="3:8" ht="17.25" x14ac:dyDescent="0.25">
      <c r="C60" s="3"/>
      <c r="D60" s="4"/>
      <c r="E60" s="5"/>
      <c r="F60" s="5"/>
    </row>
    <row r="61" spans="3:8" ht="17.25" x14ac:dyDescent="0.25">
      <c r="C61" s="3"/>
      <c r="D61" s="4"/>
      <c r="E61" s="5"/>
      <c r="F61" s="5"/>
    </row>
    <row r="62" spans="3:8" ht="17.25" x14ac:dyDescent="0.25">
      <c r="C62" s="3"/>
      <c r="D62" s="4"/>
      <c r="E62" s="5"/>
      <c r="F62" s="5"/>
    </row>
    <row r="63" spans="3:8" ht="17.25" x14ac:dyDescent="0.25">
      <c r="C63" s="3"/>
      <c r="D63" s="4"/>
      <c r="E63" s="5"/>
      <c r="F63" s="5"/>
    </row>
    <row r="64" spans="3:8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69"/>
  <sheetViews>
    <sheetView tabSelected="1" topLeftCell="A31" zoomScale="70" zoomScaleNormal="70" workbookViewId="0">
      <selection activeCell="C38" sqref="C38:D169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2:15" x14ac:dyDescent="0.25">
      <c r="C33" s="1">
        <v>0</v>
      </c>
      <c r="N33" s="1">
        <v>0</v>
      </c>
    </row>
    <row r="34" spans="2:15" x14ac:dyDescent="0.25">
      <c r="C34" s="1">
        <v>550</v>
      </c>
      <c r="N34" s="1">
        <v>550</v>
      </c>
    </row>
    <row r="37" spans="2:15" ht="17.25" x14ac:dyDescent="0.25">
      <c r="C37" s="2" t="s">
        <v>18</v>
      </c>
      <c r="D37" s="15" t="s">
        <v>42</v>
      </c>
      <c r="E37" s="15" t="s">
        <v>34</v>
      </c>
      <c r="F37" s="15" t="s">
        <v>35</v>
      </c>
      <c r="G37" s="15" t="s">
        <v>54</v>
      </c>
      <c r="H37" s="15" t="s">
        <v>55</v>
      </c>
      <c r="I37" s="15" t="s">
        <v>56</v>
      </c>
      <c r="J37" s="15" t="s">
        <v>57</v>
      </c>
      <c r="K37" s="15" t="s">
        <v>58</v>
      </c>
      <c r="L37" s="15" t="s">
        <v>59</v>
      </c>
      <c r="M37" s="15" t="s">
        <v>60</v>
      </c>
      <c r="N37" s="15" t="s">
        <v>61</v>
      </c>
      <c r="O37" s="15" t="s">
        <v>62</v>
      </c>
    </row>
    <row r="38" spans="2:15" ht="17.25" x14ac:dyDescent="0.25">
      <c r="B38" t="s">
        <v>36</v>
      </c>
      <c r="C38">
        <v>94</v>
      </c>
      <c r="D38">
        <v>124.64234972832</v>
      </c>
      <c r="E38" s="5"/>
      <c r="F38" s="5"/>
    </row>
    <row r="39" spans="2:15" ht="17.25" x14ac:dyDescent="0.25">
      <c r="B39" t="s">
        <v>36</v>
      </c>
      <c r="C39">
        <v>194</v>
      </c>
      <c r="D39">
        <v>117.599911390522</v>
      </c>
      <c r="E39" s="5"/>
      <c r="F39" s="5"/>
    </row>
    <row r="40" spans="2:15" ht="17.25" x14ac:dyDescent="0.25">
      <c r="B40" t="s">
        <v>36</v>
      </c>
      <c r="C40">
        <v>151</v>
      </c>
      <c r="D40">
        <v>127.358381821636</v>
      </c>
      <c r="E40" s="5"/>
      <c r="F40" s="5"/>
    </row>
    <row r="41" spans="2:15" ht="17.25" x14ac:dyDescent="0.25">
      <c r="B41" t="s">
        <v>36</v>
      </c>
      <c r="C41">
        <v>96</v>
      </c>
      <c r="D41">
        <v>119.962919164222</v>
      </c>
      <c r="E41" s="5"/>
      <c r="F41" s="5"/>
    </row>
    <row r="42" spans="2:15" ht="17.25" x14ac:dyDescent="0.25">
      <c r="B42" t="s">
        <v>36</v>
      </c>
      <c r="C42">
        <v>132</v>
      </c>
      <c r="D42">
        <v>165.40704396317301</v>
      </c>
      <c r="E42" s="5"/>
      <c r="F42" s="5"/>
    </row>
    <row r="43" spans="2:15" ht="17.25" x14ac:dyDescent="0.25">
      <c r="B43" t="s">
        <v>36</v>
      </c>
      <c r="C43">
        <v>115</v>
      </c>
      <c r="D43">
        <v>143.43380231383799</v>
      </c>
      <c r="E43" s="5"/>
      <c r="F43" s="5"/>
    </row>
    <row r="44" spans="2:15" ht="17.25" x14ac:dyDescent="0.25">
      <c r="B44" t="s">
        <v>36</v>
      </c>
      <c r="C44">
        <v>90</v>
      </c>
      <c r="D44">
        <v>138.46747558337</v>
      </c>
      <c r="E44" s="5"/>
      <c r="F44" s="5"/>
    </row>
    <row r="45" spans="2:15" ht="17.25" x14ac:dyDescent="0.25">
      <c r="B45" t="s">
        <v>36</v>
      </c>
      <c r="C45">
        <v>199</v>
      </c>
      <c r="D45">
        <v>154.92464929560199</v>
      </c>
      <c r="E45" s="5"/>
      <c r="F45" s="5"/>
    </row>
    <row r="46" spans="2:15" ht="17.25" x14ac:dyDescent="0.25">
      <c r="B46" t="s">
        <v>36</v>
      </c>
      <c r="C46">
        <v>197</v>
      </c>
      <c r="D46">
        <v>146.547930615464</v>
      </c>
      <c r="E46" s="5"/>
      <c r="F46" s="5"/>
    </row>
    <row r="47" spans="2:15" ht="17.25" x14ac:dyDescent="0.25">
      <c r="B47" t="s">
        <v>43</v>
      </c>
      <c r="C47">
        <v>92</v>
      </c>
      <c r="D47">
        <v>124.099923799298</v>
      </c>
      <c r="E47"/>
      <c r="F47" s="5"/>
    </row>
    <row r="48" spans="2:15" ht="17.25" x14ac:dyDescent="0.25">
      <c r="B48" t="s">
        <v>43</v>
      </c>
      <c r="C48">
        <v>94</v>
      </c>
      <c r="D48">
        <v>130.203315915275</v>
      </c>
      <c r="E48"/>
      <c r="F48" s="5"/>
    </row>
    <row r="49" spans="2:7" ht="17.25" x14ac:dyDescent="0.25">
      <c r="B49" t="s">
        <v>43</v>
      </c>
      <c r="C49">
        <v>101</v>
      </c>
      <c r="D49">
        <v>107.405560694573</v>
      </c>
      <c r="E49"/>
      <c r="F49" s="5"/>
    </row>
    <row r="50" spans="2:7" ht="17.25" x14ac:dyDescent="0.25">
      <c r="B50" t="s">
        <v>43</v>
      </c>
      <c r="C50">
        <v>96</v>
      </c>
      <c r="D50">
        <v>119.739462147485</v>
      </c>
      <c r="E50"/>
      <c r="F50" s="5"/>
    </row>
    <row r="51" spans="2:7" ht="17.25" x14ac:dyDescent="0.25">
      <c r="B51" t="s">
        <v>43</v>
      </c>
      <c r="C51">
        <v>101</v>
      </c>
      <c r="D51">
        <v>111.404403732833</v>
      </c>
      <c r="E51"/>
      <c r="F51" s="5"/>
    </row>
    <row r="52" spans="2:7" ht="17.25" x14ac:dyDescent="0.25">
      <c r="B52" t="s">
        <v>43</v>
      </c>
      <c r="C52">
        <v>92</v>
      </c>
      <c r="D52">
        <v>97.424784047413894</v>
      </c>
      <c r="E52"/>
      <c r="F52" s="5"/>
    </row>
    <row r="53" spans="2:7" ht="17.25" x14ac:dyDescent="0.25">
      <c r="B53" t="s">
        <v>43</v>
      </c>
      <c r="C53">
        <v>104</v>
      </c>
      <c r="D53">
        <v>93.115449386481203</v>
      </c>
      <c r="E53"/>
      <c r="F53" s="5"/>
    </row>
    <row r="54" spans="2:7" ht="17.25" x14ac:dyDescent="0.25">
      <c r="B54" t="s">
        <v>43</v>
      </c>
      <c r="C54">
        <v>94</v>
      </c>
      <c r="D54">
        <v>91.466618497954599</v>
      </c>
      <c r="E54"/>
      <c r="F54" s="5"/>
    </row>
    <row r="55" spans="2:7" ht="17.25" x14ac:dyDescent="0.25">
      <c r="B55" t="s">
        <v>43</v>
      </c>
      <c r="C55">
        <v>145</v>
      </c>
      <c r="D55">
        <v>101.53302820316</v>
      </c>
      <c r="E55"/>
      <c r="F55" s="5"/>
    </row>
    <row r="56" spans="2:7" ht="17.25" x14ac:dyDescent="0.25">
      <c r="B56" t="s">
        <v>43</v>
      </c>
      <c r="C56">
        <v>139</v>
      </c>
      <c r="D56">
        <v>105.220247929642</v>
      </c>
      <c r="E56"/>
      <c r="F56" s="5"/>
    </row>
    <row r="57" spans="2:7" ht="17.25" x14ac:dyDescent="0.25">
      <c r="B57" t="s">
        <v>43</v>
      </c>
      <c r="C57">
        <v>115</v>
      </c>
      <c r="D57">
        <v>94.994614712120296</v>
      </c>
      <c r="E57"/>
      <c r="F57" s="5"/>
    </row>
    <row r="58" spans="2:7" ht="17.25" x14ac:dyDescent="0.25">
      <c r="B58" t="s">
        <v>44</v>
      </c>
      <c r="C58">
        <v>90</v>
      </c>
      <c r="D58">
        <v>107.23730281768501</v>
      </c>
      <c r="E58" s="5"/>
      <c r="F58"/>
    </row>
    <row r="59" spans="2:7" ht="17.25" x14ac:dyDescent="0.25">
      <c r="B59" t="s">
        <v>44</v>
      </c>
      <c r="C59">
        <v>137.5</v>
      </c>
      <c r="D59">
        <v>120.084223181441</v>
      </c>
      <c r="E59" s="5"/>
      <c r="F59"/>
    </row>
    <row r="60" spans="2:7" ht="17.25" x14ac:dyDescent="0.25">
      <c r="B60" t="s">
        <v>44</v>
      </c>
      <c r="C60">
        <v>106.5</v>
      </c>
      <c r="D60">
        <v>105.44859482955999</v>
      </c>
      <c r="E60" s="5"/>
      <c r="F60"/>
    </row>
    <row r="61" spans="2:7" ht="17.25" x14ac:dyDescent="0.25">
      <c r="B61" t="s">
        <v>44</v>
      </c>
      <c r="C61">
        <v>101</v>
      </c>
      <c r="D61">
        <v>106.03276094064201</v>
      </c>
      <c r="E61" s="5"/>
      <c r="F61"/>
    </row>
    <row r="62" spans="2:7" ht="17.25" x14ac:dyDescent="0.25">
      <c r="B62" t="s">
        <v>45</v>
      </c>
      <c r="C62">
        <v>212</v>
      </c>
      <c r="D62">
        <v>221.183398339836</v>
      </c>
      <c r="E62" s="5"/>
      <c r="F62" s="5"/>
      <c r="G62"/>
    </row>
    <row r="63" spans="2:7" ht="17.25" x14ac:dyDescent="0.25">
      <c r="B63" t="s">
        <v>45</v>
      </c>
      <c r="C63">
        <v>258</v>
      </c>
      <c r="D63">
        <v>241.403176207554</v>
      </c>
      <c r="E63" s="5"/>
      <c r="F63" s="5"/>
      <c r="G63"/>
    </row>
    <row r="64" spans="2:7" ht="17.25" x14ac:dyDescent="0.25">
      <c r="B64" t="s">
        <v>45</v>
      </c>
      <c r="C64">
        <v>257.5</v>
      </c>
      <c r="D64">
        <v>263.13207797901401</v>
      </c>
      <c r="E64" s="5"/>
      <c r="F64" s="5"/>
      <c r="G64"/>
    </row>
    <row r="65" spans="2:9" ht="17.25" x14ac:dyDescent="0.25">
      <c r="B65" t="s">
        <v>45</v>
      </c>
      <c r="C65">
        <v>204.5</v>
      </c>
      <c r="D65">
        <v>283.42194384939199</v>
      </c>
      <c r="E65" s="5"/>
      <c r="F65" s="5"/>
      <c r="G65"/>
    </row>
    <row r="66" spans="2:9" ht="17.25" x14ac:dyDescent="0.25">
      <c r="B66" t="s">
        <v>45</v>
      </c>
      <c r="C66">
        <v>383</v>
      </c>
      <c r="D66">
        <v>403.19504775977703</v>
      </c>
      <c r="E66" s="5"/>
      <c r="F66" s="5"/>
      <c r="G66"/>
    </row>
    <row r="67" spans="2:9" ht="17.25" x14ac:dyDescent="0.25">
      <c r="B67" t="s">
        <v>46</v>
      </c>
      <c r="C67">
        <v>96.5</v>
      </c>
      <c r="D67">
        <v>133.33402616920799</v>
      </c>
      <c r="E67" s="5"/>
      <c r="F67" s="5"/>
      <c r="H67"/>
    </row>
    <row r="68" spans="2:9" ht="17.25" x14ac:dyDescent="0.25">
      <c r="B68" t="s">
        <v>46</v>
      </c>
      <c r="C68">
        <v>153.5</v>
      </c>
      <c r="D68">
        <v>143.12720304778301</v>
      </c>
      <c r="E68" s="5"/>
      <c r="F68" s="5"/>
      <c r="H68"/>
    </row>
    <row r="69" spans="2:9" ht="17.25" x14ac:dyDescent="0.25">
      <c r="B69" t="s">
        <v>46</v>
      </c>
      <c r="C69">
        <v>130.5</v>
      </c>
      <c r="D69">
        <v>137.29649320261899</v>
      </c>
      <c r="E69" s="5"/>
      <c r="F69" s="5"/>
      <c r="H69"/>
    </row>
    <row r="70" spans="2:9" ht="17.25" x14ac:dyDescent="0.25">
      <c r="B70" t="s">
        <v>46</v>
      </c>
      <c r="C70">
        <v>136</v>
      </c>
      <c r="D70">
        <v>145.20031559353501</v>
      </c>
      <c r="E70" s="5"/>
      <c r="F70" s="5"/>
      <c r="H70"/>
    </row>
    <row r="71" spans="2:9" ht="17.25" x14ac:dyDescent="0.25">
      <c r="B71" t="s">
        <v>46</v>
      </c>
      <c r="C71">
        <v>111</v>
      </c>
      <c r="D71">
        <v>140.73257872179099</v>
      </c>
      <c r="E71" s="5"/>
      <c r="F71" s="5"/>
      <c r="H71"/>
    </row>
    <row r="72" spans="2:9" ht="17.25" x14ac:dyDescent="0.25">
      <c r="B72" t="s">
        <v>46</v>
      </c>
      <c r="C72">
        <v>156.5</v>
      </c>
      <c r="D72">
        <v>143.177515504881</v>
      </c>
      <c r="E72" s="5"/>
      <c r="F72" s="5"/>
      <c r="H72"/>
    </row>
    <row r="73" spans="2:9" ht="17.25" x14ac:dyDescent="0.25">
      <c r="B73" t="s">
        <v>46</v>
      </c>
      <c r="C73">
        <v>109</v>
      </c>
      <c r="D73">
        <v>145.96707772548501</v>
      </c>
      <c r="E73" s="5"/>
      <c r="F73" s="5"/>
      <c r="H73"/>
    </row>
    <row r="74" spans="2:9" ht="17.25" x14ac:dyDescent="0.25">
      <c r="B74" t="s">
        <v>46</v>
      </c>
      <c r="C74">
        <v>112</v>
      </c>
      <c r="D74">
        <v>135.22155174626999</v>
      </c>
      <c r="E74" s="5"/>
      <c r="F74" s="5"/>
      <c r="H74"/>
    </row>
    <row r="75" spans="2:9" ht="17.25" x14ac:dyDescent="0.25">
      <c r="B75" t="s">
        <v>46</v>
      </c>
      <c r="C75">
        <v>93</v>
      </c>
      <c r="D75">
        <v>140.43970730529901</v>
      </c>
      <c r="E75" s="5"/>
      <c r="F75" s="5"/>
      <c r="H75"/>
    </row>
    <row r="76" spans="2:9" ht="17.25" x14ac:dyDescent="0.25">
      <c r="B76" t="s">
        <v>46</v>
      </c>
      <c r="C76">
        <v>163.5</v>
      </c>
      <c r="D76">
        <v>139.98904522768899</v>
      </c>
      <c r="E76" s="5"/>
      <c r="F76" s="5"/>
      <c r="H76"/>
    </row>
    <row r="77" spans="2:9" ht="17.25" x14ac:dyDescent="0.25">
      <c r="B77" t="s">
        <v>46</v>
      </c>
      <c r="C77">
        <v>136</v>
      </c>
      <c r="D77">
        <v>140.55150405132801</v>
      </c>
      <c r="E77" s="5"/>
      <c r="F77" s="5"/>
      <c r="H77"/>
    </row>
    <row r="78" spans="2:9" ht="17.25" x14ac:dyDescent="0.25">
      <c r="B78" t="s">
        <v>46</v>
      </c>
      <c r="C78">
        <v>120</v>
      </c>
      <c r="D78">
        <v>136.87783714800901</v>
      </c>
      <c r="E78" s="5"/>
      <c r="F78" s="5"/>
      <c r="H78"/>
    </row>
    <row r="79" spans="2:9" ht="17.25" x14ac:dyDescent="0.25">
      <c r="B79" t="s">
        <v>47</v>
      </c>
      <c r="C79">
        <v>184.5</v>
      </c>
      <c r="D79">
        <v>201.97349254718</v>
      </c>
      <c r="E79" s="5"/>
      <c r="F79" s="5"/>
      <c r="I79"/>
    </row>
    <row r="80" spans="2:9" ht="17.25" x14ac:dyDescent="0.25">
      <c r="B80" t="s">
        <v>47</v>
      </c>
      <c r="C80">
        <v>195</v>
      </c>
      <c r="D80">
        <v>207.72839666281499</v>
      </c>
      <c r="E80" s="5"/>
      <c r="F80" s="5"/>
      <c r="I80"/>
    </row>
    <row r="81" spans="2:11" ht="17.25" x14ac:dyDescent="0.25">
      <c r="B81" t="s">
        <v>47</v>
      </c>
      <c r="C81">
        <v>224</v>
      </c>
      <c r="D81">
        <v>228.59787279428201</v>
      </c>
      <c r="E81" s="5"/>
      <c r="F81" s="5"/>
      <c r="I81"/>
    </row>
    <row r="82" spans="2:11" ht="17.25" x14ac:dyDescent="0.25">
      <c r="B82" t="s">
        <v>47</v>
      </c>
      <c r="C82">
        <v>247</v>
      </c>
      <c r="D82">
        <v>216.293328216963</v>
      </c>
      <c r="E82" s="5"/>
      <c r="F82" s="5"/>
      <c r="I82"/>
    </row>
    <row r="83" spans="2:11" ht="17.25" x14ac:dyDescent="0.25">
      <c r="B83" t="s">
        <v>47</v>
      </c>
      <c r="C83">
        <v>146</v>
      </c>
      <c r="D83">
        <v>198.90370577281701</v>
      </c>
      <c r="E83" s="5"/>
      <c r="F83" s="5"/>
      <c r="I83"/>
    </row>
    <row r="84" spans="2:11" ht="17.25" x14ac:dyDescent="0.25">
      <c r="B84" t="s">
        <v>47</v>
      </c>
      <c r="C84">
        <v>183</v>
      </c>
      <c r="D84">
        <v>209.580501940034</v>
      </c>
      <c r="E84" s="5"/>
      <c r="F84" s="5"/>
      <c r="I84"/>
    </row>
    <row r="85" spans="2:11" ht="17.25" x14ac:dyDescent="0.25">
      <c r="B85" t="s">
        <v>47</v>
      </c>
      <c r="C85">
        <v>159</v>
      </c>
      <c r="D85">
        <v>220.205471279134</v>
      </c>
      <c r="E85" s="5"/>
      <c r="F85" s="5"/>
      <c r="I85"/>
    </row>
    <row r="86" spans="2:11" ht="17.25" x14ac:dyDescent="0.25">
      <c r="B86" t="s">
        <v>48</v>
      </c>
      <c r="C86">
        <v>87</v>
      </c>
      <c r="D86">
        <v>103.586106044625</v>
      </c>
      <c r="E86" s="5"/>
      <c r="F86" s="5"/>
      <c r="J86"/>
    </row>
    <row r="87" spans="2:11" ht="17.25" x14ac:dyDescent="0.25">
      <c r="B87" t="s">
        <v>48</v>
      </c>
      <c r="C87">
        <v>155</v>
      </c>
      <c r="D87">
        <v>152.20443382613999</v>
      </c>
      <c r="E87" s="5"/>
      <c r="F87" s="5"/>
      <c r="J87"/>
    </row>
    <row r="88" spans="2:11" ht="17.25" x14ac:dyDescent="0.25">
      <c r="B88" t="s">
        <v>48</v>
      </c>
      <c r="C88">
        <v>110</v>
      </c>
      <c r="D88">
        <v>133.33763742484101</v>
      </c>
      <c r="E88" s="5"/>
      <c r="F88" s="5"/>
      <c r="J88"/>
    </row>
    <row r="89" spans="2:11" ht="17.25" x14ac:dyDescent="0.25">
      <c r="B89" t="s">
        <v>48</v>
      </c>
      <c r="C89">
        <v>87</v>
      </c>
      <c r="D89">
        <v>142.968152669163</v>
      </c>
      <c r="E89" s="5"/>
      <c r="F89" s="5"/>
      <c r="J89"/>
    </row>
    <row r="90" spans="2:11" ht="17.25" x14ac:dyDescent="0.25">
      <c r="B90" t="s">
        <v>48</v>
      </c>
      <c r="C90">
        <v>110</v>
      </c>
      <c r="D90">
        <v>134.37878710603599</v>
      </c>
      <c r="E90" s="5"/>
      <c r="F90" s="5"/>
      <c r="J90"/>
    </row>
    <row r="91" spans="2:11" ht="17.25" x14ac:dyDescent="0.25">
      <c r="B91" t="s">
        <v>48</v>
      </c>
      <c r="C91">
        <v>104</v>
      </c>
      <c r="D91">
        <v>128.374639704928</v>
      </c>
      <c r="E91" s="5"/>
      <c r="F91" s="5"/>
      <c r="J91"/>
    </row>
    <row r="92" spans="2:11" ht="17.25" x14ac:dyDescent="0.25">
      <c r="B92" t="s">
        <v>48</v>
      </c>
      <c r="C92">
        <v>155</v>
      </c>
      <c r="D92">
        <v>154.75634547802099</v>
      </c>
      <c r="E92" s="5"/>
      <c r="F92" s="5"/>
      <c r="J92"/>
    </row>
    <row r="93" spans="2:11" ht="17.25" x14ac:dyDescent="0.25">
      <c r="B93" t="s">
        <v>48</v>
      </c>
      <c r="C93">
        <v>87</v>
      </c>
      <c r="D93">
        <v>124.99336967913</v>
      </c>
      <c r="E93" s="5"/>
      <c r="F93" s="5"/>
      <c r="J93"/>
    </row>
    <row r="94" spans="2:11" ht="17.25" x14ac:dyDescent="0.25">
      <c r="B94" t="s">
        <v>49</v>
      </c>
      <c r="C94">
        <v>113</v>
      </c>
      <c r="D94">
        <v>165.44121440238601</v>
      </c>
      <c r="E94" s="5"/>
      <c r="F94" s="5"/>
      <c r="K94"/>
    </row>
    <row r="95" spans="2:11" ht="17.25" x14ac:dyDescent="0.25">
      <c r="B95" t="s">
        <v>49</v>
      </c>
      <c r="C95">
        <v>120</v>
      </c>
      <c r="D95">
        <v>125.704524268846</v>
      </c>
      <c r="E95" s="5"/>
      <c r="F95" s="5"/>
      <c r="K95"/>
    </row>
    <row r="96" spans="2:11" ht="17.25" x14ac:dyDescent="0.25">
      <c r="B96" t="s">
        <v>49</v>
      </c>
      <c r="C96">
        <v>96</v>
      </c>
      <c r="D96">
        <v>105.196435561754</v>
      </c>
      <c r="E96" s="5"/>
      <c r="F96" s="5"/>
      <c r="K96"/>
    </row>
    <row r="97" spans="2:11" ht="17.25" x14ac:dyDescent="0.25">
      <c r="B97" t="s">
        <v>49</v>
      </c>
      <c r="C97">
        <v>84</v>
      </c>
      <c r="D97">
        <v>90.412959122185597</v>
      </c>
      <c r="E97" s="5"/>
      <c r="F97" s="5"/>
      <c r="K97"/>
    </row>
    <row r="98" spans="2:11" ht="17.25" x14ac:dyDescent="0.25">
      <c r="B98" t="s">
        <v>49</v>
      </c>
      <c r="C98">
        <v>107</v>
      </c>
      <c r="D98">
        <v>143.14681892338899</v>
      </c>
      <c r="E98" s="5"/>
      <c r="F98" s="5"/>
      <c r="K98"/>
    </row>
    <row r="99" spans="2:11" ht="17.25" x14ac:dyDescent="0.25">
      <c r="B99" t="s">
        <v>49</v>
      </c>
      <c r="C99">
        <v>105</v>
      </c>
      <c r="D99">
        <v>138.08835514440801</v>
      </c>
      <c r="E99" s="5"/>
      <c r="F99" s="5"/>
      <c r="K99"/>
    </row>
    <row r="100" spans="2:11" ht="17.25" x14ac:dyDescent="0.25">
      <c r="B100" t="s">
        <v>49</v>
      </c>
      <c r="C100">
        <v>120</v>
      </c>
      <c r="D100">
        <v>144.90606697936099</v>
      </c>
      <c r="E100" s="5"/>
      <c r="F100" s="5"/>
      <c r="K100"/>
    </row>
    <row r="101" spans="2:11" ht="17.25" x14ac:dyDescent="0.25">
      <c r="B101" t="s">
        <v>49</v>
      </c>
      <c r="C101">
        <v>84</v>
      </c>
      <c r="D101">
        <v>108.03758242270401</v>
      </c>
      <c r="E101" s="5"/>
      <c r="F101" s="5"/>
      <c r="K101"/>
    </row>
    <row r="102" spans="2:11" ht="17.25" x14ac:dyDescent="0.25">
      <c r="B102" t="s">
        <v>49</v>
      </c>
      <c r="C102">
        <v>82</v>
      </c>
      <c r="D102">
        <v>101.22477727995</v>
      </c>
      <c r="E102" s="5"/>
      <c r="F102" s="5"/>
      <c r="K102"/>
    </row>
    <row r="103" spans="2:11" ht="17.25" x14ac:dyDescent="0.25">
      <c r="B103" t="s">
        <v>49</v>
      </c>
      <c r="C103">
        <v>150</v>
      </c>
      <c r="D103">
        <v>108.973494764365</v>
      </c>
      <c r="E103" s="5"/>
      <c r="F103" s="5"/>
      <c r="K103"/>
    </row>
    <row r="104" spans="2:11" ht="17.25" x14ac:dyDescent="0.25">
      <c r="B104" t="s">
        <v>49</v>
      </c>
      <c r="C104">
        <v>126</v>
      </c>
      <c r="D104">
        <v>114.449412575105</v>
      </c>
      <c r="E104" s="5"/>
      <c r="F104" s="5"/>
      <c r="K104"/>
    </row>
    <row r="105" spans="2:11" ht="17.25" x14ac:dyDescent="0.25">
      <c r="B105" t="s">
        <v>49</v>
      </c>
      <c r="C105">
        <v>94</v>
      </c>
      <c r="D105">
        <v>113.716873886144</v>
      </c>
      <c r="E105" s="5"/>
      <c r="F105" s="5"/>
      <c r="K105"/>
    </row>
    <row r="106" spans="2:11" ht="17.25" x14ac:dyDescent="0.25">
      <c r="B106" t="s">
        <v>49</v>
      </c>
      <c r="C106">
        <v>86</v>
      </c>
      <c r="D106">
        <v>109.850053614285</v>
      </c>
      <c r="E106" s="5"/>
      <c r="F106" s="5"/>
      <c r="K106"/>
    </row>
    <row r="107" spans="2:11" ht="17.25" x14ac:dyDescent="0.25">
      <c r="B107" t="s">
        <v>49</v>
      </c>
      <c r="C107">
        <v>137</v>
      </c>
      <c r="D107">
        <v>124.705103235726</v>
      </c>
      <c r="E107" s="5"/>
      <c r="F107" s="5"/>
      <c r="K107"/>
    </row>
    <row r="108" spans="2:11" ht="17.25" x14ac:dyDescent="0.25">
      <c r="B108" t="s">
        <v>49</v>
      </c>
      <c r="C108">
        <v>108</v>
      </c>
      <c r="D108">
        <v>107.996766441807</v>
      </c>
      <c r="E108" s="5"/>
      <c r="F108" s="5"/>
      <c r="K108"/>
    </row>
    <row r="109" spans="2:11" ht="17.25" x14ac:dyDescent="0.25">
      <c r="B109" t="s">
        <v>49</v>
      </c>
      <c r="C109">
        <v>104</v>
      </c>
      <c r="D109">
        <v>127.129858371746</v>
      </c>
      <c r="E109" s="5"/>
      <c r="F109" s="5"/>
      <c r="K109"/>
    </row>
    <row r="110" spans="2:11" ht="17.25" x14ac:dyDescent="0.25">
      <c r="B110" t="s">
        <v>49</v>
      </c>
      <c r="C110">
        <v>82</v>
      </c>
      <c r="D110">
        <v>112.01658471857699</v>
      </c>
      <c r="E110" s="5"/>
      <c r="F110" s="5"/>
      <c r="K110"/>
    </row>
    <row r="111" spans="2:11" ht="17.25" x14ac:dyDescent="0.25">
      <c r="B111" t="s">
        <v>49</v>
      </c>
      <c r="C111">
        <v>150</v>
      </c>
      <c r="D111">
        <v>125.707062450221</v>
      </c>
      <c r="E111" s="5"/>
      <c r="F111" s="5"/>
      <c r="K111"/>
    </row>
    <row r="112" spans="2:11" ht="17.25" x14ac:dyDescent="0.25">
      <c r="B112" t="s">
        <v>49</v>
      </c>
      <c r="C112">
        <v>126</v>
      </c>
      <c r="D112">
        <v>162.83450892185701</v>
      </c>
      <c r="E112" s="5"/>
      <c r="F112" s="5"/>
      <c r="K112"/>
    </row>
    <row r="113" spans="2:12" ht="17.25" x14ac:dyDescent="0.25">
      <c r="B113" t="s">
        <v>49</v>
      </c>
      <c r="C113">
        <v>94</v>
      </c>
      <c r="D113">
        <v>123.606237505636</v>
      </c>
      <c r="E113" s="5"/>
      <c r="F113" s="5"/>
      <c r="K113"/>
    </row>
    <row r="114" spans="2:12" ht="17.25" x14ac:dyDescent="0.25">
      <c r="B114" t="s">
        <v>49</v>
      </c>
      <c r="C114">
        <v>86</v>
      </c>
      <c r="D114">
        <v>117.82954857425</v>
      </c>
      <c r="E114" s="5"/>
      <c r="F114" s="5"/>
      <c r="K114"/>
    </row>
    <row r="115" spans="2:12" ht="17.25" x14ac:dyDescent="0.25">
      <c r="B115" t="s">
        <v>49</v>
      </c>
      <c r="C115">
        <v>137</v>
      </c>
      <c r="D115">
        <v>133.79347516137099</v>
      </c>
      <c r="E115" s="5"/>
      <c r="F115" s="5"/>
      <c r="K115"/>
    </row>
    <row r="116" spans="2:12" ht="17.25" x14ac:dyDescent="0.25">
      <c r="B116" t="s">
        <v>49</v>
      </c>
      <c r="C116">
        <v>108</v>
      </c>
      <c r="D116">
        <v>128.658507055158</v>
      </c>
      <c r="E116" s="5"/>
      <c r="F116" s="5"/>
      <c r="K116"/>
    </row>
    <row r="117" spans="2:12" ht="17.25" x14ac:dyDescent="0.25">
      <c r="B117" t="s">
        <v>49</v>
      </c>
      <c r="C117">
        <v>104</v>
      </c>
      <c r="D117">
        <v>130.94728459755601</v>
      </c>
      <c r="E117" s="5"/>
      <c r="F117" s="5"/>
      <c r="K117"/>
    </row>
    <row r="118" spans="2:12" ht="17.25" x14ac:dyDescent="0.25">
      <c r="B118" t="s">
        <v>49</v>
      </c>
      <c r="C118">
        <v>80</v>
      </c>
      <c r="D118">
        <v>101.484113063745</v>
      </c>
      <c r="E118" s="5"/>
      <c r="F118" s="5"/>
      <c r="K118"/>
    </row>
    <row r="119" spans="2:12" ht="17.25" x14ac:dyDescent="0.25">
      <c r="B119" t="s">
        <v>49</v>
      </c>
      <c r="C119">
        <v>150</v>
      </c>
      <c r="D119">
        <v>108.99450927871401</v>
      </c>
      <c r="E119" s="5"/>
      <c r="F119" s="5"/>
      <c r="K119"/>
    </row>
    <row r="120" spans="2:12" ht="17.25" x14ac:dyDescent="0.25">
      <c r="B120" t="s">
        <v>49</v>
      </c>
      <c r="C120">
        <v>110</v>
      </c>
      <c r="D120">
        <v>138.19128353598501</v>
      </c>
      <c r="E120" s="5"/>
      <c r="F120" s="5"/>
      <c r="K120"/>
    </row>
    <row r="121" spans="2:12" ht="17.25" x14ac:dyDescent="0.25">
      <c r="B121" t="s">
        <v>49</v>
      </c>
      <c r="C121">
        <v>92</v>
      </c>
      <c r="D121">
        <v>133.36142136182801</v>
      </c>
      <c r="E121" s="5"/>
      <c r="F121" s="5"/>
      <c r="K121"/>
    </row>
    <row r="122" spans="2:12" ht="17.25" x14ac:dyDescent="0.25">
      <c r="B122" t="s">
        <v>49</v>
      </c>
      <c r="C122">
        <v>84</v>
      </c>
      <c r="D122">
        <v>106.098883932155</v>
      </c>
      <c r="E122" s="5"/>
      <c r="F122" s="5"/>
      <c r="K122"/>
    </row>
    <row r="123" spans="2:12" ht="17.25" x14ac:dyDescent="0.25">
      <c r="B123" t="s">
        <v>49</v>
      </c>
      <c r="C123">
        <v>145</v>
      </c>
      <c r="D123">
        <v>148.076077727757</v>
      </c>
      <c r="E123" s="5"/>
      <c r="F123" s="5"/>
      <c r="K123"/>
    </row>
    <row r="124" spans="2:12" ht="17.25" x14ac:dyDescent="0.25">
      <c r="B124" t="s">
        <v>49</v>
      </c>
      <c r="C124">
        <v>123</v>
      </c>
      <c r="D124">
        <v>142.10236738610999</v>
      </c>
      <c r="E124" s="5"/>
      <c r="F124" s="5"/>
      <c r="K124"/>
    </row>
    <row r="125" spans="2:12" ht="17.25" x14ac:dyDescent="0.25">
      <c r="B125" t="s">
        <v>49</v>
      </c>
      <c r="C125">
        <v>100</v>
      </c>
      <c r="D125">
        <v>126.64858757060701</v>
      </c>
      <c r="E125" s="5"/>
      <c r="F125" s="5"/>
      <c r="K125"/>
    </row>
    <row r="126" spans="2:12" ht="17.25" x14ac:dyDescent="0.25">
      <c r="B126" t="s">
        <v>50</v>
      </c>
      <c r="C126">
        <v>87</v>
      </c>
      <c r="D126">
        <v>93.404305594797407</v>
      </c>
      <c r="E126" s="5"/>
      <c r="F126" s="5"/>
      <c r="L126"/>
    </row>
    <row r="127" spans="2:12" x14ac:dyDescent="0.25">
      <c r="B127" t="s">
        <v>50</v>
      </c>
      <c r="C127">
        <v>86</v>
      </c>
      <c r="D127">
        <v>95.647883841490895</v>
      </c>
      <c r="L127"/>
    </row>
    <row r="128" spans="2:12" x14ac:dyDescent="0.25">
      <c r="B128" t="s">
        <v>50</v>
      </c>
      <c r="C128">
        <v>126</v>
      </c>
      <c r="D128">
        <v>102.866953253053</v>
      </c>
      <c r="L128"/>
    </row>
    <row r="129" spans="2:14" x14ac:dyDescent="0.25">
      <c r="B129" t="s">
        <v>50</v>
      </c>
      <c r="C129">
        <v>110</v>
      </c>
      <c r="D129">
        <v>114.26964526109199</v>
      </c>
      <c r="L129"/>
    </row>
    <row r="130" spans="2:14" x14ac:dyDescent="0.25">
      <c r="B130" t="s">
        <v>50</v>
      </c>
      <c r="C130">
        <v>95</v>
      </c>
      <c r="D130">
        <v>94.951067937374106</v>
      </c>
      <c r="L130"/>
    </row>
    <row r="131" spans="2:14" x14ac:dyDescent="0.25">
      <c r="B131" t="s">
        <v>50</v>
      </c>
      <c r="C131">
        <v>88</v>
      </c>
      <c r="D131">
        <v>105.117659031811</v>
      </c>
      <c r="L131"/>
    </row>
    <row r="132" spans="2:14" x14ac:dyDescent="0.25">
      <c r="B132" t="s">
        <v>50</v>
      </c>
      <c r="C132">
        <v>149</v>
      </c>
      <c r="D132">
        <v>147.808964779712</v>
      </c>
      <c r="L132"/>
    </row>
    <row r="133" spans="2:14" x14ac:dyDescent="0.25">
      <c r="B133" t="s">
        <v>50</v>
      </c>
      <c r="C133">
        <v>143</v>
      </c>
      <c r="D133">
        <v>135.51990161139599</v>
      </c>
      <c r="L133"/>
    </row>
    <row r="134" spans="2:14" x14ac:dyDescent="0.25">
      <c r="B134" t="s">
        <v>51</v>
      </c>
      <c r="C134">
        <v>133</v>
      </c>
      <c r="D134">
        <v>101.622699481876</v>
      </c>
      <c r="M134"/>
    </row>
    <row r="135" spans="2:14" x14ac:dyDescent="0.25">
      <c r="B135" t="s">
        <v>51</v>
      </c>
      <c r="C135">
        <v>88</v>
      </c>
      <c r="D135">
        <v>92.208949842284895</v>
      </c>
      <c r="M135"/>
    </row>
    <row r="136" spans="2:14" x14ac:dyDescent="0.25">
      <c r="B136" t="s">
        <v>51</v>
      </c>
      <c r="C136">
        <v>83</v>
      </c>
      <c r="D136">
        <v>102.058487017491</v>
      </c>
      <c r="M136"/>
    </row>
    <row r="137" spans="2:14" x14ac:dyDescent="0.25">
      <c r="B137" t="s">
        <v>51</v>
      </c>
      <c r="C137">
        <v>143</v>
      </c>
      <c r="D137">
        <v>125.39551615486199</v>
      </c>
      <c r="M137"/>
    </row>
    <row r="138" spans="2:14" x14ac:dyDescent="0.25">
      <c r="B138" t="s">
        <v>51</v>
      </c>
      <c r="C138">
        <v>114</v>
      </c>
      <c r="D138">
        <v>176.23503868531699</v>
      </c>
      <c r="M138"/>
    </row>
    <row r="139" spans="2:14" x14ac:dyDescent="0.25">
      <c r="B139" t="s">
        <v>51</v>
      </c>
      <c r="C139">
        <v>108</v>
      </c>
      <c r="D139">
        <v>117.94456086955999</v>
      </c>
      <c r="M139"/>
    </row>
    <row r="140" spans="2:14" x14ac:dyDescent="0.25">
      <c r="B140" t="s">
        <v>51</v>
      </c>
      <c r="C140">
        <v>79</v>
      </c>
      <c r="D140">
        <v>152.16825897013101</v>
      </c>
      <c r="M140"/>
    </row>
    <row r="141" spans="2:14" x14ac:dyDescent="0.25">
      <c r="B141" t="s">
        <v>51</v>
      </c>
      <c r="C141">
        <v>135</v>
      </c>
      <c r="D141">
        <v>156.04221996050299</v>
      </c>
      <c r="M141"/>
    </row>
    <row r="142" spans="2:14" x14ac:dyDescent="0.25">
      <c r="B142" t="s">
        <v>52</v>
      </c>
      <c r="C142">
        <v>119</v>
      </c>
      <c r="D142">
        <v>166.268302075798</v>
      </c>
      <c r="N142"/>
    </row>
    <row r="143" spans="2:14" x14ac:dyDescent="0.25">
      <c r="B143" t="s">
        <v>52</v>
      </c>
      <c r="C143">
        <v>107</v>
      </c>
      <c r="D143">
        <v>118.974571760435</v>
      </c>
      <c r="N143"/>
    </row>
    <row r="144" spans="2:14" x14ac:dyDescent="0.25">
      <c r="B144" t="s">
        <v>52</v>
      </c>
      <c r="C144">
        <v>99</v>
      </c>
      <c r="D144">
        <v>109.574255623426</v>
      </c>
      <c r="N144"/>
    </row>
    <row r="145" spans="2:14" x14ac:dyDescent="0.25">
      <c r="B145" t="s">
        <v>52</v>
      </c>
      <c r="C145">
        <v>140</v>
      </c>
      <c r="D145">
        <v>130.44551677481201</v>
      </c>
      <c r="N145"/>
    </row>
    <row r="146" spans="2:14" x14ac:dyDescent="0.25">
      <c r="B146" t="s">
        <v>52</v>
      </c>
      <c r="C146">
        <v>135</v>
      </c>
      <c r="D146">
        <v>143.40216504185901</v>
      </c>
      <c r="N146"/>
    </row>
    <row r="147" spans="2:14" x14ac:dyDescent="0.25">
      <c r="B147" t="s">
        <v>53</v>
      </c>
      <c r="C147">
        <v>98</v>
      </c>
      <c r="D147">
        <v>128.87018679706401</v>
      </c>
      <c r="N147"/>
    </row>
    <row r="148" spans="2:14" x14ac:dyDescent="0.25">
      <c r="B148" t="s">
        <v>53</v>
      </c>
      <c r="C148">
        <v>93</v>
      </c>
      <c r="D148">
        <v>108.77964402360401</v>
      </c>
      <c r="N148"/>
    </row>
    <row r="149" spans="2:14" x14ac:dyDescent="0.25">
      <c r="B149" t="s">
        <v>53</v>
      </c>
      <c r="C149">
        <v>151</v>
      </c>
      <c r="D149">
        <v>141.67335952980901</v>
      </c>
      <c r="N149"/>
    </row>
    <row r="150" spans="2:14" x14ac:dyDescent="0.25">
      <c r="B150" t="s">
        <v>53</v>
      </c>
      <c r="C150">
        <v>164</v>
      </c>
      <c r="D150">
        <v>198.978453635552</v>
      </c>
      <c r="N150"/>
    </row>
    <row r="151" spans="2:14" x14ac:dyDescent="0.25">
      <c r="B151" t="s">
        <v>53</v>
      </c>
      <c r="C151">
        <v>128</v>
      </c>
      <c r="D151">
        <v>108.520266955043</v>
      </c>
      <c r="N151"/>
    </row>
    <row r="152" spans="2:14" x14ac:dyDescent="0.25">
      <c r="C152">
        <v>77</v>
      </c>
      <c r="D152">
        <v>123.088569751622</v>
      </c>
    </row>
    <row r="153" spans="2:14" x14ac:dyDescent="0.25">
      <c r="C153">
        <v>133</v>
      </c>
      <c r="D153">
        <v>130.698649651273</v>
      </c>
    </row>
    <row r="154" spans="2:14" x14ac:dyDescent="0.25">
      <c r="C154">
        <v>110</v>
      </c>
      <c r="D154">
        <v>132.376467262011</v>
      </c>
    </row>
    <row r="155" spans="2:14" x14ac:dyDescent="0.25">
      <c r="C155">
        <v>102</v>
      </c>
      <c r="D155">
        <v>150.98262472177501</v>
      </c>
    </row>
    <row r="156" spans="2:14" x14ac:dyDescent="0.25">
      <c r="C156">
        <v>79</v>
      </c>
      <c r="D156">
        <v>125.451983080682</v>
      </c>
    </row>
    <row r="157" spans="2:14" x14ac:dyDescent="0.25">
      <c r="C157">
        <v>155</v>
      </c>
      <c r="D157">
        <v>133.81647499592901</v>
      </c>
    </row>
    <row r="158" spans="2:14" x14ac:dyDescent="0.25">
      <c r="C158">
        <v>159</v>
      </c>
      <c r="D158">
        <v>150.33437346592601</v>
      </c>
    </row>
    <row r="159" spans="2:14" x14ac:dyDescent="0.25">
      <c r="C159">
        <v>114</v>
      </c>
      <c r="D159">
        <v>143.542914992569</v>
      </c>
    </row>
    <row r="160" spans="2:14" x14ac:dyDescent="0.25">
      <c r="C160">
        <v>136</v>
      </c>
      <c r="D160">
        <v>217.13114578768199</v>
      </c>
    </row>
    <row r="161" spans="3:4" x14ac:dyDescent="0.25">
      <c r="C161">
        <v>125</v>
      </c>
      <c r="D161">
        <v>195.10229307460099</v>
      </c>
    </row>
    <row r="162" spans="3:4" x14ac:dyDescent="0.25">
      <c r="C162">
        <v>168</v>
      </c>
      <c r="D162">
        <v>169.96022255513199</v>
      </c>
    </row>
    <row r="163" spans="3:4" x14ac:dyDescent="0.25">
      <c r="C163">
        <v>148</v>
      </c>
      <c r="D163">
        <v>223.55225685330501</v>
      </c>
    </row>
    <row r="164" spans="3:4" x14ac:dyDescent="0.25">
      <c r="C164">
        <v>214</v>
      </c>
      <c r="D164">
        <v>230.09187151160199</v>
      </c>
    </row>
    <row r="165" spans="3:4" x14ac:dyDescent="0.25">
      <c r="C165">
        <v>196</v>
      </c>
      <c r="D165">
        <v>144.81583932873801</v>
      </c>
    </row>
    <row r="166" spans="3:4" x14ac:dyDescent="0.25">
      <c r="C166">
        <v>203</v>
      </c>
      <c r="D166">
        <v>164.624777594779</v>
      </c>
    </row>
    <row r="167" spans="3:4" x14ac:dyDescent="0.25">
      <c r="C167">
        <v>278</v>
      </c>
      <c r="D167">
        <v>208.03840144324201</v>
      </c>
    </row>
    <row r="168" spans="3:4" x14ac:dyDescent="0.25">
      <c r="C168">
        <v>228</v>
      </c>
      <c r="D168">
        <v>150.85067693518101</v>
      </c>
    </row>
    <row r="169" spans="3:4" x14ac:dyDescent="0.25">
      <c r="C169">
        <v>195</v>
      </c>
      <c r="D169">
        <v>137.010451257922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5"/>
  <sheetViews>
    <sheetView topLeftCell="A37" zoomScale="70" zoomScaleNormal="70" workbookViewId="0">
      <selection activeCell="E38" sqref="E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23" x14ac:dyDescent="0.25">
      <c r="C1" s="1" t="s">
        <v>19</v>
      </c>
      <c r="G1" s="1" t="s">
        <v>20</v>
      </c>
    </row>
    <row r="2" spans="3:23" x14ac:dyDescent="0.25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</v>
      </c>
      <c r="M2" s="1" t="s">
        <v>30</v>
      </c>
      <c r="N2" s="1" t="s">
        <v>2</v>
      </c>
      <c r="O2" s="1" t="s">
        <v>0</v>
      </c>
    </row>
    <row r="3" spans="3:23" x14ac:dyDescent="0.25">
      <c r="C3" s="1">
        <f>P3/18</f>
        <v>0</v>
      </c>
      <c r="D3" s="1">
        <f>Q3/18</f>
        <v>0</v>
      </c>
      <c r="G3" s="1">
        <f>T3/18</f>
        <v>2.7777777777777777</v>
      </c>
      <c r="P3" s="1">
        <v>0</v>
      </c>
      <c r="Q3" s="1">
        <v>0</v>
      </c>
      <c r="T3" s="1">
        <v>50</v>
      </c>
    </row>
    <row r="4" spans="3:23" x14ac:dyDescent="0.25">
      <c r="C4" s="1">
        <f t="shared" ref="C4:D34" si="0">P4/18</f>
        <v>1.6666666666666667</v>
      </c>
      <c r="D4" s="1">
        <f t="shared" si="0"/>
        <v>1.6666666666666667</v>
      </c>
      <c r="G4" s="1">
        <f t="shared" ref="G4:G7" si="1">T4/18</f>
        <v>2.7777777777777777</v>
      </c>
      <c r="P4" s="1">
        <v>30</v>
      </c>
      <c r="Q4" s="1">
        <v>30</v>
      </c>
      <c r="T4" s="1">
        <v>50</v>
      </c>
    </row>
    <row r="5" spans="3:23" x14ac:dyDescent="0.25">
      <c r="C5" s="1">
        <f t="shared" si="0"/>
        <v>7.7777777777777777</v>
      </c>
      <c r="D5" s="1">
        <f t="shared" si="0"/>
        <v>7.7777777777777777</v>
      </c>
      <c r="G5" s="1">
        <f t="shared" si="1"/>
        <v>9.4444444444444446</v>
      </c>
      <c r="P5" s="1">
        <v>140</v>
      </c>
      <c r="Q5" s="1">
        <v>140</v>
      </c>
      <c r="T5" s="1">
        <v>170</v>
      </c>
    </row>
    <row r="6" spans="3:23" x14ac:dyDescent="0.25">
      <c r="C6" s="1">
        <f t="shared" si="0"/>
        <v>15.555555555555555</v>
      </c>
      <c r="D6" s="1">
        <f t="shared" si="0"/>
        <v>15.555555555555555</v>
      </c>
      <c r="G6" s="1">
        <f t="shared" si="1"/>
        <v>21.111111111111111</v>
      </c>
      <c r="P6" s="1">
        <v>280</v>
      </c>
      <c r="Q6" s="1">
        <v>280</v>
      </c>
      <c r="T6" s="1">
        <v>380</v>
      </c>
    </row>
    <row r="7" spans="3:23" x14ac:dyDescent="0.25">
      <c r="C7" s="1">
        <f t="shared" si="0"/>
        <v>106.66666666666667</v>
      </c>
      <c r="D7" s="1">
        <f t="shared" si="0"/>
        <v>23.888888888888889</v>
      </c>
      <c r="G7" s="1">
        <f t="shared" si="1"/>
        <v>122.22222222222223</v>
      </c>
      <c r="P7" s="1">
        <v>1920</v>
      </c>
      <c r="Q7" s="1">
        <v>430</v>
      </c>
      <c r="T7" s="1">
        <v>2200</v>
      </c>
    </row>
    <row r="8" spans="3:23" x14ac:dyDescent="0.25">
      <c r="C8" s="1">
        <f t="shared" si="0"/>
        <v>6.666666666666667</v>
      </c>
      <c r="D8" s="1">
        <f t="shared" si="0"/>
        <v>6.666666666666667</v>
      </c>
      <c r="J8" s="1">
        <f>W8/18</f>
        <v>0</v>
      </c>
      <c r="P8" s="1">
        <v>120</v>
      </c>
      <c r="Q8" s="1">
        <v>120</v>
      </c>
      <c r="W8" s="1">
        <v>0</v>
      </c>
    </row>
    <row r="9" spans="3:23" x14ac:dyDescent="0.25">
      <c r="C9" s="1">
        <f t="shared" si="0"/>
        <v>6.666666666666667</v>
      </c>
      <c r="D9" s="1">
        <f t="shared" si="0"/>
        <v>6.666666666666667</v>
      </c>
      <c r="J9" s="1">
        <f t="shared" ref="J9:J11" si="2">W9/18</f>
        <v>1.6666666666666667</v>
      </c>
      <c r="P9" s="1">
        <v>120</v>
      </c>
      <c r="Q9" s="1">
        <v>120</v>
      </c>
      <c r="W9" s="1">
        <v>30</v>
      </c>
    </row>
    <row r="10" spans="3:23" x14ac:dyDescent="0.25">
      <c r="C10" s="1">
        <f t="shared" si="0"/>
        <v>14.444444444444445</v>
      </c>
      <c r="D10" s="1">
        <f t="shared" si="0"/>
        <v>14.444444444444445</v>
      </c>
      <c r="J10" s="1">
        <f t="shared" si="2"/>
        <v>7.2222222222222223</v>
      </c>
      <c r="P10" s="1">
        <v>260</v>
      </c>
      <c r="Q10" s="1">
        <v>260</v>
      </c>
      <c r="W10" s="1">
        <v>130</v>
      </c>
    </row>
    <row r="11" spans="3:23" x14ac:dyDescent="0.25">
      <c r="C11" s="1">
        <f t="shared" si="0"/>
        <v>61.111111111111114</v>
      </c>
      <c r="D11" s="1">
        <f t="shared" si="0"/>
        <v>30.555555555555557</v>
      </c>
      <c r="J11" s="1">
        <f t="shared" si="2"/>
        <v>27.777777777777779</v>
      </c>
      <c r="P11" s="1">
        <v>1100</v>
      </c>
      <c r="Q11" s="1">
        <v>550</v>
      </c>
      <c r="W11" s="1">
        <v>500</v>
      </c>
    </row>
    <row r="12" spans="3:23" x14ac:dyDescent="0.25">
      <c r="C12" s="1">
        <f t="shared" si="0"/>
        <v>2.7777777777777777</v>
      </c>
      <c r="H12" s="1">
        <f>U12/18</f>
        <v>0</v>
      </c>
      <c r="P12" s="1">
        <v>50</v>
      </c>
      <c r="U12" s="1">
        <v>0</v>
      </c>
    </row>
    <row r="13" spans="3:23" x14ac:dyDescent="0.25">
      <c r="C13" s="1">
        <f t="shared" si="0"/>
        <v>2.7777777777777777</v>
      </c>
      <c r="H13" s="1">
        <f t="shared" ref="H13:H16" si="3">U13/18</f>
        <v>1.6666666666666667</v>
      </c>
      <c r="P13" s="1">
        <v>50</v>
      </c>
      <c r="U13" s="1">
        <v>30</v>
      </c>
    </row>
    <row r="14" spans="3:23" x14ac:dyDescent="0.25">
      <c r="C14" s="1">
        <f t="shared" si="0"/>
        <v>9.4444444444444446</v>
      </c>
      <c r="H14" s="1">
        <f t="shared" si="3"/>
        <v>8.0555555555555554</v>
      </c>
      <c r="P14" s="1">
        <v>170</v>
      </c>
      <c r="U14" s="1">
        <v>145</v>
      </c>
    </row>
    <row r="15" spans="3:23" x14ac:dyDescent="0.25">
      <c r="C15" s="1">
        <f t="shared" si="0"/>
        <v>21.388888888888889</v>
      </c>
      <c r="H15" s="1">
        <f t="shared" si="3"/>
        <v>16.666666666666668</v>
      </c>
      <c r="P15" s="1">
        <v>385</v>
      </c>
      <c r="U15" s="1">
        <v>300</v>
      </c>
    </row>
    <row r="16" spans="3:23" x14ac:dyDescent="0.25">
      <c r="C16" s="1">
        <f t="shared" si="0"/>
        <v>61.111111111111114</v>
      </c>
      <c r="H16" s="1">
        <f t="shared" si="3"/>
        <v>50</v>
      </c>
      <c r="P16" s="1">
        <v>1100</v>
      </c>
      <c r="U16" s="1">
        <v>900</v>
      </c>
    </row>
    <row r="17" spans="3:26" x14ac:dyDescent="0.25">
      <c r="C17" s="1">
        <f t="shared" si="0"/>
        <v>0</v>
      </c>
      <c r="I17" s="1">
        <f>V17/18</f>
        <v>3.3333333333333335</v>
      </c>
      <c r="P17" s="1">
        <v>0</v>
      </c>
      <c r="V17" s="1">
        <v>60</v>
      </c>
    </row>
    <row r="18" spans="3:26" x14ac:dyDescent="0.25">
      <c r="C18" s="1">
        <f t="shared" si="0"/>
        <v>1.6666666666666667</v>
      </c>
      <c r="I18" s="1">
        <f t="shared" ref="I18:I21" si="4">V18/18</f>
        <v>3.3333333333333335</v>
      </c>
      <c r="P18" s="1">
        <v>30</v>
      </c>
      <c r="V18" s="1">
        <v>60</v>
      </c>
    </row>
    <row r="19" spans="3:26" x14ac:dyDescent="0.25">
      <c r="C19" s="1">
        <f t="shared" si="0"/>
        <v>2.7777777777777777</v>
      </c>
      <c r="I19" s="1">
        <f t="shared" si="4"/>
        <v>4.4444444444444446</v>
      </c>
      <c r="P19" s="1">
        <v>50</v>
      </c>
      <c r="V19" s="1">
        <v>80</v>
      </c>
    </row>
    <row r="20" spans="3:26" x14ac:dyDescent="0.25">
      <c r="C20" s="1">
        <f t="shared" si="0"/>
        <v>3.8888888888888888</v>
      </c>
      <c r="I20" s="1">
        <f t="shared" si="4"/>
        <v>6.1111111111111107</v>
      </c>
      <c r="P20" s="1">
        <v>70</v>
      </c>
      <c r="V20" s="1">
        <v>110</v>
      </c>
    </row>
    <row r="21" spans="3:26" x14ac:dyDescent="0.25">
      <c r="C21" s="1">
        <f t="shared" si="0"/>
        <v>57.777777777777779</v>
      </c>
      <c r="I21" s="1">
        <f t="shared" si="4"/>
        <v>122.22222222222223</v>
      </c>
      <c r="P21" s="1">
        <v>1040</v>
      </c>
      <c r="V21" s="1">
        <v>2200</v>
      </c>
    </row>
    <row r="22" spans="3:26" x14ac:dyDescent="0.25">
      <c r="C22" s="1">
        <f t="shared" si="0"/>
        <v>13.888888888888889</v>
      </c>
      <c r="L22" s="1">
        <f>Y22/18</f>
        <v>0</v>
      </c>
      <c r="P22" s="1">
        <v>250</v>
      </c>
      <c r="Y22" s="1">
        <v>0</v>
      </c>
    </row>
    <row r="23" spans="3:26" x14ac:dyDescent="0.25">
      <c r="C23" s="1">
        <f t="shared" si="0"/>
        <v>13.888888888888889</v>
      </c>
      <c r="L23" s="1">
        <f t="shared" ref="L23:L24" si="5">Y23/18</f>
        <v>2.2222222222222223</v>
      </c>
      <c r="P23" s="1">
        <v>250</v>
      </c>
      <c r="Y23" s="1">
        <v>40</v>
      </c>
    </row>
    <row r="24" spans="3:26" x14ac:dyDescent="0.25">
      <c r="C24" s="1">
        <f t="shared" si="0"/>
        <v>61.111111111111114</v>
      </c>
      <c r="L24" s="1">
        <f t="shared" si="5"/>
        <v>16.666666666666668</v>
      </c>
      <c r="P24" s="1">
        <v>1100</v>
      </c>
      <c r="Y24" s="1">
        <v>300</v>
      </c>
    </row>
    <row r="25" spans="3:26" x14ac:dyDescent="0.25">
      <c r="C25" s="1">
        <f t="shared" si="0"/>
        <v>0</v>
      </c>
      <c r="K25" s="1">
        <f>X25/18</f>
        <v>5.5555555555555554</v>
      </c>
      <c r="P25" s="1">
        <v>0</v>
      </c>
      <c r="X25" s="1">
        <v>100</v>
      </c>
    </row>
    <row r="26" spans="3:26" x14ac:dyDescent="0.25">
      <c r="C26" s="1">
        <f t="shared" si="0"/>
        <v>1.3888888888888888</v>
      </c>
      <c r="K26" s="1">
        <f t="shared" ref="K26:K29" si="6">X26/18</f>
        <v>5.5555555555555554</v>
      </c>
      <c r="P26" s="1">
        <v>25</v>
      </c>
      <c r="X26" s="1">
        <v>100</v>
      </c>
    </row>
    <row r="27" spans="3:26" x14ac:dyDescent="0.25">
      <c r="C27" s="1">
        <f t="shared" si="0"/>
        <v>2.7777777777777777</v>
      </c>
      <c r="K27" s="1">
        <f t="shared" si="6"/>
        <v>6.9444444444444446</v>
      </c>
      <c r="P27" s="1">
        <v>50</v>
      </c>
      <c r="X27" s="1">
        <v>125</v>
      </c>
    </row>
    <row r="28" spans="3:26" x14ac:dyDescent="0.25">
      <c r="C28" s="1">
        <f t="shared" si="0"/>
        <v>4.4444444444444446</v>
      </c>
      <c r="K28" s="1">
        <f t="shared" si="6"/>
        <v>11.944444444444445</v>
      </c>
      <c r="P28" s="1">
        <v>80</v>
      </c>
      <c r="X28" s="1">
        <v>215</v>
      </c>
    </row>
    <row r="29" spans="3:26" x14ac:dyDescent="0.25">
      <c r="C29" s="1">
        <f t="shared" si="0"/>
        <v>27.777777777777779</v>
      </c>
      <c r="K29" s="1">
        <f t="shared" si="6"/>
        <v>122.22222222222223</v>
      </c>
      <c r="P29" s="1">
        <v>500</v>
      </c>
      <c r="X29" s="1">
        <v>2200</v>
      </c>
    </row>
    <row r="30" spans="3:26" x14ac:dyDescent="0.25">
      <c r="C30" s="1">
        <f t="shared" si="0"/>
        <v>0</v>
      </c>
      <c r="M30" s="1">
        <f>Z30/18</f>
        <v>8.3333333333333339</v>
      </c>
      <c r="P30" s="1">
        <v>0</v>
      </c>
      <c r="Z30" s="1">
        <v>150</v>
      </c>
    </row>
    <row r="31" spans="3:26" x14ac:dyDescent="0.25">
      <c r="C31" s="1">
        <f t="shared" si="0"/>
        <v>1.9444444444444444</v>
      </c>
      <c r="M31" s="1">
        <f t="shared" ref="M31:M32" si="7">Z31/18</f>
        <v>8.6111111111111107</v>
      </c>
      <c r="P31" s="1">
        <v>35</v>
      </c>
      <c r="Z31" s="1">
        <v>155</v>
      </c>
    </row>
    <row r="32" spans="3:26" x14ac:dyDescent="0.25">
      <c r="C32" s="1">
        <f t="shared" si="0"/>
        <v>11.111111111111111</v>
      </c>
      <c r="M32" s="1">
        <f t="shared" si="7"/>
        <v>122.22222222222223</v>
      </c>
      <c r="P32" s="1">
        <v>200</v>
      </c>
      <c r="Z32" s="1">
        <v>2200</v>
      </c>
    </row>
    <row r="33" spans="3:27" x14ac:dyDescent="0.25">
      <c r="C33" s="1">
        <f t="shared" si="0"/>
        <v>0</v>
      </c>
      <c r="N33" s="1">
        <f>AA33/18</f>
        <v>0</v>
      </c>
      <c r="P33" s="1">
        <v>0</v>
      </c>
      <c r="AA33" s="1">
        <v>0</v>
      </c>
    </row>
    <row r="34" spans="3:27" x14ac:dyDescent="0.25">
      <c r="C34" s="1">
        <f t="shared" si="0"/>
        <v>122.22222222222223</v>
      </c>
      <c r="N34" s="1">
        <f>AA34/18</f>
        <v>122.22222222222223</v>
      </c>
      <c r="P34" s="1">
        <v>2200</v>
      </c>
      <c r="AA34" s="1">
        <v>2200</v>
      </c>
    </row>
    <row r="37" spans="3:27" ht="17.25" x14ac:dyDescent="0.25">
      <c r="C37" s="2" t="s">
        <v>3</v>
      </c>
      <c r="D37" s="2" t="s">
        <v>32</v>
      </c>
      <c r="E37" s="2" t="s">
        <v>33</v>
      </c>
    </row>
    <row r="38" spans="3:27" ht="17.25" x14ac:dyDescent="0.25">
      <c r="C38" s="12">
        <v>2.165</v>
      </c>
      <c r="D38" s="14">
        <v>2.2000000000000002</v>
      </c>
      <c r="E38" s="14"/>
    </row>
    <row r="39" spans="3:27" ht="17.25" x14ac:dyDescent="0.25">
      <c r="C39" s="12">
        <v>2.165</v>
      </c>
      <c r="D39" s="14">
        <v>2.1</v>
      </c>
      <c r="E39" s="14"/>
    </row>
    <row r="40" spans="3:27" ht="17.25" x14ac:dyDescent="0.25">
      <c r="C40" s="12">
        <v>2.165</v>
      </c>
      <c r="D40" s="14">
        <v>2.1</v>
      </c>
      <c r="E40" s="14"/>
    </row>
    <row r="41" spans="3:27" ht="17.25" x14ac:dyDescent="0.25">
      <c r="C41" s="12">
        <v>2.165</v>
      </c>
      <c r="D41" s="14">
        <v>2.2999999999999998</v>
      </c>
      <c r="E41" s="14"/>
    </row>
    <row r="42" spans="3:27" ht="17.25" x14ac:dyDescent="0.25">
      <c r="C42" s="12">
        <v>2.165</v>
      </c>
      <c r="D42" s="14">
        <v>2.1</v>
      </c>
      <c r="E42" s="14"/>
    </row>
    <row r="43" spans="3:27" ht="17.25" x14ac:dyDescent="0.25">
      <c r="C43" s="12">
        <v>2.165</v>
      </c>
      <c r="D43" s="14">
        <v>2.2000000000000002</v>
      </c>
      <c r="E43" s="14"/>
    </row>
    <row r="44" spans="3:27" ht="17.25" x14ac:dyDescent="0.25">
      <c r="C44" s="12">
        <v>2.165</v>
      </c>
      <c r="D44" s="14">
        <v>2.2999999999999998</v>
      </c>
      <c r="E44" s="14"/>
    </row>
    <row r="45" spans="3:27" ht="17.25" x14ac:dyDescent="0.25">
      <c r="C45" s="12">
        <v>2.165</v>
      </c>
      <c r="D45" s="14">
        <v>2.2000000000000002</v>
      </c>
      <c r="E45" s="14"/>
    </row>
    <row r="46" spans="3:27" ht="17.25" x14ac:dyDescent="0.25">
      <c r="C46" s="12">
        <v>2.165</v>
      </c>
      <c r="D46" s="14">
        <v>2.2000000000000002</v>
      </c>
      <c r="E46" s="14"/>
    </row>
    <row r="47" spans="3:27" ht="17.25" x14ac:dyDescent="0.25">
      <c r="C47" s="12">
        <v>2.165</v>
      </c>
      <c r="D47" s="14">
        <v>2.2000000000000002</v>
      </c>
      <c r="E47" s="14"/>
    </row>
    <row r="48" spans="3:27" ht="17.25" x14ac:dyDescent="0.25">
      <c r="C48" s="12">
        <v>2.165</v>
      </c>
      <c r="D48" s="14">
        <v>2.1</v>
      </c>
      <c r="E48" s="14"/>
    </row>
    <row r="49" spans="2:5" ht="17.25" x14ac:dyDescent="0.25">
      <c r="C49" s="12">
        <v>2.165</v>
      </c>
      <c r="D49" s="14">
        <v>2.1</v>
      </c>
      <c r="E49" s="14"/>
    </row>
    <row r="50" spans="2:5" ht="17.25" x14ac:dyDescent="0.25">
      <c r="C50" s="12">
        <v>2.165</v>
      </c>
      <c r="D50" s="14">
        <v>2.1</v>
      </c>
      <c r="E50" s="14"/>
    </row>
    <row r="51" spans="2:5" ht="17.25" x14ac:dyDescent="0.25">
      <c r="C51" s="12">
        <v>2.165</v>
      </c>
      <c r="D51" s="14">
        <v>2.1</v>
      </c>
      <c r="E51" s="14"/>
    </row>
    <row r="52" spans="2:5" ht="17.25" x14ac:dyDescent="0.25">
      <c r="C52" s="12">
        <v>2.165</v>
      </c>
      <c r="D52" s="14">
        <v>2.2000000000000002</v>
      </c>
      <c r="E52" s="14"/>
    </row>
    <row r="53" spans="2:5" ht="17.25" x14ac:dyDescent="0.25">
      <c r="B53" s="1" t="s">
        <v>31</v>
      </c>
      <c r="C53" s="12">
        <v>2.165</v>
      </c>
      <c r="D53" s="14">
        <v>2.1</v>
      </c>
      <c r="E53" s="14"/>
    </row>
    <row r="54" spans="2:5" ht="17.25" x14ac:dyDescent="0.25">
      <c r="C54" s="12">
        <v>2.165</v>
      </c>
      <c r="D54" s="14">
        <v>2.2000000000000002</v>
      </c>
      <c r="E54" s="14"/>
    </row>
    <row r="55" spans="2:5" ht="17.25" x14ac:dyDescent="0.25">
      <c r="C55" s="12">
        <v>2.165</v>
      </c>
      <c r="D55" s="14">
        <v>2.1</v>
      </c>
      <c r="E55" s="14"/>
    </row>
    <row r="56" spans="2:5" ht="17.25" x14ac:dyDescent="0.25">
      <c r="C56" s="12">
        <v>2.165</v>
      </c>
      <c r="D56" s="14">
        <v>2.2000000000000002</v>
      </c>
      <c r="E56" s="14"/>
    </row>
    <row r="57" spans="2:5" ht="17.25" x14ac:dyDescent="0.25">
      <c r="C57" s="12">
        <v>2.165</v>
      </c>
      <c r="D57" s="14">
        <v>2.1</v>
      </c>
      <c r="E57" s="14"/>
    </row>
    <row r="58" spans="2:5" ht="17.25" x14ac:dyDescent="0.25">
      <c r="C58" s="12">
        <v>6.2200000000000006</v>
      </c>
      <c r="D58" s="14">
        <v>6.3</v>
      </c>
      <c r="E58" s="14"/>
    </row>
    <row r="59" spans="2:5" ht="17.25" x14ac:dyDescent="0.25">
      <c r="C59" s="12">
        <v>6.2200000000000006</v>
      </c>
      <c r="D59" s="14">
        <v>6.3</v>
      </c>
      <c r="E59" s="14"/>
    </row>
    <row r="60" spans="2:5" ht="17.25" x14ac:dyDescent="0.25">
      <c r="C60" s="12">
        <v>6.2200000000000006</v>
      </c>
      <c r="D60" s="14">
        <v>6.3</v>
      </c>
      <c r="E60" s="14"/>
    </row>
    <row r="61" spans="2:5" ht="17.25" x14ac:dyDescent="0.25">
      <c r="C61" s="12">
        <v>6.2200000000000006</v>
      </c>
      <c r="D61" s="14">
        <v>6.3</v>
      </c>
      <c r="E61" s="14"/>
    </row>
    <row r="62" spans="2:5" ht="17.25" x14ac:dyDescent="0.25">
      <c r="C62" s="12">
        <v>6.2200000000000006</v>
      </c>
      <c r="D62" s="14">
        <v>6.4</v>
      </c>
      <c r="E62" s="14"/>
    </row>
    <row r="63" spans="2:5" ht="17.25" x14ac:dyDescent="0.25">
      <c r="C63" s="12">
        <v>6.2200000000000006</v>
      </c>
      <c r="D63" s="14">
        <v>6.4</v>
      </c>
      <c r="E63" s="14"/>
    </row>
    <row r="64" spans="2:5" ht="17.25" x14ac:dyDescent="0.25">
      <c r="C64" s="12">
        <v>6.2200000000000006</v>
      </c>
      <c r="D64" s="14">
        <v>6.3</v>
      </c>
      <c r="E64" s="14"/>
    </row>
    <row r="65" spans="3:5" ht="17.25" x14ac:dyDescent="0.25">
      <c r="C65" s="12">
        <v>6.2200000000000006</v>
      </c>
      <c r="D65" s="14">
        <v>6.4</v>
      </c>
      <c r="E65" s="14"/>
    </row>
    <row r="66" spans="3:5" ht="17.25" x14ac:dyDescent="0.25">
      <c r="C66" s="12">
        <v>6.2200000000000006</v>
      </c>
      <c r="D66" s="14">
        <v>6.3</v>
      </c>
      <c r="E66" s="14"/>
    </row>
    <row r="67" spans="3:5" ht="17.25" x14ac:dyDescent="0.25">
      <c r="C67" s="12">
        <v>6.2200000000000006</v>
      </c>
      <c r="D67" s="14">
        <v>6.3</v>
      </c>
      <c r="E67" s="14"/>
    </row>
    <row r="68" spans="3:5" ht="17.25" x14ac:dyDescent="0.25">
      <c r="C68" s="12">
        <v>6.2200000000000006</v>
      </c>
      <c r="D68" s="14">
        <v>6.3</v>
      </c>
      <c r="E68" s="14"/>
    </row>
    <row r="69" spans="3:5" ht="17.25" x14ac:dyDescent="0.25">
      <c r="C69" s="12">
        <v>6.2200000000000006</v>
      </c>
      <c r="D69" s="14">
        <v>6.4</v>
      </c>
      <c r="E69" s="14"/>
    </row>
    <row r="70" spans="3:5" ht="17.25" x14ac:dyDescent="0.25">
      <c r="C70" s="12">
        <v>6.2200000000000006</v>
      </c>
      <c r="D70" s="14">
        <v>6.3</v>
      </c>
      <c r="E70" s="14"/>
    </row>
    <row r="71" spans="3:5" ht="17.25" x14ac:dyDescent="0.25">
      <c r="C71" s="12">
        <v>6.2200000000000006</v>
      </c>
      <c r="D71" s="14">
        <v>6.4</v>
      </c>
      <c r="E71" s="14"/>
    </row>
    <row r="72" spans="3:5" ht="17.25" x14ac:dyDescent="0.25">
      <c r="C72" s="12">
        <v>6.2200000000000006</v>
      </c>
      <c r="D72" s="14">
        <v>6.4</v>
      </c>
      <c r="E72" s="14"/>
    </row>
    <row r="73" spans="3:5" ht="17.25" x14ac:dyDescent="0.25">
      <c r="C73" s="12">
        <v>6.2200000000000006</v>
      </c>
      <c r="D73" s="14">
        <v>6.4</v>
      </c>
      <c r="E73" s="14"/>
    </row>
    <row r="74" spans="3:5" ht="17.25" x14ac:dyDescent="0.25">
      <c r="C74" s="12">
        <v>6.2200000000000006</v>
      </c>
      <c r="D74" s="14">
        <v>6.5</v>
      </c>
      <c r="E74" s="14"/>
    </row>
    <row r="75" spans="3:5" ht="17.25" x14ac:dyDescent="0.25">
      <c r="C75" s="12">
        <v>6.2200000000000006</v>
      </c>
      <c r="D75" s="14">
        <v>6.3</v>
      </c>
      <c r="E75" s="14"/>
    </row>
    <row r="76" spans="3:5" ht="17.25" x14ac:dyDescent="0.25">
      <c r="C76" s="12">
        <v>6.2200000000000006</v>
      </c>
      <c r="D76" s="14">
        <v>6.3</v>
      </c>
      <c r="E76" s="14"/>
    </row>
    <row r="77" spans="3:5" ht="17.25" x14ac:dyDescent="0.25">
      <c r="C77" s="12">
        <v>6.2200000000000006</v>
      </c>
      <c r="D77" s="14">
        <v>6.3</v>
      </c>
      <c r="E77" s="14"/>
    </row>
    <row r="78" spans="3:5" ht="17.25" x14ac:dyDescent="0.25">
      <c r="C78" s="12">
        <v>17.7</v>
      </c>
      <c r="D78" s="14">
        <v>19.600000000000001</v>
      </c>
      <c r="E78" s="14"/>
    </row>
    <row r="79" spans="3:5" ht="17.25" x14ac:dyDescent="0.25">
      <c r="C79" s="12">
        <v>17.7</v>
      </c>
      <c r="D79" s="14">
        <v>19.5</v>
      </c>
      <c r="E79" s="14"/>
    </row>
    <row r="80" spans="3:5" ht="17.25" x14ac:dyDescent="0.25">
      <c r="C80" s="12">
        <v>17.7</v>
      </c>
      <c r="D80" s="14">
        <v>19.899999999999999</v>
      </c>
      <c r="E80" s="14"/>
    </row>
    <row r="81" spans="3:5" ht="17.25" x14ac:dyDescent="0.25">
      <c r="C81" s="12">
        <v>17.7</v>
      </c>
      <c r="D81" s="14">
        <v>19.600000000000001</v>
      </c>
      <c r="E81" s="14"/>
    </row>
    <row r="82" spans="3:5" ht="17.25" x14ac:dyDescent="0.25">
      <c r="C82" s="12">
        <v>17.7</v>
      </c>
      <c r="D82" s="14">
        <v>20.3</v>
      </c>
      <c r="E82" s="14"/>
    </row>
    <row r="83" spans="3:5" ht="17.25" x14ac:dyDescent="0.25">
      <c r="C83" s="12">
        <v>17.7</v>
      </c>
      <c r="D83" s="14">
        <v>20.8</v>
      </c>
      <c r="E83" s="14"/>
    </row>
    <row r="84" spans="3:5" ht="17.25" x14ac:dyDescent="0.25">
      <c r="C84" s="12">
        <v>17.7</v>
      </c>
      <c r="D84" s="14">
        <v>20.100000000000001</v>
      </c>
      <c r="E84" s="14"/>
    </row>
    <row r="85" spans="3:5" ht="17.25" x14ac:dyDescent="0.25">
      <c r="C85" s="12">
        <v>17.7</v>
      </c>
      <c r="D85" s="14">
        <v>19.899999999999999</v>
      </c>
      <c r="E85" s="14"/>
    </row>
    <row r="86" spans="3:5" ht="17.25" x14ac:dyDescent="0.25">
      <c r="C86" s="12">
        <v>17.7</v>
      </c>
      <c r="D86" s="14">
        <v>20</v>
      </c>
      <c r="E86" s="14"/>
    </row>
    <row r="87" spans="3:5" ht="17.25" x14ac:dyDescent="0.25">
      <c r="C87" s="12">
        <v>17.7</v>
      </c>
      <c r="D87" s="14">
        <v>19.899999999999999</v>
      </c>
      <c r="E87" s="14"/>
    </row>
    <row r="88" spans="3:5" ht="17.25" x14ac:dyDescent="0.25">
      <c r="C88" s="12">
        <v>17.7</v>
      </c>
      <c r="D88" s="14">
        <v>19.5</v>
      </c>
      <c r="E88" s="14"/>
    </row>
    <row r="89" spans="3:5" ht="17.25" x14ac:dyDescent="0.25">
      <c r="C89" s="12">
        <v>17.7</v>
      </c>
      <c r="D89" s="14">
        <v>20.3</v>
      </c>
      <c r="E89" s="14"/>
    </row>
    <row r="90" spans="3:5" ht="17.25" x14ac:dyDescent="0.25">
      <c r="C90" s="12">
        <v>17.7</v>
      </c>
      <c r="D90" s="14">
        <v>19.399999999999999</v>
      </c>
      <c r="E90" s="14"/>
    </row>
    <row r="91" spans="3:5" ht="17.25" x14ac:dyDescent="0.25">
      <c r="C91" s="12">
        <v>17.7</v>
      </c>
      <c r="D91" s="14">
        <v>19.7</v>
      </c>
      <c r="E91" s="14"/>
    </row>
    <row r="92" spans="3:5" ht="17.25" x14ac:dyDescent="0.25">
      <c r="C92" s="12">
        <v>17.7</v>
      </c>
      <c r="D92" s="14">
        <v>19.600000000000001</v>
      </c>
      <c r="E92" s="14"/>
    </row>
    <row r="93" spans="3:5" ht="17.25" x14ac:dyDescent="0.25">
      <c r="C93" s="12">
        <v>17.7</v>
      </c>
      <c r="D93" s="14">
        <v>19.8</v>
      </c>
      <c r="E93" s="14"/>
    </row>
    <row r="94" spans="3:5" ht="17.25" x14ac:dyDescent="0.25">
      <c r="C94" s="12">
        <v>17.7</v>
      </c>
      <c r="D94" s="14">
        <v>19.8</v>
      </c>
      <c r="E94" s="14"/>
    </row>
    <row r="95" spans="3:5" ht="17.25" x14ac:dyDescent="0.25">
      <c r="C95" s="12">
        <v>17.7</v>
      </c>
      <c r="D95" s="14">
        <v>19.899999999999999</v>
      </c>
      <c r="E95" s="14"/>
    </row>
    <row r="96" spans="3:5" ht="17.25" x14ac:dyDescent="0.25">
      <c r="C96" s="12">
        <v>17.7</v>
      </c>
      <c r="D96" s="14">
        <v>20</v>
      </c>
      <c r="E96" s="14"/>
    </row>
    <row r="97" spans="3:5" ht="17.25" x14ac:dyDescent="0.25">
      <c r="C97" s="12">
        <v>17.7</v>
      </c>
      <c r="D97" s="14">
        <v>19.5</v>
      </c>
      <c r="E97" s="14"/>
    </row>
    <row r="98" spans="3:5" ht="17.25" x14ac:dyDescent="0.25">
      <c r="C98" s="12">
        <v>2.7</v>
      </c>
      <c r="D98" s="13"/>
      <c r="E98" s="14">
        <v>3.4</v>
      </c>
    </row>
    <row r="99" spans="3:5" ht="17.25" x14ac:dyDescent="0.25">
      <c r="C99" s="12">
        <v>2.7</v>
      </c>
      <c r="D99" s="13"/>
      <c r="E99" s="14">
        <v>3.1</v>
      </c>
    </row>
    <row r="100" spans="3:5" ht="17.25" x14ac:dyDescent="0.25">
      <c r="C100" s="12">
        <v>2.7</v>
      </c>
      <c r="D100" s="13"/>
      <c r="E100" s="14">
        <v>3.1</v>
      </c>
    </row>
    <row r="101" spans="3:5" ht="17.25" x14ac:dyDescent="0.25">
      <c r="C101" s="12">
        <v>2.7</v>
      </c>
      <c r="D101" s="13"/>
      <c r="E101" s="14">
        <v>3</v>
      </c>
    </row>
    <row r="102" spans="3:5" ht="17.25" x14ac:dyDescent="0.25">
      <c r="C102" s="12">
        <v>2.7</v>
      </c>
      <c r="D102" s="13"/>
      <c r="E102" s="14">
        <v>3.1</v>
      </c>
    </row>
    <row r="103" spans="3:5" ht="17.25" x14ac:dyDescent="0.25">
      <c r="C103" s="12">
        <v>2.7</v>
      </c>
      <c r="D103" s="13"/>
      <c r="E103" s="14">
        <v>3.1</v>
      </c>
    </row>
    <row r="104" spans="3:5" ht="17.25" x14ac:dyDescent="0.25">
      <c r="C104" s="12">
        <v>2.7</v>
      </c>
      <c r="D104" s="13"/>
      <c r="E104" s="14">
        <v>3.1</v>
      </c>
    </row>
    <row r="105" spans="3:5" ht="17.25" x14ac:dyDescent="0.25">
      <c r="C105" s="12">
        <v>2.7</v>
      </c>
      <c r="D105" s="13"/>
      <c r="E105" s="14">
        <v>3.1</v>
      </c>
    </row>
    <row r="106" spans="3:5" ht="17.25" x14ac:dyDescent="0.25">
      <c r="C106" s="12">
        <v>2.7</v>
      </c>
      <c r="D106" s="13"/>
      <c r="E106" s="14">
        <v>3</v>
      </c>
    </row>
    <row r="107" spans="3:5" ht="17.25" x14ac:dyDescent="0.25">
      <c r="C107" s="12">
        <v>2.7</v>
      </c>
      <c r="D107" s="13"/>
      <c r="E107" s="14">
        <v>3</v>
      </c>
    </row>
    <row r="108" spans="3:5" ht="17.25" x14ac:dyDescent="0.25">
      <c r="C108" s="12">
        <v>2.7</v>
      </c>
      <c r="D108" s="13"/>
      <c r="E108" s="14">
        <v>3.4</v>
      </c>
    </row>
    <row r="109" spans="3:5" ht="17.25" x14ac:dyDescent="0.25">
      <c r="C109" s="12">
        <v>2.7</v>
      </c>
      <c r="D109" s="13"/>
      <c r="E109" s="14">
        <v>3.4</v>
      </c>
    </row>
    <row r="110" spans="3:5" ht="17.25" x14ac:dyDescent="0.25">
      <c r="C110" s="12">
        <v>2.7</v>
      </c>
      <c r="D110" s="13"/>
      <c r="E110" s="14">
        <v>3.4</v>
      </c>
    </row>
    <row r="111" spans="3:5" ht="17.25" x14ac:dyDescent="0.25">
      <c r="C111" s="12">
        <v>2.7</v>
      </c>
      <c r="D111" s="13"/>
      <c r="E111" s="14">
        <v>3.1</v>
      </c>
    </row>
    <row r="112" spans="3:5" ht="17.25" x14ac:dyDescent="0.25">
      <c r="C112" s="12">
        <v>2.7</v>
      </c>
      <c r="D112" s="13"/>
      <c r="E112" s="14">
        <v>3</v>
      </c>
    </row>
    <row r="113" spans="3:5" ht="17.25" x14ac:dyDescent="0.25">
      <c r="C113" s="12">
        <v>2.7</v>
      </c>
      <c r="D113" s="13"/>
      <c r="E113" s="14">
        <v>3.1</v>
      </c>
    </row>
    <row r="114" spans="3:5" ht="17.25" x14ac:dyDescent="0.25">
      <c r="C114" s="12">
        <v>2.7</v>
      </c>
      <c r="D114" s="13"/>
      <c r="E114" s="14">
        <v>3.1</v>
      </c>
    </row>
    <row r="115" spans="3:5" ht="17.25" x14ac:dyDescent="0.25">
      <c r="C115" s="12">
        <v>2.7</v>
      </c>
      <c r="D115" s="13"/>
      <c r="E115" s="14">
        <v>3.1</v>
      </c>
    </row>
    <row r="116" spans="3:5" ht="17.25" x14ac:dyDescent="0.25">
      <c r="C116" s="12">
        <v>2.7</v>
      </c>
      <c r="D116" s="13"/>
      <c r="E116" s="14">
        <v>3.1</v>
      </c>
    </row>
    <row r="117" spans="3:5" ht="17.25" x14ac:dyDescent="0.25">
      <c r="C117" s="12">
        <v>2.7</v>
      </c>
      <c r="D117" s="13"/>
      <c r="E117" s="14">
        <v>3.1</v>
      </c>
    </row>
    <row r="118" spans="3:5" ht="17.25" x14ac:dyDescent="0.25">
      <c r="C118" s="12">
        <v>2.7</v>
      </c>
      <c r="D118" s="13"/>
      <c r="E118" s="14">
        <v>3.1</v>
      </c>
    </row>
    <row r="119" spans="3:5" ht="17.25" x14ac:dyDescent="0.25">
      <c r="C119" s="12">
        <v>2.7</v>
      </c>
      <c r="D119" s="13"/>
      <c r="E119" s="14">
        <v>3.4</v>
      </c>
    </row>
    <row r="120" spans="3:5" ht="17.25" x14ac:dyDescent="0.25">
      <c r="C120" s="12">
        <v>2.7</v>
      </c>
      <c r="D120" s="13"/>
      <c r="E120" s="14">
        <v>3.1</v>
      </c>
    </row>
    <row r="121" spans="3:5" ht="17.25" x14ac:dyDescent="0.25">
      <c r="C121" s="12">
        <v>2.7</v>
      </c>
      <c r="D121" s="13"/>
      <c r="E121" s="14">
        <v>3.4</v>
      </c>
    </row>
    <row r="122" spans="3:5" ht="17.25" x14ac:dyDescent="0.25">
      <c r="C122" s="12">
        <v>2.7</v>
      </c>
      <c r="D122" s="13"/>
      <c r="E122" s="14">
        <v>3.1</v>
      </c>
    </row>
    <row r="123" spans="3:5" ht="17.25" x14ac:dyDescent="0.25">
      <c r="C123" s="12">
        <v>6.4</v>
      </c>
      <c r="D123" s="13"/>
      <c r="E123" s="14">
        <v>6.5</v>
      </c>
    </row>
    <row r="124" spans="3:5" ht="17.25" x14ac:dyDescent="0.25">
      <c r="C124" s="12">
        <v>6.4</v>
      </c>
      <c r="D124" s="13"/>
      <c r="E124" s="14">
        <v>6.5</v>
      </c>
    </row>
    <row r="125" spans="3:5" ht="17.25" x14ac:dyDescent="0.25">
      <c r="C125" s="12">
        <v>6.4</v>
      </c>
      <c r="D125" s="13"/>
      <c r="E125" s="14">
        <v>6.7</v>
      </c>
    </row>
    <row r="126" spans="3:5" ht="17.25" x14ac:dyDescent="0.25">
      <c r="C126" s="12">
        <v>6.4</v>
      </c>
      <c r="D126" s="13"/>
      <c r="E126" s="14">
        <v>6.9</v>
      </c>
    </row>
    <row r="127" spans="3:5" ht="17.25" x14ac:dyDescent="0.25">
      <c r="C127" s="12">
        <v>6.4</v>
      </c>
      <c r="D127" s="13"/>
      <c r="E127" s="14">
        <v>6.9</v>
      </c>
    </row>
    <row r="128" spans="3:5" ht="17.25" x14ac:dyDescent="0.25">
      <c r="C128" s="12">
        <v>6.4</v>
      </c>
      <c r="D128" s="13"/>
      <c r="E128" s="14">
        <v>6.7</v>
      </c>
    </row>
    <row r="129" spans="3:5" ht="17.25" x14ac:dyDescent="0.25">
      <c r="C129" s="12">
        <v>6.4</v>
      </c>
      <c r="D129" s="13"/>
      <c r="E129" s="14">
        <v>6.6</v>
      </c>
    </row>
    <row r="130" spans="3:5" ht="17.25" x14ac:dyDescent="0.25">
      <c r="C130" s="12">
        <v>6.4</v>
      </c>
      <c r="D130" s="13"/>
      <c r="E130" s="14">
        <v>6.7</v>
      </c>
    </row>
    <row r="131" spans="3:5" ht="17.25" x14ac:dyDescent="0.25">
      <c r="C131" s="12">
        <v>6.4</v>
      </c>
      <c r="D131" s="13"/>
      <c r="E131" s="14">
        <v>6.8</v>
      </c>
    </row>
    <row r="132" spans="3:5" ht="17.25" x14ac:dyDescent="0.25">
      <c r="C132" s="12">
        <v>6.4</v>
      </c>
      <c r="D132" s="13"/>
      <c r="E132" s="14">
        <v>6.9</v>
      </c>
    </row>
    <row r="133" spans="3:5" ht="17.25" x14ac:dyDescent="0.25">
      <c r="C133" s="12">
        <v>6.4</v>
      </c>
      <c r="D133" s="13"/>
      <c r="E133" s="14">
        <v>6.5</v>
      </c>
    </row>
    <row r="134" spans="3:5" ht="17.25" x14ac:dyDescent="0.25">
      <c r="C134" s="12">
        <v>6.4</v>
      </c>
      <c r="D134" s="13"/>
      <c r="E134" s="14">
        <v>6.5</v>
      </c>
    </row>
    <row r="135" spans="3:5" ht="17.25" x14ac:dyDescent="0.25">
      <c r="C135" s="12">
        <v>6.4</v>
      </c>
      <c r="D135" s="13"/>
      <c r="E135" s="14">
        <v>6.5</v>
      </c>
    </row>
    <row r="136" spans="3:5" ht="17.25" x14ac:dyDescent="0.25">
      <c r="C136" s="12">
        <v>6.4</v>
      </c>
      <c r="D136" s="13"/>
      <c r="E136" s="14">
        <v>6.7</v>
      </c>
    </row>
    <row r="137" spans="3:5" ht="17.25" x14ac:dyDescent="0.25">
      <c r="C137" s="12">
        <v>6.4</v>
      </c>
      <c r="D137" s="13"/>
      <c r="E137" s="14">
        <v>6.8</v>
      </c>
    </row>
    <row r="138" spans="3:5" ht="17.25" x14ac:dyDescent="0.25">
      <c r="C138" s="6">
        <v>6.4</v>
      </c>
      <c r="D138" s="7"/>
      <c r="E138" s="8">
        <v>6.7</v>
      </c>
    </row>
    <row r="139" spans="3:5" ht="17.25" x14ac:dyDescent="0.25">
      <c r="C139" s="6">
        <v>6.4</v>
      </c>
      <c r="D139" s="7"/>
      <c r="E139" s="8">
        <v>6.9</v>
      </c>
    </row>
    <row r="140" spans="3:5" ht="17.25" x14ac:dyDescent="0.25">
      <c r="C140" s="6">
        <v>6.4</v>
      </c>
      <c r="D140" s="7"/>
      <c r="E140" s="8">
        <v>6.7</v>
      </c>
    </row>
    <row r="141" spans="3:5" ht="17.25" x14ac:dyDescent="0.25">
      <c r="C141" s="6">
        <v>6.4</v>
      </c>
      <c r="D141" s="7"/>
      <c r="E141" s="8">
        <v>6.8</v>
      </c>
    </row>
    <row r="142" spans="3:5" ht="17.25" x14ac:dyDescent="0.25">
      <c r="C142" s="6">
        <v>6.4</v>
      </c>
      <c r="D142" s="7"/>
      <c r="E142" s="8">
        <v>6.7</v>
      </c>
    </row>
    <row r="143" spans="3:5" ht="17.25" x14ac:dyDescent="0.25">
      <c r="C143" s="6">
        <v>6.4</v>
      </c>
      <c r="D143" s="7"/>
      <c r="E143" s="8">
        <v>6.5</v>
      </c>
    </row>
    <row r="144" spans="3:5" ht="17.25" x14ac:dyDescent="0.25">
      <c r="C144" s="6">
        <v>6.4</v>
      </c>
      <c r="D144" s="7"/>
      <c r="E144" s="8">
        <v>6.6</v>
      </c>
    </row>
    <row r="145" spans="3:5" ht="17.25" x14ac:dyDescent="0.25">
      <c r="C145" s="6">
        <v>6.4</v>
      </c>
      <c r="D145" s="7"/>
      <c r="E145" s="8">
        <v>6.7</v>
      </c>
    </row>
    <row r="146" spans="3:5" ht="17.25" x14ac:dyDescent="0.25">
      <c r="C146" s="6">
        <v>6.4</v>
      </c>
      <c r="D146" s="7"/>
      <c r="E146" s="8">
        <v>6.6</v>
      </c>
    </row>
    <row r="147" spans="3:5" ht="17.25" x14ac:dyDescent="0.25">
      <c r="C147" s="6">
        <v>6.4</v>
      </c>
      <c r="D147" s="7"/>
      <c r="E147" s="8">
        <v>6.9</v>
      </c>
    </row>
    <row r="148" spans="3:5" ht="17.25" x14ac:dyDescent="0.25">
      <c r="C148" s="6">
        <v>19.7</v>
      </c>
      <c r="D148" s="7"/>
      <c r="E148" s="8">
        <v>21.5</v>
      </c>
    </row>
    <row r="149" spans="3:5" ht="17.25" x14ac:dyDescent="0.25">
      <c r="C149" s="6">
        <v>19.7</v>
      </c>
      <c r="D149" s="7"/>
      <c r="E149" s="8">
        <v>21</v>
      </c>
    </row>
    <row r="150" spans="3:5" ht="17.25" x14ac:dyDescent="0.25">
      <c r="C150" s="6">
        <v>19.7</v>
      </c>
      <c r="D150" s="7"/>
      <c r="E150" s="8">
        <v>21.9</v>
      </c>
    </row>
    <row r="151" spans="3:5" ht="17.25" x14ac:dyDescent="0.25">
      <c r="C151" s="6">
        <v>19.7</v>
      </c>
      <c r="D151" s="7"/>
      <c r="E151" s="8">
        <v>21.7</v>
      </c>
    </row>
    <row r="152" spans="3:5" ht="17.25" x14ac:dyDescent="0.25">
      <c r="C152" s="6">
        <v>19.7</v>
      </c>
      <c r="D152" s="7"/>
      <c r="E152" s="8">
        <v>20.399999999999999</v>
      </c>
    </row>
    <row r="153" spans="3:5" ht="17.25" x14ac:dyDescent="0.25">
      <c r="C153" s="6">
        <v>19.7</v>
      </c>
      <c r="D153" s="7"/>
      <c r="E153" s="8">
        <v>21.5</v>
      </c>
    </row>
    <row r="154" spans="3:5" ht="17.25" x14ac:dyDescent="0.25">
      <c r="C154" s="6">
        <v>19.7</v>
      </c>
      <c r="D154" s="7"/>
      <c r="E154" s="8">
        <v>20</v>
      </c>
    </row>
    <row r="155" spans="3:5" ht="17.25" x14ac:dyDescent="0.25">
      <c r="C155" s="6">
        <v>19.7</v>
      </c>
      <c r="D155" s="7"/>
      <c r="E155" s="8">
        <v>21.2</v>
      </c>
    </row>
    <row r="156" spans="3:5" ht="17.25" x14ac:dyDescent="0.25">
      <c r="C156" s="6">
        <v>19.7</v>
      </c>
      <c r="D156" s="7"/>
      <c r="E156" s="8">
        <v>20.3</v>
      </c>
    </row>
    <row r="157" spans="3:5" ht="17.25" x14ac:dyDescent="0.25">
      <c r="C157" s="6">
        <v>19.7</v>
      </c>
      <c r="D157" s="7"/>
      <c r="E157" s="8">
        <v>20.7</v>
      </c>
    </row>
    <row r="158" spans="3:5" ht="17.25" x14ac:dyDescent="0.25">
      <c r="C158" s="6">
        <v>19.7</v>
      </c>
      <c r="D158" s="7"/>
      <c r="E158" s="8">
        <v>21.5</v>
      </c>
    </row>
    <row r="159" spans="3:5" ht="17.25" x14ac:dyDescent="0.25">
      <c r="C159" s="6">
        <v>19.7</v>
      </c>
      <c r="D159" s="7"/>
      <c r="E159" s="8">
        <v>21.3</v>
      </c>
    </row>
    <row r="160" spans="3:5" ht="17.25" x14ac:dyDescent="0.25">
      <c r="C160" s="6">
        <v>19.7</v>
      </c>
      <c r="D160" s="7"/>
      <c r="E160" s="8">
        <v>20.399999999999999</v>
      </c>
    </row>
    <row r="161" spans="3:5" ht="17.25" x14ac:dyDescent="0.25">
      <c r="C161" s="6">
        <v>19.7</v>
      </c>
      <c r="D161" s="7"/>
      <c r="E161" s="8">
        <v>20.8</v>
      </c>
    </row>
    <row r="162" spans="3:5" ht="17.25" x14ac:dyDescent="0.25">
      <c r="C162" s="6">
        <v>19.7</v>
      </c>
      <c r="D162" s="7"/>
      <c r="E162" s="8">
        <v>20.5</v>
      </c>
    </row>
    <row r="163" spans="3:5" ht="17.25" x14ac:dyDescent="0.25">
      <c r="C163" s="6">
        <v>19.7</v>
      </c>
      <c r="D163" s="7"/>
      <c r="E163" s="8">
        <v>21.6</v>
      </c>
    </row>
    <row r="164" spans="3:5" ht="17.25" x14ac:dyDescent="0.25">
      <c r="C164" s="6">
        <v>19.7</v>
      </c>
      <c r="D164" s="7"/>
      <c r="E164" s="8">
        <v>21.5</v>
      </c>
    </row>
    <row r="165" spans="3:5" ht="17.25" x14ac:dyDescent="0.25">
      <c r="C165" s="6">
        <v>19.7</v>
      </c>
      <c r="D165" s="7"/>
      <c r="E165" s="8">
        <v>21</v>
      </c>
    </row>
    <row r="166" spans="3:5" ht="17.25" x14ac:dyDescent="0.25">
      <c r="C166" s="6">
        <v>19.7</v>
      </c>
      <c r="D166" s="7"/>
      <c r="E166" s="8">
        <v>22.3</v>
      </c>
    </row>
    <row r="167" spans="3:5" ht="17.25" x14ac:dyDescent="0.25">
      <c r="C167" s="6">
        <v>19.7</v>
      </c>
      <c r="D167" s="7"/>
      <c r="E167" s="8">
        <v>20.3</v>
      </c>
    </row>
    <row r="168" spans="3:5" ht="17.25" x14ac:dyDescent="0.25">
      <c r="C168" s="6">
        <v>19.7</v>
      </c>
      <c r="D168" s="7"/>
      <c r="E168" s="8">
        <v>21</v>
      </c>
    </row>
    <row r="169" spans="3:5" ht="17.25" x14ac:dyDescent="0.25">
      <c r="C169" s="6">
        <v>19.7</v>
      </c>
      <c r="D169" s="7"/>
      <c r="E169" s="8">
        <v>20.9</v>
      </c>
    </row>
    <row r="170" spans="3:5" ht="17.25" x14ac:dyDescent="0.25">
      <c r="C170" s="6">
        <v>19.7</v>
      </c>
      <c r="D170" s="7"/>
      <c r="E170" s="8">
        <v>21.8</v>
      </c>
    </row>
    <row r="171" spans="3:5" ht="17.25" x14ac:dyDescent="0.25">
      <c r="C171" s="6">
        <v>19.7</v>
      </c>
      <c r="D171" s="7"/>
      <c r="E171" s="8">
        <v>21</v>
      </c>
    </row>
    <row r="172" spans="3:5" ht="17.25" x14ac:dyDescent="0.25">
      <c r="C172" s="6">
        <v>19.7</v>
      </c>
      <c r="D172" s="7"/>
      <c r="E172" s="8">
        <v>20.6</v>
      </c>
    </row>
    <row r="173" spans="3:5" ht="17.25" x14ac:dyDescent="0.25">
      <c r="C173" s="6"/>
      <c r="D173" s="7"/>
      <c r="E173" s="8"/>
    </row>
    <row r="174" spans="3:5" ht="17.25" x14ac:dyDescent="0.25">
      <c r="C174" s="6"/>
      <c r="D174" s="7"/>
      <c r="E174" s="8"/>
    </row>
    <row r="175" spans="3:5" ht="17.25" x14ac:dyDescent="0.25">
      <c r="C175" s="6"/>
      <c r="D175" s="7"/>
      <c r="E175" s="8"/>
    </row>
    <row r="176" spans="3:5" ht="17.25" x14ac:dyDescent="0.25">
      <c r="C176" s="6"/>
      <c r="D176" s="7"/>
      <c r="E176" s="8"/>
    </row>
    <row r="177" spans="3:5" ht="17.25" x14ac:dyDescent="0.25">
      <c r="C177" s="6"/>
      <c r="D177" s="7"/>
      <c r="E177" s="8"/>
    </row>
    <row r="178" spans="3:5" ht="17.25" x14ac:dyDescent="0.25">
      <c r="C178" s="6"/>
      <c r="D178" s="7"/>
      <c r="E178" s="8"/>
    </row>
    <row r="179" spans="3:5" ht="17.25" x14ac:dyDescent="0.25">
      <c r="C179" s="6"/>
      <c r="D179" s="7"/>
      <c r="E179" s="8"/>
    </row>
    <row r="180" spans="3:5" ht="17.25" x14ac:dyDescent="0.25">
      <c r="C180" s="6"/>
      <c r="D180" s="7"/>
      <c r="E180" s="8"/>
    </row>
    <row r="181" spans="3:5" ht="17.25" x14ac:dyDescent="0.25">
      <c r="C181" s="6"/>
      <c r="D181" s="7"/>
      <c r="E181" s="8"/>
    </row>
    <row r="182" spans="3:5" ht="17.25" x14ac:dyDescent="0.25">
      <c r="C182" s="6"/>
      <c r="D182" s="7"/>
      <c r="E182" s="8"/>
    </row>
    <row r="183" spans="3:5" ht="17.25" x14ac:dyDescent="0.25">
      <c r="C183" s="6"/>
      <c r="D183" s="7"/>
      <c r="E183" s="8"/>
    </row>
    <row r="184" spans="3:5" ht="17.25" x14ac:dyDescent="0.25">
      <c r="C184" s="6"/>
      <c r="D184" s="7"/>
      <c r="E184" s="8"/>
    </row>
    <row r="185" spans="3:5" ht="17.25" x14ac:dyDescent="0.25">
      <c r="C185" s="6"/>
      <c r="D185" s="7"/>
      <c r="E185" s="8"/>
    </row>
    <row r="186" spans="3:5" ht="17.25" x14ac:dyDescent="0.25">
      <c r="C186" s="6"/>
      <c r="D186" s="7"/>
      <c r="E186" s="8"/>
    </row>
    <row r="187" spans="3:5" ht="17.25" x14ac:dyDescent="0.25">
      <c r="C187" s="6"/>
      <c r="D187" s="7"/>
      <c r="E187" s="8"/>
    </row>
    <row r="188" spans="3:5" ht="17.25" x14ac:dyDescent="0.25">
      <c r="C188" s="6"/>
      <c r="D188" s="7"/>
      <c r="E188" s="8"/>
    </row>
    <row r="189" spans="3:5" ht="17.25" x14ac:dyDescent="0.25">
      <c r="C189" s="6"/>
      <c r="D189" s="7"/>
      <c r="E189" s="8"/>
    </row>
    <row r="190" spans="3:5" ht="17.25" x14ac:dyDescent="0.25">
      <c r="C190" s="6"/>
      <c r="D190" s="7"/>
      <c r="E190" s="8"/>
    </row>
    <row r="191" spans="3:5" ht="17.25" x14ac:dyDescent="0.25">
      <c r="C191" s="6"/>
      <c r="D191" s="7"/>
      <c r="E191" s="8"/>
    </row>
    <row r="192" spans="3:5" ht="17.25" x14ac:dyDescent="0.25">
      <c r="C192" s="6"/>
      <c r="D192" s="7"/>
      <c r="E192" s="8"/>
    </row>
    <row r="193" spans="3:5" ht="17.25" x14ac:dyDescent="0.25">
      <c r="C193" s="6"/>
      <c r="D193" s="7"/>
      <c r="E193" s="8"/>
    </row>
    <row r="194" spans="3:5" ht="17.25" x14ac:dyDescent="0.25">
      <c r="C194" s="6"/>
      <c r="D194" s="7"/>
      <c r="E194" s="8"/>
    </row>
    <row r="195" spans="3:5" ht="17.25" x14ac:dyDescent="0.25">
      <c r="C195" s="6"/>
      <c r="D195" s="7"/>
      <c r="E195" s="8"/>
    </row>
    <row r="196" spans="3:5" ht="17.25" x14ac:dyDescent="0.25">
      <c r="C196" s="6"/>
      <c r="D196" s="7"/>
      <c r="E196" s="8"/>
    </row>
    <row r="197" spans="3:5" ht="17.25" x14ac:dyDescent="0.25">
      <c r="C197" s="6"/>
      <c r="D197" s="7"/>
      <c r="E197" s="8"/>
    </row>
    <row r="198" spans="3:5" ht="17.25" x14ac:dyDescent="0.25">
      <c r="C198" s="6"/>
      <c r="D198" s="7"/>
      <c r="E198" s="8"/>
    </row>
    <row r="199" spans="3:5" ht="17.25" x14ac:dyDescent="0.25">
      <c r="C199" s="6"/>
      <c r="D199" s="7"/>
      <c r="E199" s="8"/>
    </row>
    <row r="200" spans="3:5" ht="17.25" x14ac:dyDescent="0.25">
      <c r="C200" s="6"/>
      <c r="D200" s="7"/>
      <c r="E200" s="8"/>
    </row>
    <row r="201" spans="3:5" ht="17.25" x14ac:dyDescent="0.25">
      <c r="C201" s="6"/>
      <c r="D201" s="7"/>
      <c r="E201" s="8"/>
    </row>
    <row r="202" spans="3:5" ht="17.25" x14ac:dyDescent="0.25">
      <c r="C202" s="6"/>
      <c r="D202" s="7"/>
      <c r="E202" s="8"/>
    </row>
    <row r="203" spans="3:5" ht="17.25" x14ac:dyDescent="0.25">
      <c r="C203" s="6"/>
      <c r="D203" s="7"/>
      <c r="E203" s="8"/>
    </row>
    <row r="204" spans="3:5" ht="17.25" x14ac:dyDescent="0.25">
      <c r="C204" s="6"/>
      <c r="D204" s="7"/>
      <c r="E204" s="8"/>
    </row>
    <row r="205" spans="3:5" ht="17.25" x14ac:dyDescent="0.25">
      <c r="C205" s="6"/>
      <c r="D205" s="7"/>
      <c r="E205" s="8"/>
    </row>
    <row r="206" spans="3:5" ht="17.25" x14ac:dyDescent="0.25">
      <c r="C206" s="6"/>
      <c r="D206" s="7"/>
      <c r="E206" s="8"/>
    </row>
    <row r="207" spans="3:5" ht="17.25" x14ac:dyDescent="0.25">
      <c r="C207" s="6"/>
      <c r="D207" s="7"/>
      <c r="E207" s="8"/>
    </row>
    <row r="208" spans="3:5" ht="17.25" x14ac:dyDescent="0.25">
      <c r="C208" s="6"/>
      <c r="D208" s="7"/>
      <c r="E208" s="8"/>
    </row>
    <row r="209" spans="3:8" ht="17.25" x14ac:dyDescent="0.25">
      <c r="C209" s="6"/>
      <c r="D209" s="7"/>
      <c r="E209" s="8"/>
    </row>
    <row r="210" spans="3:8" ht="17.25" x14ac:dyDescent="0.25">
      <c r="C210" s="6"/>
      <c r="D210" s="7"/>
      <c r="E210" s="8"/>
    </row>
    <row r="211" spans="3:8" ht="17.25" x14ac:dyDescent="0.25">
      <c r="C211" s="6"/>
      <c r="D211" s="7"/>
      <c r="E211" s="8"/>
    </row>
    <row r="212" spans="3:8" ht="17.25" x14ac:dyDescent="0.25">
      <c r="C212" s="6"/>
      <c r="D212" s="7"/>
      <c r="E212" s="8"/>
    </row>
    <row r="213" spans="3:8" ht="17.25" x14ac:dyDescent="0.25">
      <c r="C213" s="6"/>
      <c r="D213" s="7"/>
      <c r="E213" s="8"/>
    </row>
    <row r="214" spans="3:8" ht="17.25" x14ac:dyDescent="0.25">
      <c r="C214" s="6"/>
      <c r="D214" s="7"/>
      <c r="E214" s="8"/>
    </row>
    <row r="215" spans="3:8" ht="17.25" x14ac:dyDescent="0.25">
      <c r="C215" s="6"/>
      <c r="D215" s="7"/>
      <c r="E215" s="8"/>
    </row>
    <row r="216" spans="3:8" ht="17.25" x14ac:dyDescent="0.25">
      <c r="C216" s="6"/>
      <c r="D216" s="7"/>
      <c r="E216" s="8"/>
    </row>
    <row r="217" spans="3:8" ht="17.25" x14ac:dyDescent="0.25">
      <c r="C217" s="6"/>
      <c r="D217" s="7"/>
      <c r="E217" s="8"/>
    </row>
    <row r="218" spans="3:8" ht="17.25" x14ac:dyDescent="0.25">
      <c r="C218" s="6"/>
      <c r="D218" s="7"/>
      <c r="E218" s="8"/>
    </row>
    <row r="219" spans="3:8" ht="17.25" x14ac:dyDescent="0.25">
      <c r="C219" s="6"/>
      <c r="D219" s="7"/>
      <c r="E219" s="8"/>
      <c r="H219" s="1">
        <f>600/18</f>
        <v>33.333333333333336</v>
      </c>
    </row>
    <row r="220" spans="3:8" ht="17.25" x14ac:dyDescent="0.25">
      <c r="C220" s="6"/>
      <c r="D220" s="7"/>
      <c r="E220" s="8"/>
    </row>
    <row r="221" spans="3:8" ht="17.25" x14ac:dyDescent="0.25">
      <c r="C221" s="6"/>
      <c r="D221" s="7"/>
      <c r="E221" s="8"/>
    </row>
    <row r="222" spans="3:8" ht="17.25" x14ac:dyDescent="0.25">
      <c r="C222" s="6"/>
      <c r="D222" s="7"/>
      <c r="E222" s="8"/>
    </row>
    <row r="223" spans="3:8" ht="17.25" x14ac:dyDescent="0.25">
      <c r="C223" s="6"/>
      <c r="D223" s="7"/>
      <c r="E223" s="8"/>
    </row>
    <row r="224" spans="3:8" ht="17.25" x14ac:dyDescent="0.25">
      <c r="C224" s="6"/>
      <c r="D224" s="7"/>
      <c r="E224" s="8"/>
    </row>
    <row r="225" spans="3:5" ht="17.25" x14ac:dyDescent="0.25">
      <c r="C225" s="6"/>
      <c r="D225" s="7"/>
      <c r="E225" s="8"/>
    </row>
    <row r="226" spans="3:5" ht="17.25" x14ac:dyDescent="0.25">
      <c r="C226" s="6"/>
      <c r="D226" s="7"/>
      <c r="E226" s="8"/>
    </row>
    <row r="227" spans="3:5" ht="17.25" x14ac:dyDescent="0.25">
      <c r="C227" s="6"/>
      <c r="D227" s="7"/>
      <c r="E227" s="8"/>
    </row>
    <row r="228" spans="3:5" ht="17.25" x14ac:dyDescent="0.25">
      <c r="C228" s="6"/>
      <c r="D228" s="7"/>
      <c r="E228" s="8"/>
    </row>
    <row r="229" spans="3:5" ht="17.25" x14ac:dyDescent="0.25">
      <c r="C229" s="6"/>
      <c r="D229" s="7"/>
      <c r="E229" s="8"/>
    </row>
    <row r="230" spans="3:5" ht="17.25" x14ac:dyDescent="0.25">
      <c r="C230" s="6"/>
      <c r="D230" s="7"/>
      <c r="E230" s="8"/>
    </row>
    <row r="231" spans="3:5" ht="17.25" x14ac:dyDescent="0.25">
      <c r="C231" s="6"/>
      <c r="D231" s="7"/>
      <c r="E231" s="8"/>
    </row>
    <row r="232" spans="3:5" ht="17.25" x14ac:dyDescent="0.25">
      <c r="C232" s="6"/>
      <c r="D232" s="7"/>
      <c r="E232" s="8"/>
    </row>
    <row r="233" spans="3:5" ht="17.25" x14ac:dyDescent="0.25">
      <c r="C233" s="6"/>
      <c r="D233" s="7"/>
      <c r="E233" s="8"/>
    </row>
    <row r="234" spans="3:5" ht="17.25" x14ac:dyDescent="0.25">
      <c r="C234" s="6"/>
      <c r="D234" s="7"/>
      <c r="E234" s="8"/>
    </row>
    <row r="235" spans="3:5" ht="17.25" x14ac:dyDescent="0.25">
      <c r="C235" s="6"/>
      <c r="D235" s="7"/>
      <c r="E235" s="8"/>
    </row>
    <row r="236" spans="3:5" ht="17.25" x14ac:dyDescent="0.25">
      <c r="C236" s="6"/>
      <c r="D236" s="7"/>
      <c r="E236" s="8"/>
    </row>
    <row r="237" spans="3:5" ht="17.25" x14ac:dyDescent="0.25">
      <c r="C237" s="6"/>
      <c r="D237" s="7"/>
      <c r="E237" s="8"/>
    </row>
    <row r="238" spans="3:5" ht="17.25" x14ac:dyDescent="0.25">
      <c r="C238" s="9"/>
      <c r="D238" s="10"/>
      <c r="E238" s="11"/>
    </row>
    <row r="239" spans="3:5" ht="17.25" x14ac:dyDescent="0.25">
      <c r="C239" s="9"/>
      <c r="D239" s="10"/>
      <c r="E239" s="11"/>
    </row>
    <row r="240" spans="3:5" ht="17.25" x14ac:dyDescent="0.25">
      <c r="C240" s="9"/>
      <c r="D240" s="10"/>
      <c r="E240" s="11"/>
    </row>
    <row r="241" spans="3:5" ht="17.25" x14ac:dyDescent="0.25">
      <c r="C241" s="9"/>
      <c r="D241" s="10"/>
      <c r="E241" s="11"/>
    </row>
    <row r="242" spans="3:5" ht="17.25" x14ac:dyDescent="0.25">
      <c r="C242" s="9"/>
      <c r="D242" s="10"/>
      <c r="E242" s="11"/>
    </row>
    <row r="243" spans="3:5" ht="17.25" x14ac:dyDescent="0.25">
      <c r="C243" s="9"/>
      <c r="D243" s="10"/>
      <c r="E243" s="11"/>
    </row>
    <row r="244" spans="3:5" ht="17.25" x14ac:dyDescent="0.25">
      <c r="C244" s="9"/>
      <c r="D244" s="10"/>
      <c r="E244" s="11"/>
    </row>
    <row r="245" spans="3:5" ht="17.25" x14ac:dyDescent="0.25">
      <c r="C245" s="9"/>
      <c r="D245" s="10"/>
      <c r="E245" s="11"/>
    </row>
    <row r="246" spans="3:5" ht="17.25" x14ac:dyDescent="0.25">
      <c r="C246" s="9"/>
      <c r="D246" s="10"/>
      <c r="E246" s="11"/>
    </row>
    <row r="247" spans="3:5" ht="17.25" x14ac:dyDescent="0.25">
      <c r="C247" s="9"/>
      <c r="D247" s="10"/>
      <c r="E247" s="11"/>
    </row>
    <row r="248" spans="3:5" ht="17.25" x14ac:dyDescent="0.25">
      <c r="C248" s="9"/>
      <c r="D248" s="10"/>
      <c r="E248" s="11"/>
    </row>
    <row r="249" spans="3:5" ht="17.25" x14ac:dyDescent="0.25">
      <c r="C249" s="9"/>
      <c r="D249" s="10"/>
      <c r="E249" s="11"/>
    </row>
    <row r="250" spans="3:5" ht="17.25" x14ac:dyDescent="0.25">
      <c r="C250" s="9"/>
      <c r="D250" s="10"/>
      <c r="E250" s="11"/>
    </row>
    <row r="251" spans="3:5" ht="17.25" x14ac:dyDescent="0.25">
      <c r="C251" s="9"/>
      <c r="D251" s="10"/>
      <c r="E251" s="11"/>
    </row>
    <row r="252" spans="3:5" ht="17.25" x14ac:dyDescent="0.25">
      <c r="C252" s="9"/>
      <c r="D252" s="10"/>
      <c r="E252" s="11"/>
    </row>
    <row r="253" spans="3:5" ht="17.25" x14ac:dyDescent="0.25">
      <c r="C253" s="9"/>
      <c r="D253" s="10"/>
      <c r="E253" s="11"/>
    </row>
    <row r="254" spans="3:5" ht="17.25" x14ac:dyDescent="0.25">
      <c r="C254" s="9"/>
      <c r="D254" s="10"/>
      <c r="E254" s="11"/>
    </row>
    <row r="255" spans="3:5" ht="17.25" x14ac:dyDescent="0.25">
      <c r="C255" s="9"/>
      <c r="D255" s="10"/>
      <c r="E255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tester C</vt:lpstr>
      <vt:lpstr>tester A</vt:lpstr>
      <vt:lpstr>乘DC</vt:lpstr>
      <vt:lpstr>乘DC (2)</vt:lpstr>
      <vt:lpstr>EGA (mmol per L)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2018-12-05T06:47:41Z</dcterms:modified>
</cp:coreProperties>
</file>