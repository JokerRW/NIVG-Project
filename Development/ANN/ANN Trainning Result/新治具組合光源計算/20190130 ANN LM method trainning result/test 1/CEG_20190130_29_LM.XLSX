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eng\Documents\Python Scripts\python_projects\(1) NIVG Project\ANN\ANN Trainning Result\20190130 ANN LM method trainning result\"/>
    </mc:Choice>
  </mc:AlternateContent>
  <bookViews>
    <workbookView xWindow="600" yWindow="285" windowWidth="19395" windowHeight="6300"/>
  </bookViews>
  <sheets>
    <sheet name="29  feature-with Elky" sheetId="19" r:id="rId1"/>
    <sheet name="工作表1" sheetId="7" r:id="rId2"/>
    <sheet name="工作表2" sheetId="8" r:id="rId3"/>
  </sheets>
  <externalReferences>
    <externalReference r:id="rId4"/>
  </externalReferences>
  <calcPr calcId="162913"/>
</workbook>
</file>

<file path=xl/calcChain.xml><?xml version="1.0" encoding="utf-8"?>
<calcChain xmlns="http://schemas.openxmlformats.org/spreadsheetml/2006/main">
  <c r="F41" i="19" l="1"/>
  <c r="C39" i="19" l="1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T38" i="19" l="1"/>
  <c r="A39" i="19" l="1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204" i="19"/>
  <c r="A205" i="19"/>
  <c r="A206" i="19"/>
  <c r="A207" i="19"/>
  <c r="A208" i="19"/>
  <c r="A209" i="19"/>
  <c r="A210" i="19"/>
  <c r="A211" i="19"/>
  <c r="A212" i="19"/>
  <c r="A213" i="19"/>
  <c r="A214" i="19"/>
  <c r="A215" i="19"/>
  <c r="A216" i="19"/>
  <c r="A217" i="19"/>
  <c r="A218" i="19"/>
  <c r="A219" i="19"/>
  <c r="A220" i="19"/>
  <c r="A221" i="19"/>
  <c r="A222" i="19"/>
  <c r="A223" i="19"/>
  <c r="A224" i="19"/>
  <c r="A225" i="19"/>
  <c r="A226" i="19"/>
  <c r="A227" i="19"/>
  <c r="A228" i="19"/>
  <c r="A229" i="19"/>
  <c r="A230" i="19"/>
  <c r="A231" i="19"/>
  <c r="A232" i="19"/>
  <c r="A233" i="19"/>
  <c r="A234" i="19"/>
  <c r="A235" i="19"/>
  <c r="A236" i="19"/>
  <c r="A237" i="19"/>
  <c r="A238" i="19"/>
  <c r="A239" i="19"/>
  <c r="A240" i="19"/>
  <c r="A241" i="19"/>
  <c r="A242" i="19"/>
  <c r="A243" i="19"/>
  <c r="A244" i="19"/>
  <c r="A245" i="19"/>
  <c r="A246" i="19"/>
  <c r="A247" i="19"/>
  <c r="A248" i="19"/>
  <c r="A249" i="19"/>
  <c r="A250" i="19"/>
  <c r="A251" i="19"/>
  <c r="A252" i="19"/>
  <c r="A253" i="19"/>
  <c r="A254" i="19"/>
  <c r="A255" i="19"/>
  <c r="A256" i="19"/>
  <c r="A257" i="19"/>
  <c r="A258" i="19"/>
  <c r="A259" i="19"/>
  <c r="A260" i="19"/>
  <c r="A261" i="19"/>
  <c r="A262" i="19"/>
  <c r="A263" i="19"/>
  <c r="A264" i="19"/>
  <c r="A265" i="19"/>
  <c r="A266" i="19"/>
  <c r="A267" i="19"/>
  <c r="A268" i="19"/>
  <c r="A269" i="19"/>
  <c r="A270" i="19"/>
  <c r="A271" i="19"/>
  <c r="A272" i="19"/>
  <c r="A273" i="19"/>
  <c r="A274" i="19"/>
  <c r="A275" i="19"/>
  <c r="A276" i="19"/>
  <c r="A277" i="19"/>
  <c r="A278" i="19"/>
  <c r="A279" i="19"/>
  <c r="A280" i="19"/>
  <c r="A281" i="19"/>
  <c r="A282" i="19"/>
  <c r="A283" i="19"/>
  <c r="A284" i="19"/>
  <c r="A285" i="19"/>
  <c r="A286" i="19"/>
  <c r="A287" i="19"/>
  <c r="A288" i="19"/>
  <c r="A289" i="19"/>
  <c r="A290" i="19"/>
  <c r="A291" i="19"/>
  <c r="A292" i="19"/>
  <c r="A293" i="19"/>
  <c r="A294" i="19"/>
  <c r="A295" i="19"/>
  <c r="A296" i="19"/>
  <c r="A297" i="19"/>
  <c r="A298" i="19"/>
  <c r="A299" i="19"/>
  <c r="A300" i="19"/>
  <c r="A301" i="19"/>
  <c r="A302" i="19"/>
  <c r="A303" i="19"/>
  <c r="A304" i="19"/>
  <c r="A305" i="19"/>
  <c r="A306" i="19"/>
  <c r="A307" i="19"/>
  <c r="A308" i="19"/>
  <c r="A309" i="19"/>
  <c r="A310" i="19"/>
  <c r="A311" i="19"/>
  <c r="A312" i="19"/>
  <c r="A313" i="19"/>
  <c r="A314" i="19"/>
  <c r="G46" i="19" l="1"/>
  <c r="G45" i="19"/>
  <c r="G44" i="19"/>
  <c r="G43" i="19"/>
  <c r="G42" i="19"/>
  <c r="G41" i="19"/>
  <c r="G40" i="19"/>
  <c r="G39" i="19"/>
  <c r="A38" i="19"/>
  <c r="C38" i="19" s="1"/>
  <c r="S38" i="19" l="1"/>
  <c r="S39" i="19" s="1"/>
  <c r="R38" i="19"/>
  <c r="R39" i="19" s="1"/>
  <c r="G38" i="19"/>
  <c r="T39" i="19" l="1"/>
</calcChain>
</file>

<file path=xl/sharedStrings.xml><?xml version="1.0" encoding="utf-8"?>
<sst xmlns="http://schemas.openxmlformats.org/spreadsheetml/2006/main" count="239" uniqueCount="49">
  <si>
    <t>testing</t>
    <phoneticPr fontId="1" type="noConversion"/>
  </si>
  <si>
    <t>lower zone D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</si>
  <si>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</si>
  <si>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</si>
  <si>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</si>
  <si>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</si>
  <si>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</si>
  <si>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</si>
  <si>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</si>
  <si>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</si>
  <si>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</si>
  <si>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</si>
  <si>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</si>
  <si>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</si>
  <si>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lower zone D</t>
    <phoneticPr fontId="1" type="noConversion"/>
  </si>
  <si>
    <t>upper zone E</t>
    <phoneticPr fontId="1" type="noConversion"/>
  </si>
  <si>
    <t>(2)</t>
    <phoneticPr fontId="1" type="noConversion"/>
  </si>
  <si>
    <t>(3)</t>
    <phoneticPr fontId="1" type="noConversion"/>
  </si>
  <si>
    <t>RW</t>
  </si>
  <si>
    <t>(1)</t>
    <phoneticPr fontId="1" type="noConversion"/>
  </si>
  <si>
    <t>Ryan</t>
  </si>
  <si>
    <t>Silver</t>
  </si>
  <si>
    <t>Tester B</t>
  </si>
  <si>
    <t>Roger</t>
  </si>
  <si>
    <t>Tester A</t>
  </si>
  <si>
    <t>Redick</t>
  </si>
  <si>
    <t>Nick</t>
  </si>
  <si>
    <t>Alex</t>
  </si>
  <si>
    <t>Gary</t>
  </si>
  <si>
    <t>Tester E</t>
  </si>
  <si>
    <t>Tester D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</si>
  <si>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</si>
  <si>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</si>
  <si>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</si>
  <si>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</si>
  <si>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</si>
  <si>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</si>
  <si>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</si>
  <si>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</si>
  <si>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</si>
  <si>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Center</t>
    <phoneticPr fontId="1" type="noConversion"/>
  </si>
  <si>
    <t>A</t>
    <phoneticPr fontId="1" type="noConversion"/>
  </si>
  <si>
    <t>B</t>
    <phoneticPr fontId="1" type="noConversion"/>
  </si>
  <si>
    <t>total</t>
    <phoneticPr fontId="1" type="noConversion"/>
  </si>
  <si>
    <t>Count</t>
    <phoneticPr fontId="1" type="noConversion"/>
  </si>
  <si>
    <t>Percentage</t>
    <phoneticPr fontId="1" type="noConversion"/>
  </si>
  <si>
    <t>Tester M</t>
  </si>
  <si>
    <t>Nien</t>
  </si>
  <si>
    <t>Helen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</si>
</sst>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%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Arial Unicode MS"/>
      <family val="2"/>
      <charset val="136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8" xfId="1" applyNumberFormat="1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5843904845946"/>
          <c:y val="3.6701493872255471E-2"/>
          <c:w val="0.81924254043858213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2E-41D5-A12F-36DDE641B80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12E-41D5-A12F-36DDE641B80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12E-41D5-A12F-36DDE641B80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2E-41D5-A12F-36DDE641B80E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12E-41D5-A12F-36DDE641B80E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12E-41D5-A12F-36DDE641B80E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12E-41D5-A12F-36DDE641B80E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A12E-41D5-A12F-36DDE641B80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12E-41D5-A12F-36DDE641B80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A12E-41D5-A12F-36DDE641B80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A12E-41D5-A12F-36DDE641B80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A12E-41D5-A12F-36DDE641B80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12E-41D5-A12F-36DDE641B80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A12E-41D5-A12F-36DDE641B80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A12E-41D5-A12F-36DDE641B80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12E-41D5-A12F-36DDE641B80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A12E-41D5-A12F-36DDE641B80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12E-41D5-A12F-36DDE641B80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12E-41D5-A12F-36DDE641B80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12E-41D5-A12F-36DDE641B80E}"/>
            </c:ext>
          </c:extLst>
        </c:ser>
        <c:ser>
          <c:idx val="6"/>
          <c:order val="6"/>
          <c:tx>
            <c:strRef>
              <c:f>'29  feature-with Elky'!$E$37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Elky'!$E$38:$E$500</c:f>
              <c:numCache>
                <c:formatCode>General</c:formatCode>
                <c:ptCount val="463"/>
                <c:pt idx="0">
                  <c:v>144.42642523641899</c:v>
                </c:pt>
                <c:pt idx="1">
                  <c:v>147.25103824773399</c:v>
                </c:pt>
                <c:pt idx="2">
                  <c:v>152.238101102825</c:v>
                </c:pt>
                <c:pt idx="3">
                  <c:v>149.19283943227001</c:v>
                </c:pt>
                <c:pt idx="4">
                  <c:v>147.250612568463</c:v>
                </c:pt>
                <c:pt idx="5">
                  <c:v>151.988286988395</c:v>
                </c:pt>
                <c:pt idx="6">
                  <c:v>131.57933380659799</c:v>
                </c:pt>
                <c:pt idx="7">
                  <c:v>162.01407683845099</c:v>
                </c:pt>
                <c:pt idx="8">
                  <c:v>162.82607385512199</c:v>
                </c:pt>
                <c:pt idx="9">
                  <c:v>114.126300984458</c:v>
                </c:pt>
                <c:pt idx="10">
                  <c:v>113.861382252998</c:v>
                </c:pt>
                <c:pt idx="11">
                  <c:v>104.38670290538001</c:v>
                </c:pt>
                <c:pt idx="12">
                  <c:v>104.620001240433</c:v>
                </c:pt>
                <c:pt idx="13">
                  <c:v>112.995454272098</c:v>
                </c:pt>
                <c:pt idx="14">
                  <c:v>104.080605940754</c:v>
                </c:pt>
                <c:pt idx="15">
                  <c:v>111.02048348741501</c:v>
                </c:pt>
                <c:pt idx="16">
                  <c:v>92.514621455079805</c:v>
                </c:pt>
                <c:pt idx="17">
                  <c:v>149.19157562910499</c:v>
                </c:pt>
                <c:pt idx="18">
                  <c:v>116.67379997188</c:v>
                </c:pt>
                <c:pt idx="19">
                  <c:v>104.391981290121</c:v>
                </c:pt>
                <c:pt idx="20">
                  <c:v>101.68800014083</c:v>
                </c:pt>
                <c:pt idx="21">
                  <c:v>110.894758184775</c:v>
                </c:pt>
                <c:pt idx="22">
                  <c:v>100.913098785681</c:v>
                </c:pt>
                <c:pt idx="23">
                  <c:v>107.39480867998</c:v>
                </c:pt>
                <c:pt idx="24">
                  <c:v>205.74113163051399</c:v>
                </c:pt>
                <c:pt idx="25">
                  <c:v>200.70546013778599</c:v>
                </c:pt>
                <c:pt idx="26">
                  <c:v>215.335456215383</c:v>
                </c:pt>
                <c:pt idx="27">
                  <c:v>191.959770539413</c:v>
                </c:pt>
                <c:pt idx="28">
                  <c:v>384.775478967786</c:v>
                </c:pt>
                <c:pt idx="29">
                  <c:v>107.546552356649</c:v>
                </c:pt>
                <c:pt idx="30">
                  <c:v>146.40424964211601</c:v>
                </c:pt>
                <c:pt idx="31">
                  <c:v>136.31958991478399</c:v>
                </c:pt>
                <c:pt idx="32">
                  <c:v>131.44441183578101</c:v>
                </c:pt>
                <c:pt idx="33">
                  <c:v>109.751203419212</c:v>
                </c:pt>
                <c:pt idx="34">
                  <c:v>137.93118411125801</c:v>
                </c:pt>
                <c:pt idx="35">
                  <c:v>141.92816421820899</c:v>
                </c:pt>
                <c:pt idx="36">
                  <c:v>126.38144857791001</c:v>
                </c:pt>
                <c:pt idx="37">
                  <c:v>110.80140447146501</c:v>
                </c:pt>
                <c:pt idx="38">
                  <c:v>136.887576916955</c:v>
                </c:pt>
                <c:pt idx="39">
                  <c:v>144.33487401807099</c:v>
                </c:pt>
                <c:pt idx="40">
                  <c:v>130.773126932308</c:v>
                </c:pt>
                <c:pt idx="41">
                  <c:v>244.73454822472601</c:v>
                </c:pt>
                <c:pt idx="42">
                  <c:v>221.50732715265801</c:v>
                </c:pt>
                <c:pt idx="43">
                  <c:v>218.76939399790601</c:v>
                </c:pt>
                <c:pt idx="44">
                  <c:v>230.93256910952101</c:v>
                </c:pt>
                <c:pt idx="45">
                  <c:v>202.992533958737</c:v>
                </c:pt>
                <c:pt idx="46">
                  <c:v>217.73959491082201</c:v>
                </c:pt>
                <c:pt idx="47">
                  <c:v>187.637116144798</c:v>
                </c:pt>
                <c:pt idx="48">
                  <c:v>102.442002301675</c:v>
                </c:pt>
                <c:pt idx="49">
                  <c:v>127.183386653282</c:v>
                </c:pt>
                <c:pt idx="50">
                  <c:v>121.42219965284001</c:v>
                </c:pt>
                <c:pt idx="51">
                  <c:v>118.721374005977</c:v>
                </c:pt>
                <c:pt idx="52">
                  <c:v>104.087719452581</c:v>
                </c:pt>
                <c:pt idx="53">
                  <c:v>143.27446361485201</c:v>
                </c:pt>
                <c:pt idx="54">
                  <c:v>118.956509477371</c:v>
                </c:pt>
                <c:pt idx="55">
                  <c:v>132.537871979735</c:v>
                </c:pt>
                <c:pt idx="56">
                  <c:v>108.11480079190299</c:v>
                </c:pt>
                <c:pt idx="57">
                  <c:v>106.03256476323099</c:v>
                </c:pt>
                <c:pt idx="58">
                  <c:v>107.80379139870401</c:v>
                </c:pt>
                <c:pt idx="59">
                  <c:v>109.25572651925199</c:v>
                </c:pt>
                <c:pt idx="60">
                  <c:v>111.04552416993999</c:v>
                </c:pt>
                <c:pt idx="61">
                  <c:v>105.15905562136901</c:v>
                </c:pt>
                <c:pt idx="62">
                  <c:v>106.25978364374799</c:v>
                </c:pt>
                <c:pt idx="63">
                  <c:v>105.785695496617</c:v>
                </c:pt>
                <c:pt idx="64">
                  <c:v>207.03040153154899</c:v>
                </c:pt>
                <c:pt idx="65">
                  <c:v>172.49695216430499</c:v>
                </c:pt>
                <c:pt idx="66">
                  <c:v>216.403563061619</c:v>
                </c:pt>
                <c:pt idx="67">
                  <c:v>198.68610107263399</c:v>
                </c:pt>
                <c:pt idx="68">
                  <c:v>199.87425891342201</c:v>
                </c:pt>
                <c:pt idx="69">
                  <c:v>210.57475368798001</c:v>
                </c:pt>
                <c:pt idx="70">
                  <c:v>218.942108339578</c:v>
                </c:pt>
                <c:pt idx="71">
                  <c:v>240.19293075717201</c:v>
                </c:pt>
                <c:pt idx="72">
                  <c:v>252.40019368523801</c:v>
                </c:pt>
                <c:pt idx="73">
                  <c:v>256.31944227778501</c:v>
                </c:pt>
                <c:pt idx="74">
                  <c:v>192.57514381115999</c:v>
                </c:pt>
                <c:pt idx="75">
                  <c:v>218.346698904796</c:v>
                </c:pt>
                <c:pt idx="76">
                  <c:v>199.396071238123</c:v>
                </c:pt>
                <c:pt idx="77">
                  <c:v>209.42924406871001</c:v>
                </c:pt>
                <c:pt idx="78">
                  <c:v>183.82913316484601</c:v>
                </c:pt>
                <c:pt idx="79">
                  <c:v>224.077786999235</c:v>
                </c:pt>
                <c:pt idx="80">
                  <c:v>257.46604925254798</c:v>
                </c:pt>
                <c:pt idx="81">
                  <c:v>248.10290187427901</c:v>
                </c:pt>
                <c:pt idx="82">
                  <c:v>225.710934783038</c:v>
                </c:pt>
                <c:pt idx="83">
                  <c:v>233.11614984434601</c:v>
                </c:pt>
                <c:pt idx="84">
                  <c:v>242.17794964353601</c:v>
                </c:pt>
                <c:pt idx="85">
                  <c:v>79.143196233744504</c:v>
                </c:pt>
                <c:pt idx="86">
                  <c:v>83.126235973753495</c:v>
                </c:pt>
                <c:pt idx="87">
                  <c:v>81.887900109039293</c:v>
                </c:pt>
                <c:pt idx="88">
                  <c:v>64.532525821496407</c:v>
                </c:pt>
                <c:pt idx="89">
                  <c:v>113.877941336695</c:v>
                </c:pt>
                <c:pt idx="90">
                  <c:v>83.588504083877098</c:v>
                </c:pt>
                <c:pt idx="91">
                  <c:v>90.539272639079996</c:v>
                </c:pt>
                <c:pt idx="92">
                  <c:v>239.788565144665</c:v>
                </c:pt>
                <c:pt idx="93">
                  <c:v>264.72609725449502</c:v>
                </c:pt>
                <c:pt idx="94">
                  <c:v>222.433789502005</c:v>
                </c:pt>
                <c:pt idx="95">
                  <c:v>258.04616773253599</c:v>
                </c:pt>
                <c:pt idx="96">
                  <c:v>244.58514827997899</c:v>
                </c:pt>
                <c:pt idx="97">
                  <c:v>262.78456914105902</c:v>
                </c:pt>
                <c:pt idx="98">
                  <c:v>114.502633853798</c:v>
                </c:pt>
                <c:pt idx="99">
                  <c:v>130.24386151839499</c:v>
                </c:pt>
                <c:pt idx="100">
                  <c:v>139.69238625106601</c:v>
                </c:pt>
                <c:pt idx="101">
                  <c:v>118.896880281393</c:v>
                </c:pt>
                <c:pt idx="102">
                  <c:v>107.369878092823</c:v>
                </c:pt>
                <c:pt idx="103">
                  <c:v>127.106363493432</c:v>
                </c:pt>
                <c:pt idx="104">
                  <c:v>124.13501201968501</c:v>
                </c:pt>
                <c:pt idx="105">
                  <c:v>111.896045563874</c:v>
                </c:pt>
                <c:pt idx="106">
                  <c:v>127.28453434966799</c:v>
                </c:pt>
                <c:pt idx="107">
                  <c:v>132.18417181798401</c:v>
                </c:pt>
                <c:pt idx="108">
                  <c:v>130.94126126281699</c:v>
                </c:pt>
                <c:pt idx="109">
                  <c:v>136.254185745044</c:v>
                </c:pt>
                <c:pt idx="110">
                  <c:v>177.14675585069</c:v>
                </c:pt>
                <c:pt idx="111">
                  <c:v>128.689772831856</c:v>
                </c:pt>
                <c:pt idx="112">
                  <c:v>120.68293127599</c:v>
                </c:pt>
                <c:pt idx="113">
                  <c:v>117.334025212169</c:v>
                </c:pt>
                <c:pt idx="114">
                  <c:v>137.08134907055401</c:v>
                </c:pt>
                <c:pt idx="115">
                  <c:v>126.88459904832</c:v>
                </c:pt>
                <c:pt idx="116">
                  <c:v>126.053346671299</c:v>
                </c:pt>
                <c:pt idx="117">
                  <c:v>120.119349175818</c:v>
                </c:pt>
                <c:pt idx="118">
                  <c:v>156.57129028728201</c:v>
                </c:pt>
                <c:pt idx="119">
                  <c:v>134.33736520836399</c:v>
                </c:pt>
                <c:pt idx="120">
                  <c:v>125.229049668945</c:v>
                </c:pt>
                <c:pt idx="121">
                  <c:v>129.649077470023</c:v>
                </c:pt>
                <c:pt idx="122">
                  <c:v>121.248465784545</c:v>
                </c:pt>
                <c:pt idx="123">
                  <c:v>113.396554086142</c:v>
                </c:pt>
                <c:pt idx="124">
                  <c:v>140.43119308202799</c:v>
                </c:pt>
                <c:pt idx="125">
                  <c:v>125.28230081859699</c:v>
                </c:pt>
                <c:pt idx="126">
                  <c:v>148.23054686503301</c:v>
                </c:pt>
                <c:pt idx="127">
                  <c:v>126.53253815920699</c:v>
                </c:pt>
                <c:pt idx="128">
                  <c:v>141.002968795763</c:v>
                </c:pt>
                <c:pt idx="129">
                  <c:v>106.14384588985</c:v>
                </c:pt>
                <c:pt idx="130">
                  <c:v>108.354047777112</c:v>
                </c:pt>
                <c:pt idx="131">
                  <c:v>123.64979013138</c:v>
                </c:pt>
                <c:pt idx="132">
                  <c:v>97.051292426726803</c:v>
                </c:pt>
                <c:pt idx="133">
                  <c:v>106.08288057390899</c:v>
                </c:pt>
                <c:pt idx="134">
                  <c:v>92.298867555660394</c:v>
                </c:pt>
                <c:pt idx="135">
                  <c:v>119.728124267838</c:v>
                </c:pt>
                <c:pt idx="136">
                  <c:v>89.414871292591499</c:v>
                </c:pt>
                <c:pt idx="137">
                  <c:v>102.604334060563</c:v>
                </c:pt>
                <c:pt idx="138">
                  <c:v>102.172954669338</c:v>
                </c:pt>
                <c:pt idx="139">
                  <c:v>105.565930839727</c:v>
                </c:pt>
                <c:pt idx="140">
                  <c:v>144.21007081220401</c:v>
                </c:pt>
                <c:pt idx="141">
                  <c:v>131.008754834858</c:v>
                </c:pt>
                <c:pt idx="142">
                  <c:v>122.459267762812</c:v>
                </c:pt>
                <c:pt idx="143">
                  <c:v>116.18563268110501</c:v>
                </c:pt>
                <c:pt idx="144">
                  <c:v>105.99331288342</c:v>
                </c:pt>
                <c:pt idx="145">
                  <c:v>110.94559858770501</c:v>
                </c:pt>
                <c:pt idx="146">
                  <c:v>113.054555898828</c:v>
                </c:pt>
                <c:pt idx="147">
                  <c:v>136.07074247286599</c:v>
                </c:pt>
                <c:pt idx="148">
                  <c:v>103.77208177742401</c:v>
                </c:pt>
                <c:pt idx="149">
                  <c:v>129.51665929618201</c:v>
                </c:pt>
                <c:pt idx="150">
                  <c:v>129.045074026555</c:v>
                </c:pt>
                <c:pt idx="151">
                  <c:v>122.537869682197</c:v>
                </c:pt>
                <c:pt idx="152">
                  <c:v>138.022415024872</c:v>
                </c:pt>
                <c:pt idx="153">
                  <c:v>117.488801989474</c:v>
                </c:pt>
                <c:pt idx="154">
                  <c:v>122.89946425138901</c:v>
                </c:pt>
                <c:pt idx="155">
                  <c:v>110.63200999781201</c:v>
                </c:pt>
                <c:pt idx="156">
                  <c:v>97.677315481233407</c:v>
                </c:pt>
                <c:pt idx="157">
                  <c:v>89.189755054086106</c:v>
                </c:pt>
                <c:pt idx="158">
                  <c:v>76.689025594771394</c:v>
                </c:pt>
                <c:pt idx="159">
                  <c:v>123.509688684853</c:v>
                </c:pt>
                <c:pt idx="160">
                  <c:v>122.30246773011901</c:v>
                </c:pt>
                <c:pt idx="161">
                  <c:v>107.435278446189</c:v>
                </c:pt>
                <c:pt idx="162">
                  <c:v>119.820734974568</c:v>
                </c:pt>
                <c:pt idx="163">
                  <c:v>114.988947304845</c:v>
                </c:pt>
                <c:pt idx="164">
                  <c:v>124.521057747743</c:v>
                </c:pt>
                <c:pt idx="165">
                  <c:v>102.290672619611</c:v>
                </c:pt>
                <c:pt idx="166">
                  <c:v>103.059588467845</c:v>
                </c:pt>
                <c:pt idx="167">
                  <c:v>102.115291317097</c:v>
                </c:pt>
                <c:pt idx="168">
                  <c:v>114.661672368148</c:v>
                </c:pt>
                <c:pt idx="169">
                  <c:v>132.34712251951299</c:v>
                </c:pt>
                <c:pt idx="170">
                  <c:v>126.061835329422</c:v>
                </c:pt>
                <c:pt idx="171">
                  <c:v>129.30120262196601</c:v>
                </c:pt>
                <c:pt idx="172">
                  <c:v>127.852669579154</c:v>
                </c:pt>
                <c:pt idx="173">
                  <c:v>129.94430858793501</c:v>
                </c:pt>
                <c:pt idx="174">
                  <c:v>124.450740520563</c:v>
                </c:pt>
                <c:pt idx="175">
                  <c:v>276.45197358277801</c:v>
                </c:pt>
                <c:pt idx="176">
                  <c:v>288.03657825141801</c:v>
                </c:pt>
                <c:pt idx="177">
                  <c:v>388.13193057231302</c:v>
                </c:pt>
                <c:pt idx="178">
                  <c:v>290.27404794890202</c:v>
                </c:pt>
                <c:pt idx="179">
                  <c:v>275.29520163535898</c:v>
                </c:pt>
                <c:pt idx="180">
                  <c:v>283.16404601513301</c:v>
                </c:pt>
                <c:pt idx="181">
                  <c:v>262.73257310409002</c:v>
                </c:pt>
                <c:pt idx="182">
                  <c:v>103.26076657143101</c:v>
                </c:pt>
                <c:pt idx="183">
                  <c:v>140.133776589402</c:v>
                </c:pt>
                <c:pt idx="184">
                  <c:v>122.938109608243</c:v>
                </c:pt>
                <c:pt idx="185">
                  <c:v>125.42545478645</c:v>
                </c:pt>
                <c:pt idx="186">
                  <c:v>139.574117135167</c:v>
                </c:pt>
                <c:pt idx="187">
                  <c:v>118.95779319397499</c:v>
                </c:pt>
                <c:pt idx="188">
                  <c:v>117.180166240961</c:v>
                </c:pt>
                <c:pt idx="189">
                  <c:v>90.811657940101597</c:v>
                </c:pt>
                <c:pt idx="190">
                  <c:v>108.384692446721</c:v>
                </c:pt>
                <c:pt idx="191">
                  <c:v>119.466045914934</c:v>
                </c:pt>
                <c:pt idx="192">
                  <c:v>101.794629778435</c:v>
                </c:pt>
                <c:pt idx="193">
                  <c:v>93.1362240572535</c:v>
                </c:pt>
                <c:pt idx="194">
                  <c:v>100.07951906574201</c:v>
                </c:pt>
                <c:pt idx="195">
                  <c:v>111.60818101685</c:v>
                </c:pt>
                <c:pt idx="196">
                  <c:v>130.39605685028201</c:v>
                </c:pt>
                <c:pt idx="197">
                  <c:v>86.152549519203205</c:v>
                </c:pt>
                <c:pt idx="198">
                  <c:v>107.281694553641</c:v>
                </c:pt>
                <c:pt idx="199">
                  <c:v>110.677359626845</c:v>
                </c:pt>
                <c:pt idx="200">
                  <c:v>112.16270521589701</c:v>
                </c:pt>
                <c:pt idx="201">
                  <c:v>113.745441416266</c:v>
                </c:pt>
                <c:pt idx="202">
                  <c:v>105.15738221753099</c:v>
                </c:pt>
                <c:pt idx="203">
                  <c:v>101.318371153898</c:v>
                </c:pt>
                <c:pt idx="204">
                  <c:v>123.125973997776</c:v>
                </c:pt>
                <c:pt idx="205">
                  <c:v>126.950149620677</c:v>
                </c:pt>
                <c:pt idx="206">
                  <c:v>93.833209651593904</c:v>
                </c:pt>
                <c:pt idx="207">
                  <c:v>123.8549097822</c:v>
                </c:pt>
                <c:pt idx="208">
                  <c:v>146.64129954898499</c:v>
                </c:pt>
                <c:pt idx="209">
                  <c:v>96.300446587162497</c:v>
                </c:pt>
                <c:pt idx="210">
                  <c:v>98.036473620270499</c:v>
                </c:pt>
                <c:pt idx="211">
                  <c:v>93.835135168510604</c:v>
                </c:pt>
                <c:pt idx="212">
                  <c:v>110.14368705335799</c:v>
                </c:pt>
                <c:pt idx="213">
                  <c:v>103.537812250881</c:v>
                </c:pt>
                <c:pt idx="214">
                  <c:v>98.762832169092405</c:v>
                </c:pt>
                <c:pt idx="215">
                  <c:v>100.614961179549</c:v>
                </c:pt>
                <c:pt idx="216">
                  <c:v>115.264143503206</c:v>
                </c:pt>
                <c:pt idx="217">
                  <c:v>112.70137158989399</c:v>
                </c:pt>
                <c:pt idx="218">
                  <c:v>121.613902907473</c:v>
                </c:pt>
                <c:pt idx="219">
                  <c:v>87.917525058209804</c:v>
                </c:pt>
                <c:pt idx="220">
                  <c:v>90.654428146244996</c:v>
                </c:pt>
                <c:pt idx="221">
                  <c:v>107.74479074911299</c:v>
                </c:pt>
                <c:pt idx="222">
                  <c:v>131.06541880486299</c:v>
                </c:pt>
                <c:pt idx="223">
                  <c:v>92.291106061407902</c:v>
                </c:pt>
                <c:pt idx="224">
                  <c:v>91.477898319759106</c:v>
                </c:pt>
                <c:pt idx="225">
                  <c:v>110.052393655871</c:v>
                </c:pt>
                <c:pt idx="226">
                  <c:v>129.02045522194501</c:v>
                </c:pt>
                <c:pt idx="227">
                  <c:v>102.77993003769301</c:v>
                </c:pt>
                <c:pt idx="228">
                  <c:v>123.916815511422</c:v>
                </c:pt>
                <c:pt idx="229">
                  <c:v>108.36844410101099</c:v>
                </c:pt>
                <c:pt idx="230">
                  <c:v>95.474731850235202</c:v>
                </c:pt>
                <c:pt idx="231">
                  <c:v>98.691209295933504</c:v>
                </c:pt>
                <c:pt idx="232">
                  <c:v>113.421633013639</c:v>
                </c:pt>
                <c:pt idx="233">
                  <c:v>108.959817327785</c:v>
                </c:pt>
                <c:pt idx="234">
                  <c:v>98.171612518034195</c:v>
                </c:pt>
                <c:pt idx="235">
                  <c:v>100.477219621629</c:v>
                </c:pt>
                <c:pt idx="236">
                  <c:v>140.58348553739199</c:v>
                </c:pt>
                <c:pt idx="237">
                  <c:v>118.010009635891</c:v>
                </c:pt>
                <c:pt idx="238">
                  <c:v>105.767716921553</c:v>
                </c:pt>
                <c:pt idx="239">
                  <c:v>110.837123414975</c:v>
                </c:pt>
                <c:pt idx="240">
                  <c:v>113.10954333685601</c:v>
                </c:pt>
                <c:pt idx="241">
                  <c:v>107.043646365814</c:v>
                </c:pt>
                <c:pt idx="242">
                  <c:v>104.288484805805</c:v>
                </c:pt>
                <c:pt idx="243">
                  <c:v>129.03217586570801</c:v>
                </c:pt>
                <c:pt idx="244">
                  <c:v>130.12618182845799</c:v>
                </c:pt>
                <c:pt idx="245">
                  <c:v>109.823861551384</c:v>
                </c:pt>
                <c:pt idx="246">
                  <c:v>96.238961233249</c:v>
                </c:pt>
                <c:pt idx="247">
                  <c:v>136.804138517219</c:v>
                </c:pt>
                <c:pt idx="248">
                  <c:v>126.395772755286</c:v>
                </c:pt>
                <c:pt idx="249">
                  <c:v>137.084687735872</c:v>
                </c:pt>
                <c:pt idx="250">
                  <c:v>98.876713985784605</c:v>
                </c:pt>
                <c:pt idx="251">
                  <c:v>113.694825201385</c:v>
                </c:pt>
                <c:pt idx="252">
                  <c:v>110.423129137635</c:v>
                </c:pt>
                <c:pt idx="253">
                  <c:v>88.273725179932001</c:v>
                </c:pt>
                <c:pt idx="254">
                  <c:v>96.250206574280597</c:v>
                </c:pt>
                <c:pt idx="255">
                  <c:v>102.52878343931</c:v>
                </c:pt>
                <c:pt idx="256">
                  <c:v>102.353041634292</c:v>
                </c:pt>
                <c:pt idx="257">
                  <c:v>107.152638817753</c:v>
                </c:pt>
                <c:pt idx="258">
                  <c:v>105.110473579847</c:v>
                </c:pt>
                <c:pt idx="259">
                  <c:v>121.72211959195501</c:v>
                </c:pt>
                <c:pt idx="260">
                  <c:v>87.574615287126306</c:v>
                </c:pt>
                <c:pt idx="261">
                  <c:v>84.554609978094405</c:v>
                </c:pt>
                <c:pt idx="262">
                  <c:v>130.368764330099</c:v>
                </c:pt>
                <c:pt idx="263">
                  <c:v>121.34965257777</c:v>
                </c:pt>
                <c:pt idx="264">
                  <c:v>108.652129132732</c:v>
                </c:pt>
                <c:pt idx="265">
                  <c:v>88.778905795535906</c:v>
                </c:pt>
                <c:pt idx="266">
                  <c:v>104.31473855266</c:v>
                </c:pt>
                <c:pt idx="267">
                  <c:v>107.62772449833</c:v>
                </c:pt>
                <c:pt idx="268">
                  <c:v>94.559595736468907</c:v>
                </c:pt>
                <c:pt idx="269">
                  <c:v>88.902397019741898</c:v>
                </c:pt>
                <c:pt idx="270">
                  <c:v>110.374211058814</c:v>
                </c:pt>
                <c:pt idx="271">
                  <c:v>141.09386621121101</c:v>
                </c:pt>
                <c:pt idx="272">
                  <c:v>116.13470686706501</c:v>
                </c:pt>
                <c:pt idx="273">
                  <c:v>88.247641094174398</c:v>
                </c:pt>
                <c:pt idx="274">
                  <c:v>164.22500687092599</c:v>
                </c:pt>
                <c:pt idx="275">
                  <c:v>152.30053967024401</c:v>
                </c:pt>
                <c:pt idx="276">
                  <c:v>103.864944861366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12E-41D5-A12F-36DDE641B80E}"/>
            </c:ext>
          </c:extLst>
        </c:ser>
        <c:ser>
          <c:idx val="7"/>
          <c:order val="7"/>
          <c:tx>
            <c:strRef>
              <c:f>'29  feature-with Elky'!$F$37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Elky'!$F$38:$F$500</c:f>
              <c:numCache>
                <c:formatCode>General</c:formatCode>
                <c:ptCount val="463"/>
                <c:pt idx="3">
                  <c:v>0.8954379448385732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12E-41D5-A12F-36DDE641B80E}"/>
            </c:ext>
          </c:extLst>
        </c:ser>
        <c:ser>
          <c:idx val="9"/>
          <c:order val="8"/>
          <c:tx>
            <c:strRef>
              <c:f>'29  feature-with Elky'!$H$37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12E-41D5-A12F-36DDE641B80E}"/>
            </c:ext>
          </c:extLst>
        </c:ser>
        <c:ser>
          <c:idx val="10"/>
          <c:order val="9"/>
          <c:tx>
            <c:strRef>
              <c:f>'29  feature-with Elky'!$I$37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12E-41D5-A12F-36DDE641B80E}"/>
            </c:ext>
          </c:extLst>
        </c:ser>
        <c:ser>
          <c:idx val="11"/>
          <c:order val="10"/>
          <c:tx>
            <c:strRef>
              <c:f>'29  feature-with Elky'!$J$37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12E-41D5-A12F-36DDE641B80E}"/>
            </c:ext>
          </c:extLst>
        </c:ser>
        <c:ser>
          <c:idx val="12"/>
          <c:order val="11"/>
          <c:tx>
            <c:strRef>
              <c:f>'29  feature-with Elky'!$K$37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12E-41D5-A12F-36DDE641B80E}"/>
            </c:ext>
          </c:extLst>
        </c:ser>
        <c:ser>
          <c:idx val="13"/>
          <c:order val="12"/>
          <c:tx>
            <c:strRef>
              <c:f>'29  feature-with Elky'!$L$37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12E-41D5-A12F-36DDE641B80E}"/>
            </c:ext>
          </c:extLst>
        </c:ser>
        <c:ser>
          <c:idx val="14"/>
          <c:order val="13"/>
          <c:tx>
            <c:strRef>
              <c:f>'29  feature-with Elky'!$M$37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12E-41D5-A12F-36DDE641B80E}"/>
            </c:ext>
          </c:extLst>
        </c:ser>
        <c:ser>
          <c:idx val="15"/>
          <c:order val="14"/>
          <c:tx>
            <c:strRef>
              <c:f>'29  feature-with Elky'!$N$37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12E-41D5-A12F-36DDE641B80E}"/>
            </c:ext>
          </c:extLst>
        </c:ser>
        <c:ser>
          <c:idx val="16"/>
          <c:order val="15"/>
          <c:tx>
            <c:strRef>
              <c:f>'29  feature-with Elky'!$O$37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12E-41D5-A12F-36DDE641B80E}"/>
            </c:ext>
          </c:extLst>
        </c:ser>
        <c:ser>
          <c:idx val="17"/>
          <c:order val="16"/>
          <c:tx>
            <c:strRef>
              <c:f>'29  feature-with Elky'!$P$37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12E-41D5-A12F-36DDE641B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8-469C-8BB4-BBB358C2508A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8-469C-8BB4-BBB358C2508A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8-469C-8BB4-BBB358C2508A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C8-469C-8BB4-BBB358C2508A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C8-469C-8BB4-BBB358C2508A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C8-469C-8BB4-BBB358C2508A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C8-469C-8BB4-BBB358C2508A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C8-469C-8BB4-BBB358C2508A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C8-469C-8BB4-BBB358C2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9-4286-850E-343A683ECB76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9-4286-850E-343A683ECB76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C9-4286-850E-343A683ECB76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C9-4286-850E-343A683ECB76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C9-4286-850E-343A683ECB76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C9-4286-850E-343A683ECB76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C9-4286-850E-343A683ECB76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C9-4286-850E-343A683ECB76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C9-4286-850E-343A683EC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37</xdr:row>
      <xdr:rowOff>71437</xdr:rowOff>
    </xdr:from>
    <xdr:to>
      <xdr:col>13</xdr:col>
      <xdr:colOff>595312</xdr:colOff>
      <xdr:row>59</xdr:row>
      <xdr:rowOff>208191</xdr:rowOff>
    </xdr:to>
    <xdr:grpSp>
      <xdr:nvGrpSpPr>
        <xdr:cNvPr id="2" name="群組 1"/>
        <xdr:cNvGrpSpPr/>
      </xdr:nvGrpSpPr>
      <xdr:grpSpPr>
        <a:xfrm>
          <a:off x="5441155" y="8001000"/>
          <a:ext cx="6465095" cy="4851629"/>
          <a:chOff x="12835411" y="240796"/>
          <a:chExt cx="7006849" cy="4947703"/>
        </a:xfrm>
      </xdr:grpSpPr>
      <xdr:graphicFrame macro="">
        <xdr:nvGraphicFramePr>
          <xdr:cNvPr id="3" name="圖表 2"/>
          <xdr:cNvGraphicFramePr/>
        </xdr:nvGraphicFramePr>
        <xdr:xfrm>
          <a:off x="12835411" y="240796"/>
          <a:ext cx="7006849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8193743" y="58916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8503197" y="1108704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464592" y="199246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801052" y="598496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412701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439310" y="3011762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440391" y="385503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9531</xdr:colOff>
      <xdr:row>2</xdr:row>
      <xdr:rowOff>61912</xdr:rowOff>
    </xdr:from>
    <xdr:to>
      <xdr:col>17</xdr:col>
      <xdr:colOff>571500</xdr:colOff>
      <xdr:row>18</xdr:row>
      <xdr:rowOff>19050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76200</xdr:rowOff>
    </xdr:from>
    <xdr:to>
      <xdr:col>13</xdr:col>
      <xdr:colOff>257169</xdr:colOff>
      <xdr:row>19</xdr:row>
      <xdr:rowOff>33338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bby.yen\AppData\Local\Microsoft\Windows\Temporary%20Internet%20Files\Content.Outlook\ZGCYMY93\error%20grid%20analysis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dL (2)"/>
      <sheetName val="mgdL"/>
      <sheetName val="工作表2"/>
      <sheetName val="工作表3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  <cell r="C3">
            <v>0</v>
          </cell>
          <cell r="F3">
            <v>50</v>
          </cell>
        </row>
        <row r="4">
          <cell r="B4">
            <v>30</v>
          </cell>
          <cell r="C4">
            <v>30</v>
          </cell>
          <cell r="F4">
            <v>50</v>
          </cell>
        </row>
        <row r="5">
          <cell r="B5">
            <v>140</v>
          </cell>
          <cell r="C5">
            <v>140</v>
          </cell>
          <cell r="F5">
            <v>170</v>
          </cell>
        </row>
        <row r="6">
          <cell r="B6">
            <v>280</v>
          </cell>
          <cell r="C6">
            <v>280</v>
          </cell>
          <cell r="F6">
            <v>380</v>
          </cell>
        </row>
        <row r="7">
          <cell r="B7">
            <v>430</v>
          </cell>
          <cell r="C7">
            <v>430</v>
          </cell>
          <cell r="F7">
            <v>550</v>
          </cell>
        </row>
        <row r="8">
          <cell r="B8">
            <v>120</v>
          </cell>
          <cell r="C8">
            <v>120</v>
          </cell>
          <cell r="I8">
            <v>0</v>
          </cell>
        </row>
        <row r="9">
          <cell r="B9">
            <v>120</v>
          </cell>
          <cell r="C9">
            <v>120</v>
          </cell>
          <cell r="I9">
            <v>30</v>
          </cell>
        </row>
        <row r="10">
          <cell r="B10">
            <v>260</v>
          </cell>
          <cell r="C10">
            <v>260</v>
          </cell>
          <cell r="I10">
            <v>130</v>
          </cell>
        </row>
        <row r="11">
          <cell r="B11">
            <v>550</v>
          </cell>
          <cell r="C11">
            <v>550</v>
          </cell>
          <cell r="I11">
            <v>250</v>
          </cell>
        </row>
        <row r="12">
          <cell r="B12">
            <v>50</v>
          </cell>
          <cell r="G12">
            <v>0</v>
          </cell>
        </row>
        <row r="13">
          <cell r="B13">
            <v>50</v>
          </cell>
          <cell r="G13">
            <v>30</v>
          </cell>
        </row>
        <row r="14">
          <cell r="B14">
            <v>170</v>
          </cell>
          <cell r="G14">
            <v>145</v>
          </cell>
        </row>
        <row r="15">
          <cell r="B15">
            <v>385</v>
          </cell>
          <cell r="G15">
            <v>300</v>
          </cell>
        </row>
        <row r="16">
          <cell r="B16">
            <v>550</v>
          </cell>
          <cell r="G16">
            <v>450</v>
          </cell>
        </row>
        <row r="17">
          <cell r="B17">
            <v>0</v>
          </cell>
          <cell r="H17">
            <v>60</v>
          </cell>
        </row>
        <row r="18">
          <cell r="B18">
            <v>30</v>
          </cell>
          <cell r="H18">
            <v>60</v>
          </cell>
        </row>
        <row r="19">
          <cell r="B19">
            <v>50</v>
          </cell>
          <cell r="H19">
            <v>80</v>
          </cell>
        </row>
        <row r="20">
          <cell r="B20">
            <v>70</v>
          </cell>
          <cell r="H20">
            <v>110</v>
          </cell>
        </row>
        <row r="21">
          <cell r="B21">
            <v>260</v>
          </cell>
          <cell r="H21">
            <v>550</v>
          </cell>
        </row>
        <row r="22">
          <cell r="B22">
            <v>250</v>
          </cell>
          <cell r="K22">
            <v>0</v>
          </cell>
        </row>
        <row r="23">
          <cell r="B23">
            <v>250</v>
          </cell>
          <cell r="K23">
            <v>40</v>
          </cell>
        </row>
        <row r="24">
          <cell r="B24">
            <v>550</v>
          </cell>
          <cell r="K24">
            <v>150</v>
          </cell>
        </row>
        <row r="25">
          <cell r="B25">
            <v>0</v>
          </cell>
          <cell r="J25">
            <v>100</v>
          </cell>
        </row>
        <row r="26">
          <cell r="B26">
            <v>25</v>
          </cell>
          <cell r="J26">
            <v>100</v>
          </cell>
        </row>
        <row r="27">
          <cell r="B27">
            <v>50</v>
          </cell>
          <cell r="J27">
            <v>125</v>
          </cell>
        </row>
        <row r="28">
          <cell r="B28">
            <v>80</v>
          </cell>
          <cell r="J28">
            <v>215</v>
          </cell>
        </row>
        <row r="29">
          <cell r="B29">
            <v>125</v>
          </cell>
          <cell r="J29">
            <v>550</v>
          </cell>
        </row>
        <row r="30">
          <cell r="B30">
            <v>0</v>
          </cell>
          <cell r="L30">
            <v>150</v>
          </cell>
        </row>
        <row r="31">
          <cell r="B31">
            <v>35</v>
          </cell>
          <cell r="L31">
            <v>155</v>
          </cell>
        </row>
        <row r="32">
          <cell r="B32">
            <v>50</v>
          </cell>
          <cell r="L32">
            <v>550</v>
          </cell>
        </row>
        <row r="33">
          <cell r="B33">
            <v>0</v>
          </cell>
          <cell r="M33">
            <v>0</v>
          </cell>
        </row>
        <row r="34">
          <cell r="B34">
            <v>550</v>
          </cell>
          <cell r="M34">
            <v>550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4"/>
  <sheetViews>
    <sheetView tabSelected="1" topLeftCell="A33" zoomScale="80" zoomScaleNormal="80" workbookViewId="0">
      <selection activeCell="F42" sqref="F42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</v>
      </c>
      <c r="N2" s="1" t="s">
        <v>15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3</v>
      </c>
      <c r="E37" s="3" t="s">
        <v>19</v>
      </c>
      <c r="F37" s="3" t="s">
        <v>16</v>
      </c>
      <c r="G37" s="3" t="s">
        <v>17</v>
      </c>
      <c r="H37" s="3" t="s">
        <v>31</v>
      </c>
      <c r="I37" s="3" t="s">
        <v>32</v>
      </c>
      <c r="J37" s="3" t="s">
        <v>33</v>
      </c>
      <c r="K37" s="3" t="s">
        <v>34</v>
      </c>
      <c r="L37" s="3" t="s">
        <v>35</v>
      </c>
      <c r="M37" s="3" t="s">
        <v>36</v>
      </c>
      <c r="N37" s="3" t="s">
        <v>37</v>
      </c>
      <c r="O37" s="3" t="s">
        <v>38</v>
      </c>
      <c r="P37" s="6" t="s">
        <v>39</v>
      </c>
      <c r="Q37" s="8"/>
      <c r="R37" s="9" t="s">
        <v>41</v>
      </c>
      <c r="S37" s="9" t="s">
        <v>42</v>
      </c>
      <c r="T37" s="10" t="s">
        <v>43</v>
      </c>
    </row>
    <row r="38" spans="1:20" x14ac:dyDescent="0.25">
      <c r="A38" s="5">
        <f>E38/D38-1</f>
        <v>0.56136675931263769</v>
      </c>
      <c r="B38" t="s">
        <v>18</v>
      </c>
      <c r="C38" s="5" t="str">
        <f>IF(OR(A38&gt;=20%,A38&lt;=-20%),"B","A")</f>
        <v>B</v>
      </c>
      <c r="D38">
        <v>92.5</v>
      </c>
      <c r="E38">
        <v>144.42642523641899</v>
      </c>
      <c r="F38"/>
      <c r="G38" t="str">
        <f>IF(C38="A","",IF(C38="B","",IF(C38="C",E38,"error")))</f>
        <v/>
      </c>
      <c r="Q38" s="11" t="s">
        <v>44</v>
      </c>
      <c r="R38" s="7">
        <f>COUNTIF(C38:C314,"A")</f>
        <v>207</v>
      </c>
      <c r="S38" s="7">
        <f>COUNTIF(C38:C314,"B")</f>
        <v>70</v>
      </c>
      <c r="T38" s="7">
        <f>COUNT(D38:D314)</f>
        <v>277</v>
      </c>
    </row>
    <row r="39" spans="1:20" ht="17.25" thickBot="1" x14ac:dyDescent="0.3">
      <c r="A39" s="5">
        <f t="shared" ref="A39:A102" si="0">E39/D39-1</f>
        <v>-0.23106507442436564</v>
      </c>
      <c r="B39" t="s">
        <v>18</v>
      </c>
      <c r="C39" s="5" t="str">
        <f t="shared" ref="C39:C102" si="1">IF(OR(A39&gt;=20%,A39&lt;=-20%),"B","A")</f>
        <v>B</v>
      </c>
      <c r="D39">
        <v>191.5</v>
      </c>
      <c r="E39">
        <v>147.25103824773399</v>
      </c>
      <c r="F39"/>
      <c r="G39" t="str">
        <f t="shared" ref="G39:G46" si="2">IF(C39="A","",IF(C39="B","",IF(C39="C",E39,"error")))</f>
        <v/>
      </c>
      <c r="Q39" s="12" t="s">
        <v>45</v>
      </c>
      <c r="R39" s="14">
        <f>R38/T38</f>
        <v>0.74729241877256314</v>
      </c>
      <c r="S39" s="14">
        <f>S38/T38</f>
        <v>0.25270758122743681</v>
      </c>
      <c r="T39" s="13">
        <f>R39+S39</f>
        <v>1</v>
      </c>
    </row>
    <row r="40" spans="1:20" x14ac:dyDescent="0.25">
      <c r="A40" s="5">
        <f t="shared" si="0"/>
        <v>8.199345051821183E-3</v>
      </c>
      <c r="B40" t="s">
        <v>18</v>
      </c>
      <c r="C40" s="5" t="str">
        <f t="shared" si="1"/>
        <v>A</v>
      </c>
      <c r="D40">
        <v>151</v>
      </c>
      <c r="E40">
        <v>152.238101102825</v>
      </c>
      <c r="F40"/>
      <c r="G40" t="str">
        <f t="shared" si="2"/>
        <v/>
      </c>
      <c r="Q40" s="5"/>
      <c r="R40" s="5"/>
    </row>
    <row r="41" spans="1:20" x14ac:dyDescent="0.25">
      <c r="A41" s="5">
        <f t="shared" si="0"/>
        <v>0.58715786630074485</v>
      </c>
      <c r="B41" t="s">
        <v>18</v>
      </c>
      <c r="C41" s="5" t="str">
        <f t="shared" si="1"/>
        <v>B</v>
      </c>
      <c r="D41">
        <v>94</v>
      </c>
      <c r="E41">
        <v>149.19283943227001</v>
      </c>
      <c r="F41">
        <f xml:space="preserve"> CORREL(D38:D314,E38:E314)</f>
        <v>0.8954379448385732</v>
      </c>
      <c r="G41" t="str">
        <f t="shared" si="2"/>
        <v/>
      </c>
      <c r="Q41" s="5"/>
      <c r="R41" s="5"/>
    </row>
    <row r="42" spans="1:20" x14ac:dyDescent="0.25">
      <c r="A42" s="5">
        <f t="shared" si="0"/>
        <v>0.18750494006825003</v>
      </c>
      <c r="B42" t="s">
        <v>18</v>
      </c>
      <c r="C42" s="5" t="str">
        <f t="shared" si="1"/>
        <v>A</v>
      </c>
      <c r="D42">
        <v>124</v>
      </c>
      <c r="E42">
        <v>147.250612568463</v>
      </c>
      <c r="F42"/>
      <c r="G42" t="str">
        <f t="shared" si="2"/>
        <v/>
      </c>
      <c r="Q42" s="5"/>
      <c r="R42" s="5"/>
    </row>
    <row r="43" spans="1:20" x14ac:dyDescent="0.25">
      <c r="A43" s="5">
        <f t="shared" si="0"/>
        <v>0.32740861998598247</v>
      </c>
      <c r="B43" t="s">
        <v>18</v>
      </c>
      <c r="C43" s="5" t="str">
        <f t="shared" si="1"/>
        <v>B</v>
      </c>
      <c r="D43">
        <v>114.5</v>
      </c>
      <c r="E43">
        <v>151.988286988395</v>
      </c>
      <c r="F43"/>
      <c r="G43" t="str">
        <f t="shared" si="2"/>
        <v/>
      </c>
      <c r="Q43" s="5"/>
      <c r="R43" s="5"/>
    </row>
    <row r="44" spans="1:20" x14ac:dyDescent="0.25">
      <c r="A44" s="5">
        <f t="shared" si="0"/>
        <v>0.47016015426366464</v>
      </c>
      <c r="B44" t="s">
        <v>18</v>
      </c>
      <c r="C44" s="5" t="str">
        <f t="shared" si="1"/>
        <v>B</v>
      </c>
      <c r="D44">
        <v>89.5</v>
      </c>
      <c r="E44">
        <v>131.57933380659799</v>
      </c>
      <c r="F44"/>
      <c r="G44" t="str">
        <f t="shared" si="2"/>
        <v/>
      </c>
      <c r="Q44" s="5"/>
      <c r="R44" s="5"/>
    </row>
    <row r="45" spans="1:20" x14ac:dyDescent="0.25">
      <c r="A45" s="5">
        <f t="shared" si="0"/>
        <v>-0.20775512548434727</v>
      </c>
      <c r="B45" t="s">
        <v>18</v>
      </c>
      <c r="C45" s="5" t="str">
        <f t="shared" si="1"/>
        <v>B</v>
      </c>
      <c r="D45">
        <v>204.5</v>
      </c>
      <c r="E45">
        <v>162.01407683845099</v>
      </c>
      <c r="F45"/>
      <c r="G45" t="str">
        <f t="shared" si="2"/>
        <v/>
      </c>
      <c r="Q45" s="5"/>
      <c r="R45" s="5"/>
    </row>
    <row r="46" spans="1:20" x14ac:dyDescent="0.25">
      <c r="A46" s="5">
        <f t="shared" si="0"/>
        <v>-0.18789988102183541</v>
      </c>
      <c r="B46" t="s">
        <v>18</v>
      </c>
      <c r="C46" s="5" t="str">
        <f t="shared" si="1"/>
        <v>A</v>
      </c>
      <c r="D46">
        <v>200.5</v>
      </c>
      <c r="E46">
        <v>162.82607385512199</v>
      </c>
      <c r="F46"/>
      <c r="G46" t="str">
        <f t="shared" si="2"/>
        <v/>
      </c>
      <c r="Q46" s="5"/>
      <c r="R46" s="5"/>
    </row>
    <row r="47" spans="1:20" x14ac:dyDescent="0.25">
      <c r="A47" s="5">
        <f t="shared" si="0"/>
        <v>0.2337978484806269</v>
      </c>
      <c r="B47" t="s">
        <v>20</v>
      </c>
      <c r="C47" s="5" t="str">
        <f t="shared" si="1"/>
        <v>B</v>
      </c>
      <c r="D47">
        <v>92.5</v>
      </c>
      <c r="E47">
        <v>114.126300984458</v>
      </c>
      <c r="F47"/>
      <c r="G47"/>
      <c r="Q47" s="5"/>
      <c r="R47" s="5"/>
    </row>
    <row r="48" spans="1:20" x14ac:dyDescent="0.25">
      <c r="A48" s="5">
        <f t="shared" si="0"/>
        <v>0.17991069692225903</v>
      </c>
      <c r="B48" t="s">
        <v>20</v>
      </c>
      <c r="C48" s="5" t="str">
        <f t="shared" si="1"/>
        <v>A</v>
      </c>
      <c r="D48">
        <v>96.5</v>
      </c>
      <c r="E48">
        <v>113.861382252998</v>
      </c>
      <c r="F48"/>
      <c r="G48"/>
      <c r="Q48" s="5"/>
      <c r="R48" s="5"/>
    </row>
    <row r="49" spans="1:18" x14ac:dyDescent="0.25">
      <c r="A49" s="5">
        <f t="shared" si="0"/>
        <v>-1.9843165207699465E-2</v>
      </c>
      <c r="B49" t="s">
        <v>20</v>
      </c>
      <c r="C49" s="5" t="str">
        <f t="shared" si="1"/>
        <v>A</v>
      </c>
      <c r="D49">
        <v>106.5</v>
      </c>
      <c r="E49">
        <v>104.38670290538001</v>
      </c>
      <c r="F49"/>
      <c r="G49"/>
      <c r="Q49" s="5"/>
      <c r="R49" s="5"/>
    </row>
    <row r="50" spans="1:18" x14ac:dyDescent="0.25">
      <c r="A50" s="5">
        <f t="shared" si="0"/>
        <v>7.3025653748030717E-2</v>
      </c>
      <c r="B50" t="s">
        <v>20</v>
      </c>
      <c r="C50" s="5" t="str">
        <f t="shared" si="1"/>
        <v>A</v>
      </c>
      <c r="D50">
        <v>97.5</v>
      </c>
      <c r="E50">
        <v>104.620001240433</v>
      </c>
      <c r="F50"/>
      <c r="G50"/>
      <c r="Q50" s="5"/>
      <c r="R50" s="5"/>
    </row>
    <row r="51" spans="1:18" x14ac:dyDescent="0.25">
      <c r="A51" s="5">
        <f t="shared" si="0"/>
        <v>0.15892773612408218</v>
      </c>
      <c r="B51" t="s">
        <v>20</v>
      </c>
      <c r="C51" s="5" t="str">
        <f t="shared" si="1"/>
        <v>A</v>
      </c>
      <c r="D51">
        <v>97.5</v>
      </c>
      <c r="E51">
        <v>112.995454272098</v>
      </c>
      <c r="F51"/>
      <c r="G51"/>
      <c r="Q51" s="5"/>
      <c r="R51" s="5"/>
    </row>
    <row r="52" spans="1:18" x14ac:dyDescent="0.25">
      <c r="A52" s="5">
        <f t="shared" si="0"/>
        <v>6.749339426414358E-2</v>
      </c>
      <c r="B52" t="s">
        <v>20</v>
      </c>
      <c r="C52" s="5" t="str">
        <f t="shared" si="1"/>
        <v>A</v>
      </c>
      <c r="D52">
        <v>97.5</v>
      </c>
      <c r="E52">
        <v>104.080605940754</v>
      </c>
      <c r="F52"/>
      <c r="G52"/>
      <c r="Q52" s="5"/>
      <c r="R52" s="5"/>
    </row>
    <row r="53" spans="1:18" x14ac:dyDescent="0.25">
      <c r="A53" s="5">
        <f t="shared" si="0"/>
        <v>0.13867162551194889</v>
      </c>
      <c r="B53" t="s">
        <v>20</v>
      </c>
      <c r="C53" s="5" t="str">
        <f t="shared" si="1"/>
        <v>A</v>
      </c>
      <c r="D53">
        <v>97.5</v>
      </c>
      <c r="E53">
        <v>111.02048348741501</v>
      </c>
      <c r="F53"/>
      <c r="G53"/>
      <c r="Q53" s="5"/>
      <c r="R53" s="5"/>
    </row>
    <row r="54" spans="1:18" x14ac:dyDescent="0.25">
      <c r="A54" s="5">
        <f t="shared" si="0"/>
        <v>-2.616187942021253E-2</v>
      </c>
      <c r="B54" t="s">
        <v>20</v>
      </c>
      <c r="C54" s="5" t="str">
        <f t="shared" si="1"/>
        <v>A</v>
      </c>
      <c r="D54">
        <v>95</v>
      </c>
      <c r="E54">
        <v>92.514621455079805</v>
      </c>
      <c r="F54"/>
      <c r="G54"/>
      <c r="Q54" s="5"/>
      <c r="R54" s="5"/>
    </row>
    <row r="55" spans="1:18" x14ac:dyDescent="0.25">
      <c r="A55" s="5">
        <f t="shared" si="0"/>
        <v>5.0644898796514015E-2</v>
      </c>
      <c r="B55" t="s">
        <v>20</v>
      </c>
      <c r="C55" s="5" t="str">
        <f t="shared" si="1"/>
        <v>A</v>
      </c>
      <c r="D55">
        <v>142</v>
      </c>
      <c r="E55">
        <v>149.19157562910499</v>
      </c>
      <c r="F55"/>
      <c r="G55"/>
      <c r="Q55" s="5"/>
      <c r="R55" s="5"/>
    </row>
    <row r="56" spans="1:18" x14ac:dyDescent="0.25">
      <c r="A56" s="5">
        <f t="shared" si="0"/>
        <v>-6.2861044402570232E-2</v>
      </c>
      <c r="B56" t="s">
        <v>20</v>
      </c>
      <c r="C56" s="5" t="str">
        <f t="shared" si="1"/>
        <v>A</v>
      </c>
      <c r="D56">
        <v>124.5</v>
      </c>
      <c r="E56">
        <v>116.67379997188</v>
      </c>
      <c r="F56"/>
      <c r="G56"/>
      <c r="Q56" s="5"/>
      <c r="R56" s="5"/>
    </row>
    <row r="57" spans="1:18" x14ac:dyDescent="0.25">
      <c r="A57" s="5">
        <f t="shared" si="0"/>
        <v>-0.11905501020994946</v>
      </c>
      <c r="B57" t="s">
        <v>20</v>
      </c>
      <c r="C57" s="5" t="str">
        <f t="shared" si="1"/>
        <v>A</v>
      </c>
      <c r="D57">
        <v>118.5</v>
      </c>
      <c r="E57">
        <v>104.391981290121</v>
      </c>
      <c r="F57"/>
      <c r="G57"/>
      <c r="Q57" s="5"/>
      <c r="R57" s="5"/>
    </row>
    <row r="58" spans="1:18" x14ac:dyDescent="0.25">
      <c r="A58" s="5">
        <f t="shared" si="0"/>
        <v>0.12986666823144444</v>
      </c>
      <c r="B58" t="s">
        <v>21</v>
      </c>
      <c r="C58" s="5" t="str">
        <f t="shared" si="1"/>
        <v>A</v>
      </c>
      <c r="D58">
        <v>90</v>
      </c>
      <c r="E58">
        <v>101.68800014083</v>
      </c>
      <c r="F58"/>
      <c r="G58"/>
      <c r="Q58" s="5"/>
      <c r="R58" s="5"/>
    </row>
    <row r="59" spans="1:18" x14ac:dyDescent="0.25">
      <c r="A59" s="5">
        <f t="shared" si="0"/>
        <v>-0.19349266774709095</v>
      </c>
      <c r="B59" t="s">
        <v>21</v>
      </c>
      <c r="C59" s="5" t="str">
        <f t="shared" si="1"/>
        <v>A</v>
      </c>
      <c r="D59">
        <v>137.5</v>
      </c>
      <c r="E59">
        <v>110.894758184775</v>
      </c>
      <c r="F59"/>
      <c r="G59"/>
      <c r="Q59" s="5"/>
      <c r="R59" s="5"/>
    </row>
    <row r="60" spans="1:18" x14ac:dyDescent="0.25">
      <c r="A60" s="5">
        <f t="shared" si="0"/>
        <v>-5.2459166331633833E-2</v>
      </c>
      <c r="B60" t="s">
        <v>21</v>
      </c>
      <c r="C60" s="5" t="str">
        <f t="shared" si="1"/>
        <v>A</v>
      </c>
      <c r="D60">
        <v>106.5</v>
      </c>
      <c r="E60">
        <v>100.913098785681</v>
      </c>
      <c r="F60"/>
      <c r="G60"/>
      <c r="Q60" s="5"/>
      <c r="R60" s="5"/>
    </row>
    <row r="61" spans="1:18" x14ac:dyDescent="0.25">
      <c r="A61" s="5">
        <f t="shared" si="0"/>
        <v>6.3314937425544615E-2</v>
      </c>
      <c r="B61" t="s">
        <v>21</v>
      </c>
      <c r="C61" s="5" t="str">
        <f t="shared" si="1"/>
        <v>A</v>
      </c>
      <c r="D61">
        <v>101</v>
      </c>
      <c r="E61">
        <v>107.39480867998</v>
      </c>
      <c r="F61"/>
      <c r="G61"/>
      <c r="Q61" s="5"/>
      <c r="R61" s="5"/>
    </row>
    <row r="62" spans="1:18" x14ac:dyDescent="0.25">
      <c r="A62" s="5">
        <f t="shared" si="0"/>
        <v>-2.9522964007009489E-2</v>
      </c>
      <c r="B62" t="s">
        <v>22</v>
      </c>
      <c r="C62" s="5" t="str">
        <f t="shared" si="1"/>
        <v>A</v>
      </c>
      <c r="D62">
        <v>212</v>
      </c>
      <c r="E62">
        <v>205.74113163051399</v>
      </c>
      <c r="F62"/>
      <c r="G62"/>
      <c r="H62"/>
      <c r="Q62" s="5"/>
      <c r="R62" s="5"/>
    </row>
    <row r="63" spans="1:18" x14ac:dyDescent="0.25">
      <c r="A63" s="5">
        <f t="shared" si="0"/>
        <v>-0.22207185993106204</v>
      </c>
      <c r="B63" t="s">
        <v>22</v>
      </c>
      <c r="C63" s="5" t="str">
        <f t="shared" si="1"/>
        <v>B</v>
      </c>
      <c r="D63">
        <v>258</v>
      </c>
      <c r="E63">
        <v>200.70546013778599</v>
      </c>
      <c r="F63"/>
      <c r="G63"/>
      <c r="H63"/>
      <c r="Q63" s="5"/>
      <c r="R63" s="5"/>
    </row>
    <row r="64" spans="1:18" x14ac:dyDescent="0.25">
      <c r="A64" s="5">
        <f t="shared" si="0"/>
        <v>-0.16374580110530867</v>
      </c>
      <c r="B64" t="s">
        <v>22</v>
      </c>
      <c r="C64" s="5" t="str">
        <f t="shared" si="1"/>
        <v>A</v>
      </c>
      <c r="D64">
        <v>257.5</v>
      </c>
      <c r="E64">
        <v>215.335456215383</v>
      </c>
      <c r="F64"/>
      <c r="G64"/>
      <c r="H64"/>
      <c r="Q64" s="5"/>
      <c r="R64" s="5"/>
    </row>
    <row r="65" spans="1:18" x14ac:dyDescent="0.25">
      <c r="A65" s="5">
        <f t="shared" si="0"/>
        <v>-6.1321415455193207E-2</v>
      </c>
      <c r="B65" t="s">
        <v>22</v>
      </c>
      <c r="C65" s="5" t="str">
        <f t="shared" si="1"/>
        <v>A</v>
      </c>
      <c r="D65">
        <v>204.5</v>
      </c>
      <c r="E65">
        <v>191.959770539413</v>
      </c>
      <c r="F65"/>
      <c r="G65"/>
      <c r="H65"/>
      <c r="Q65" s="5"/>
      <c r="R65" s="5"/>
    </row>
    <row r="66" spans="1:18" x14ac:dyDescent="0.25">
      <c r="A66" s="5">
        <f t="shared" si="0"/>
        <v>4.6357153205900392E-3</v>
      </c>
      <c r="B66" t="s">
        <v>22</v>
      </c>
      <c r="C66" s="5" t="str">
        <f t="shared" si="1"/>
        <v>A</v>
      </c>
      <c r="D66">
        <v>383</v>
      </c>
      <c r="E66">
        <v>384.775478967786</v>
      </c>
      <c r="F66"/>
      <c r="G66"/>
      <c r="H66"/>
      <c r="Q66" s="5"/>
      <c r="R66" s="5"/>
    </row>
    <row r="67" spans="1:18" x14ac:dyDescent="0.25">
      <c r="A67" s="5">
        <f t="shared" si="0"/>
        <v>0.11447204514662168</v>
      </c>
      <c r="B67" t="s">
        <v>23</v>
      </c>
      <c r="C67" s="5" t="str">
        <f t="shared" si="1"/>
        <v>A</v>
      </c>
      <c r="D67">
        <v>96.5</v>
      </c>
      <c r="E67">
        <v>107.546552356649</v>
      </c>
      <c r="F67"/>
      <c r="G67"/>
      <c r="I67"/>
      <c r="Q67" s="5"/>
      <c r="R67" s="5"/>
    </row>
    <row r="68" spans="1:18" x14ac:dyDescent="0.25">
      <c r="A68" s="5">
        <f t="shared" si="0"/>
        <v>-4.6226386696312627E-2</v>
      </c>
      <c r="B68" t="s">
        <v>23</v>
      </c>
      <c r="C68" s="5" t="str">
        <f t="shared" si="1"/>
        <v>A</v>
      </c>
      <c r="D68">
        <v>153.5</v>
      </c>
      <c r="E68">
        <v>146.40424964211601</v>
      </c>
      <c r="F68"/>
      <c r="G68"/>
      <c r="I68"/>
      <c r="Q68" s="5"/>
      <c r="R68" s="5"/>
    </row>
    <row r="69" spans="1:18" x14ac:dyDescent="0.25">
      <c r="A69" s="5">
        <f t="shared" si="0"/>
        <v>4.4594558733976886E-2</v>
      </c>
      <c r="B69" t="s">
        <v>23</v>
      </c>
      <c r="C69" s="5" t="str">
        <f t="shared" si="1"/>
        <v>A</v>
      </c>
      <c r="D69">
        <v>130.5</v>
      </c>
      <c r="E69">
        <v>136.31958991478399</v>
      </c>
      <c r="F69"/>
      <c r="G69"/>
      <c r="I69"/>
      <c r="Q69" s="5"/>
      <c r="R69" s="5"/>
    </row>
    <row r="70" spans="1:18" x14ac:dyDescent="0.25">
      <c r="A70" s="5">
        <f t="shared" si="0"/>
        <v>-3.3496971795727859E-2</v>
      </c>
      <c r="B70" t="s">
        <v>23</v>
      </c>
      <c r="C70" s="5" t="str">
        <f t="shared" si="1"/>
        <v>A</v>
      </c>
      <c r="D70">
        <v>136</v>
      </c>
      <c r="E70">
        <v>131.44441183578101</v>
      </c>
      <c r="F70"/>
      <c r="G70"/>
      <c r="I70"/>
      <c r="Q70" s="5"/>
      <c r="R70" s="5"/>
    </row>
    <row r="71" spans="1:18" x14ac:dyDescent="0.25">
      <c r="A71" s="5">
        <f t="shared" si="0"/>
        <v>-1.1250419646738674E-2</v>
      </c>
      <c r="B71" t="s">
        <v>23</v>
      </c>
      <c r="C71" s="5" t="str">
        <f t="shared" si="1"/>
        <v>A</v>
      </c>
      <c r="D71">
        <v>111</v>
      </c>
      <c r="E71">
        <v>109.751203419212</v>
      </c>
      <c r="F71"/>
      <c r="G71"/>
      <c r="I71"/>
      <c r="Q71" s="5"/>
      <c r="R71" s="5"/>
    </row>
    <row r="72" spans="1:18" x14ac:dyDescent="0.25">
      <c r="A72" s="5">
        <f t="shared" si="0"/>
        <v>-0.1186505807587348</v>
      </c>
      <c r="B72" t="s">
        <v>23</v>
      </c>
      <c r="C72" s="5" t="str">
        <f t="shared" si="1"/>
        <v>A</v>
      </c>
      <c r="D72">
        <v>156.5</v>
      </c>
      <c r="E72">
        <v>137.93118411125801</v>
      </c>
      <c r="F72"/>
      <c r="G72"/>
      <c r="I72"/>
      <c r="Q72" s="5"/>
      <c r="R72" s="5"/>
    </row>
    <row r="73" spans="1:18" x14ac:dyDescent="0.25">
      <c r="A73" s="5">
        <f t="shared" si="0"/>
        <v>0.30209324970833928</v>
      </c>
      <c r="B73" t="s">
        <v>23</v>
      </c>
      <c r="C73" s="5" t="str">
        <f t="shared" si="1"/>
        <v>B</v>
      </c>
      <c r="D73">
        <v>109</v>
      </c>
      <c r="E73">
        <v>141.92816421820899</v>
      </c>
      <c r="F73"/>
      <c r="G73"/>
      <c r="I73"/>
      <c r="Q73" s="5"/>
      <c r="R73" s="5"/>
    </row>
    <row r="74" spans="1:18" x14ac:dyDescent="0.25">
      <c r="A74" s="5">
        <f t="shared" si="0"/>
        <v>0.12840579087419646</v>
      </c>
      <c r="B74" t="s">
        <v>23</v>
      </c>
      <c r="C74" s="5" t="str">
        <f t="shared" si="1"/>
        <v>A</v>
      </c>
      <c r="D74">
        <v>112</v>
      </c>
      <c r="E74">
        <v>126.38144857791001</v>
      </c>
      <c r="F74"/>
      <c r="G74"/>
      <c r="I74"/>
      <c r="Q74" s="5"/>
      <c r="R74" s="5"/>
    </row>
    <row r="75" spans="1:18" x14ac:dyDescent="0.25">
      <c r="A75" s="5">
        <f t="shared" si="0"/>
        <v>0.19141295130607539</v>
      </c>
      <c r="B75" t="s">
        <v>23</v>
      </c>
      <c r="C75" s="5" t="str">
        <f t="shared" si="1"/>
        <v>A</v>
      </c>
      <c r="D75">
        <v>93</v>
      </c>
      <c r="E75">
        <v>110.80140447146501</v>
      </c>
      <c r="F75"/>
      <c r="G75"/>
      <c r="I75"/>
      <c r="Q75" s="5"/>
      <c r="R75" s="5"/>
    </row>
    <row r="76" spans="1:18" x14ac:dyDescent="0.25">
      <c r="A76" s="5">
        <f t="shared" si="0"/>
        <v>-0.16276711365776764</v>
      </c>
      <c r="B76" t="s">
        <v>23</v>
      </c>
      <c r="C76" s="5" t="str">
        <f t="shared" si="1"/>
        <v>A</v>
      </c>
      <c r="D76">
        <v>163.5</v>
      </c>
      <c r="E76">
        <v>136.887576916955</v>
      </c>
      <c r="F76"/>
      <c r="G76"/>
      <c r="I76"/>
      <c r="Q76" s="5"/>
      <c r="R76" s="5"/>
    </row>
    <row r="77" spans="1:18" x14ac:dyDescent="0.25">
      <c r="A77" s="5">
        <f t="shared" si="0"/>
        <v>6.1285838368169143E-2</v>
      </c>
      <c r="B77" t="s">
        <v>23</v>
      </c>
      <c r="C77" s="5" t="str">
        <f t="shared" si="1"/>
        <v>A</v>
      </c>
      <c r="D77">
        <v>136</v>
      </c>
      <c r="E77">
        <v>144.33487401807099</v>
      </c>
      <c r="F77"/>
      <c r="G77"/>
      <c r="I77"/>
      <c r="Q77" s="5"/>
      <c r="R77" s="5"/>
    </row>
    <row r="78" spans="1:18" x14ac:dyDescent="0.25">
      <c r="A78" s="5">
        <f t="shared" si="0"/>
        <v>8.9776057769233253E-2</v>
      </c>
      <c r="B78" t="s">
        <v>23</v>
      </c>
      <c r="C78" s="5" t="str">
        <f t="shared" si="1"/>
        <v>A</v>
      </c>
      <c r="D78">
        <v>120</v>
      </c>
      <c r="E78">
        <v>130.773126932308</v>
      </c>
      <c r="F78"/>
      <c r="G78"/>
      <c r="I78"/>
      <c r="Q78" s="5"/>
      <c r="R78" s="5"/>
    </row>
    <row r="79" spans="1:18" x14ac:dyDescent="0.25">
      <c r="A79" s="5">
        <f t="shared" si="0"/>
        <v>0.32647451612317613</v>
      </c>
      <c r="B79" t="s">
        <v>24</v>
      </c>
      <c r="C79" s="5" t="str">
        <f t="shared" si="1"/>
        <v>B</v>
      </c>
      <c r="D79">
        <v>184.5</v>
      </c>
      <c r="E79">
        <v>244.73454822472601</v>
      </c>
      <c r="F79"/>
      <c r="G79"/>
      <c r="J79"/>
      <c r="Q79" s="5"/>
      <c r="R79" s="5"/>
    </row>
    <row r="80" spans="1:18" x14ac:dyDescent="0.25">
      <c r="A80" s="5">
        <f t="shared" si="0"/>
        <v>0.13593501103927186</v>
      </c>
      <c r="B80" t="s">
        <v>24</v>
      </c>
      <c r="C80" s="5" t="str">
        <f t="shared" si="1"/>
        <v>A</v>
      </c>
      <c r="D80">
        <v>195</v>
      </c>
      <c r="E80">
        <v>221.50732715265801</v>
      </c>
      <c r="F80"/>
      <c r="G80"/>
      <c r="J80"/>
      <c r="Q80" s="5"/>
      <c r="R80" s="5"/>
    </row>
    <row r="81" spans="1:18" x14ac:dyDescent="0.25">
      <c r="A81" s="5">
        <f t="shared" si="0"/>
        <v>-2.3350919652205371E-2</v>
      </c>
      <c r="B81" t="s">
        <v>24</v>
      </c>
      <c r="C81" s="5" t="str">
        <f t="shared" si="1"/>
        <v>A</v>
      </c>
      <c r="D81">
        <v>224</v>
      </c>
      <c r="E81">
        <v>218.76939399790601</v>
      </c>
      <c r="F81"/>
      <c r="G81"/>
      <c r="J81"/>
      <c r="Q81" s="5"/>
      <c r="R81" s="5"/>
    </row>
    <row r="82" spans="1:18" x14ac:dyDescent="0.25">
      <c r="A82" s="5">
        <f t="shared" si="0"/>
        <v>-6.5050327491817717E-2</v>
      </c>
      <c r="B82" t="s">
        <v>24</v>
      </c>
      <c r="C82" s="5" t="str">
        <f t="shared" si="1"/>
        <v>A</v>
      </c>
      <c r="D82">
        <v>247</v>
      </c>
      <c r="E82">
        <v>230.93256910952101</v>
      </c>
      <c r="F82"/>
      <c r="G82"/>
      <c r="J82"/>
      <c r="Q82" s="5"/>
      <c r="R82" s="5"/>
    </row>
    <row r="83" spans="1:18" x14ac:dyDescent="0.25">
      <c r="A83" s="5">
        <f t="shared" si="0"/>
        <v>0.3903598216351849</v>
      </c>
      <c r="B83" t="s">
        <v>24</v>
      </c>
      <c r="C83" s="5" t="str">
        <f t="shared" si="1"/>
        <v>B</v>
      </c>
      <c r="D83">
        <v>146</v>
      </c>
      <c r="E83">
        <v>202.992533958737</v>
      </c>
      <c r="F83"/>
      <c r="G83"/>
      <c r="J83"/>
      <c r="Q83" s="5"/>
      <c r="R83" s="5"/>
    </row>
    <row r="84" spans="1:18" x14ac:dyDescent="0.25">
      <c r="A84" s="5">
        <f t="shared" si="0"/>
        <v>0.18983385197170488</v>
      </c>
      <c r="B84" t="s">
        <v>24</v>
      </c>
      <c r="C84" s="5" t="str">
        <f t="shared" si="1"/>
        <v>A</v>
      </c>
      <c r="D84">
        <v>183</v>
      </c>
      <c r="E84">
        <v>217.73959491082201</v>
      </c>
      <c r="F84"/>
      <c r="G84"/>
      <c r="J84"/>
      <c r="Q84" s="5"/>
      <c r="R84" s="5"/>
    </row>
    <row r="85" spans="1:18" x14ac:dyDescent="0.25">
      <c r="A85" s="5">
        <f t="shared" si="0"/>
        <v>0.18010764870942131</v>
      </c>
      <c r="B85" t="s">
        <v>24</v>
      </c>
      <c r="C85" s="5" t="str">
        <f t="shared" si="1"/>
        <v>A</v>
      </c>
      <c r="D85">
        <v>159</v>
      </c>
      <c r="E85">
        <v>187.637116144798</v>
      </c>
      <c r="F85"/>
      <c r="G85"/>
      <c r="J85"/>
      <c r="Q85" s="5"/>
      <c r="R85" s="5"/>
    </row>
    <row r="86" spans="1:18" x14ac:dyDescent="0.25">
      <c r="A86" s="5">
        <f t="shared" si="0"/>
        <v>3.4767700016919312E-2</v>
      </c>
      <c r="B86" t="s">
        <v>27</v>
      </c>
      <c r="C86" s="5" t="str">
        <f t="shared" si="1"/>
        <v>A</v>
      </c>
      <c r="D86">
        <v>99</v>
      </c>
      <c r="E86">
        <v>102.442002301675</v>
      </c>
      <c r="F86"/>
      <c r="G86"/>
      <c r="K86"/>
      <c r="Q86" s="5"/>
      <c r="R86" s="5"/>
    </row>
    <row r="87" spans="1:18" x14ac:dyDescent="0.25">
      <c r="A87" s="5">
        <f t="shared" si="0"/>
        <v>-9.1547238190842872E-2</v>
      </c>
      <c r="B87" t="s">
        <v>27</v>
      </c>
      <c r="C87" s="5" t="str">
        <f t="shared" si="1"/>
        <v>A</v>
      </c>
      <c r="D87">
        <v>140</v>
      </c>
      <c r="E87">
        <v>127.183386653282</v>
      </c>
      <c r="F87"/>
      <c r="G87"/>
      <c r="K87"/>
      <c r="Q87" s="5"/>
      <c r="R87" s="5"/>
    </row>
    <row r="88" spans="1:18" x14ac:dyDescent="0.25">
      <c r="A88" s="5">
        <f t="shared" si="0"/>
        <v>-0.1005762988678518</v>
      </c>
      <c r="B88" t="s">
        <v>27</v>
      </c>
      <c r="C88" s="5" t="str">
        <f t="shared" si="1"/>
        <v>A</v>
      </c>
      <c r="D88">
        <v>135</v>
      </c>
      <c r="E88">
        <v>121.42219965284001</v>
      </c>
      <c r="F88"/>
      <c r="G88"/>
      <c r="K88"/>
      <c r="Q88" s="5"/>
      <c r="R88" s="5"/>
    </row>
    <row r="89" spans="1:18" x14ac:dyDescent="0.25">
      <c r="A89" s="5">
        <f t="shared" si="0"/>
        <v>0.21144259189772452</v>
      </c>
      <c r="B89" t="s">
        <v>27</v>
      </c>
      <c r="C89" s="5" t="str">
        <f t="shared" si="1"/>
        <v>B</v>
      </c>
      <c r="D89">
        <v>98</v>
      </c>
      <c r="E89">
        <v>118.721374005977</v>
      </c>
      <c r="F89"/>
      <c r="G89"/>
      <c r="K89"/>
      <c r="Q89" s="5"/>
      <c r="R89" s="5"/>
    </row>
    <row r="90" spans="1:18" x14ac:dyDescent="0.25">
      <c r="A90" s="5">
        <f t="shared" si="0"/>
        <v>0.11922278981269896</v>
      </c>
      <c r="B90" t="s">
        <v>27</v>
      </c>
      <c r="C90" s="5" t="str">
        <f t="shared" si="1"/>
        <v>A</v>
      </c>
      <c r="D90">
        <v>93</v>
      </c>
      <c r="E90">
        <v>104.087719452581</v>
      </c>
      <c r="F90"/>
      <c r="G90"/>
      <c r="K90"/>
      <c r="Q90" s="5"/>
      <c r="R90" s="5"/>
    </row>
    <row r="91" spans="1:18" x14ac:dyDescent="0.25">
      <c r="A91" s="5">
        <f t="shared" si="0"/>
        <v>-5.1162492616874111E-2</v>
      </c>
      <c r="B91" t="s">
        <v>27</v>
      </c>
      <c r="C91" s="5" t="str">
        <f t="shared" si="1"/>
        <v>A</v>
      </c>
      <c r="D91">
        <v>151</v>
      </c>
      <c r="E91">
        <v>143.27446361485201</v>
      </c>
      <c r="F91"/>
      <c r="G91"/>
      <c r="K91"/>
      <c r="Q91" s="5"/>
      <c r="R91" s="5"/>
    </row>
    <row r="92" spans="1:18" x14ac:dyDescent="0.25">
      <c r="A92" s="5">
        <f t="shared" si="0"/>
        <v>-0.27465543001603043</v>
      </c>
      <c r="B92" t="s">
        <v>27</v>
      </c>
      <c r="C92" s="5" t="str">
        <f t="shared" si="1"/>
        <v>B</v>
      </c>
      <c r="D92">
        <v>164</v>
      </c>
      <c r="E92">
        <v>118.956509477371</v>
      </c>
      <c r="F92"/>
      <c r="G92"/>
      <c r="K92"/>
      <c r="Q92" s="5"/>
      <c r="R92" s="5"/>
    </row>
    <row r="93" spans="1:18" x14ac:dyDescent="0.25">
      <c r="A93" s="5">
        <f t="shared" si="0"/>
        <v>3.54521248416797E-2</v>
      </c>
      <c r="B93" t="s">
        <v>27</v>
      </c>
      <c r="C93" s="5" t="str">
        <f t="shared" si="1"/>
        <v>A</v>
      </c>
      <c r="D93">
        <v>128</v>
      </c>
      <c r="E93">
        <v>132.537871979735</v>
      </c>
      <c r="F93"/>
      <c r="G93"/>
      <c r="K93"/>
      <c r="Q93" s="5"/>
      <c r="R93" s="5"/>
    </row>
    <row r="94" spans="1:18" x14ac:dyDescent="0.25">
      <c r="A94" s="5">
        <f t="shared" si="0"/>
        <v>0.40408832197276623</v>
      </c>
      <c r="B94" t="s">
        <v>28</v>
      </c>
      <c r="C94" s="5" t="str">
        <f t="shared" si="1"/>
        <v>B</v>
      </c>
      <c r="D94">
        <v>77</v>
      </c>
      <c r="E94">
        <v>108.11480079190299</v>
      </c>
      <c r="F94"/>
      <c r="G94"/>
      <c r="L94"/>
      <c r="Q94" s="5"/>
      <c r="R94" s="5"/>
    </row>
    <row r="95" spans="1:18" x14ac:dyDescent="0.25">
      <c r="A95" s="5">
        <f t="shared" si="0"/>
        <v>-0.20276267095315037</v>
      </c>
      <c r="B95" t="s">
        <v>28</v>
      </c>
      <c r="C95" s="5" t="str">
        <f t="shared" si="1"/>
        <v>B</v>
      </c>
      <c r="D95">
        <v>133</v>
      </c>
      <c r="E95">
        <v>106.03256476323099</v>
      </c>
      <c r="F95"/>
      <c r="G95"/>
      <c r="L95"/>
      <c r="Q95" s="5"/>
      <c r="R95" s="5"/>
    </row>
    <row r="96" spans="1:18" x14ac:dyDescent="0.25">
      <c r="A96" s="5">
        <f t="shared" si="0"/>
        <v>-1.9965532739054437E-2</v>
      </c>
      <c r="B96" t="s">
        <v>28</v>
      </c>
      <c r="C96" s="5" t="str">
        <f t="shared" si="1"/>
        <v>A</v>
      </c>
      <c r="D96">
        <v>110</v>
      </c>
      <c r="E96">
        <v>107.80379139870401</v>
      </c>
      <c r="F96"/>
      <c r="G96"/>
      <c r="L96"/>
      <c r="Q96" s="5"/>
      <c r="R96" s="5"/>
    </row>
    <row r="97" spans="1:18" x14ac:dyDescent="0.25">
      <c r="A97" s="5">
        <f t="shared" si="0"/>
        <v>7.1134573718156791E-2</v>
      </c>
      <c r="B97" t="s">
        <v>28</v>
      </c>
      <c r="C97" s="5" t="str">
        <f t="shared" si="1"/>
        <v>A</v>
      </c>
      <c r="D97">
        <v>102</v>
      </c>
      <c r="E97">
        <v>109.25572651925199</v>
      </c>
      <c r="F97"/>
      <c r="G97"/>
      <c r="L97"/>
      <c r="Q97" s="5"/>
      <c r="R97" s="5"/>
    </row>
    <row r="98" spans="1:18" x14ac:dyDescent="0.25">
      <c r="A98" s="5">
        <f t="shared" si="0"/>
        <v>0.40563954645493672</v>
      </c>
      <c r="B98" t="s">
        <v>28</v>
      </c>
      <c r="C98" s="5" t="str">
        <f t="shared" si="1"/>
        <v>B</v>
      </c>
      <c r="D98">
        <v>79</v>
      </c>
      <c r="E98">
        <v>111.04552416993999</v>
      </c>
      <c r="F98"/>
      <c r="G98"/>
      <c r="L98"/>
      <c r="Q98" s="5"/>
      <c r="R98" s="5"/>
    </row>
    <row r="99" spans="1:18" x14ac:dyDescent="0.25">
      <c r="A99" s="5">
        <f t="shared" si="0"/>
        <v>-0.32155447986213548</v>
      </c>
      <c r="B99" t="s">
        <v>28</v>
      </c>
      <c r="C99" s="5" t="str">
        <f t="shared" si="1"/>
        <v>B</v>
      </c>
      <c r="D99">
        <v>155</v>
      </c>
      <c r="E99">
        <v>105.15905562136901</v>
      </c>
      <c r="F99"/>
      <c r="G99"/>
      <c r="L99"/>
      <c r="Q99" s="5"/>
      <c r="R99" s="5"/>
    </row>
    <row r="100" spans="1:18" x14ac:dyDescent="0.25">
      <c r="A100" s="5">
        <f t="shared" si="0"/>
        <v>-0.33169947393869181</v>
      </c>
      <c r="B100" t="s">
        <v>28</v>
      </c>
      <c r="C100" s="5" t="str">
        <f t="shared" si="1"/>
        <v>B</v>
      </c>
      <c r="D100">
        <v>159</v>
      </c>
      <c r="E100">
        <v>106.25978364374799</v>
      </c>
      <c r="F100"/>
      <c r="G100"/>
      <c r="L100"/>
      <c r="Q100" s="5"/>
      <c r="R100" s="5"/>
    </row>
    <row r="101" spans="1:18" x14ac:dyDescent="0.25">
      <c r="A101" s="5">
        <f t="shared" si="0"/>
        <v>-7.2055302661254483E-2</v>
      </c>
      <c r="B101" t="s">
        <v>28</v>
      </c>
      <c r="C101" s="5" t="str">
        <f t="shared" si="1"/>
        <v>A</v>
      </c>
      <c r="D101">
        <v>114</v>
      </c>
      <c r="E101">
        <v>105.785695496617</v>
      </c>
      <c r="F101"/>
      <c r="G101"/>
      <c r="L101"/>
      <c r="Q101" s="5"/>
      <c r="R101" s="5"/>
    </row>
    <row r="102" spans="1:18" x14ac:dyDescent="0.25">
      <c r="A102" s="5">
        <f t="shared" si="0"/>
        <v>0.52228236420256602</v>
      </c>
      <c r="B102" t="s">
        <v>29</v>
      </c>
      <c r="C102" s="5" t="str">
        <f t="shared" si="1"/>
        <v>B</v>
      </c>
      <c r="D102">
        <v>136</v>
      </c>
      <c r="E102">
        <v>207.03040153154899</v>
      </c>
      <c r="F102"/>
      <c r="G102"/>
      <c r="L102"/>
      <c r="Q102" s="5"/>
      <c r="R102" s="5"/>
    </row>
    <row r="103" spans="1:18" x14ac:dyDescent="0.25">
      <c r="A103" s="5">
        <f t="shared" ref="A103:A166" si="3">E103/D103-1</f>
        <v>0.37997561731443996</v>
      </c>
      <c r="B103" t="s">
        <v>29</v>
      </c>
      <c r="C103" s="5" t="str">
        <f t="shared" ref="C103:C166" si="4">IF(OR(A103&gt;=20%,A103&lt;=-20%),"B","A")</f>
        <v>B</v>
      </c>
      <c r="D103">
        <v>125</v>
      </c>
      <c r="E103">
        <v>172.49695216430499</v>
      </c>
      <c r="F103"/>
      <c r="G103"/>
      <c r="L103"/>
      <c r="Q103" s="5"/>
      <c r="R103" s="5"/>
    </row>
    <row r="104" spans="1:18" x14ac:dyDescent="0.25">
      <c r="A104" s="5">
        <f t="shared" si="3"/>
        <v>0.2881164467953512</v>
      </c>
      <c r="B104" t="s">
        <v>29</v>
      </c>
      <c r="C104" s="5" t="str">
        <f t="shared" si="4"/>
        <v>B</v>
      </c>
      <c r="D104">
        <v>168</v>
      </c>
      <c r="E104">
        <v>216.403563061619</v>
      </c>
      <c r="F104"/>
      <c r="G104"/>
      <c r="L104"/>
      <c r="Q104" s="5"/>
      <c r="R104" s="5"/>
    </row>
    <row r="105" spans="1:18" x14ac:dyDescent="0.25">
      <c r="A105" s="5">
        <f t="shared" si="3"/>
        <v>0.34247365589617562</v>
      </c>
      <c r="B105" t="s">
        <v>29</v>
      </c>
      <c r="C105" s="5" t="str">
        <f t="shared" si="4"/>
        <v>B</v>
      </c>
      <c r="D105">
        <v>148</v>
      </c>
      <c r="E105">
        <v>198.68610107263399</v>
      </c>
      <c r="F105"/>
      <c r="G105"/>
      <c r="L105"/>
      <c r="Q105" s="5"/>
      <c r="R105" s="5"/>
    </row>
    <row r="106" spans="1:18" x14ac:dyDescent="0.25">
      <c r="A106" s="5">
        <f t="shared" si="3"/>
        <v>-6.6008135918588784E-2</v>
      </c>
      <c r="B106" t="s">
        <v>29</v>
      </c>
      <c r="C106" s="5" t="str">
        <f t="shared" si="4"/>
        <v>A</v>
      </c>
      <c r="D106">
        <v>214</v>
      </c>
      <c r="E106">
        <v>199.87425891342201</v>
      </c>
      <c r="F106"/>
      <c r="G106"/>
      <c r="L106"/>
      <c r="Q106" s="5"/>
      <c r="R106" s="5"/>
    </row>
    <row r="107" spans="1:18" x14ac:dyDescent="0.25">
      <c r="A107" s="5">
        <f t="shared" si="3"/>
        <v>7.4360988203979517E-2</v>
      </c>
      <c r="B107" t="s">
        <v>30</v>
      </c>
      <c r="C107" s="5" t="str">
        <f t="shared" si="4"/>
        <v>A</v>
      </c>
      <c r="D107">
        <v>196</v>
      </c>
      <c r="E107">
        <v>210.57475368798001</v>
      </c>
      <c r="F107"/>
      <c r="G107"/>
      <c r="L107"/>
      <c r="Q107" s="5"/>
      <c r="R107" s="5"/>
    </row>
    <row r="108" spans="1:18" x14ac:dyDescent="0.25">
      <c r="A108" s="5">
        <f t="shared" si="3"/>
        <v>7.8532553396935878E-2</v>
      </c>
      <c r="B108" t="s">
        <v>30</v>
      </c>
      <c r="C108" s="5" t="str">
        <f t="shared" si="4"/>
        <v>A</v>
      </c>
      <c r="D108">
        <v>203</v>
      </c>
      <c r="E108">
        <v>218.942108339578</v>
      </c>
      <c r="F108"/>
      <c r="G108"/>
      <c r="L108"/>
      <c r="Q108" s="5"/>
      <c r="R108" s="5"/>
    </row>
    <row r="109" spans="1:18" x14ac:dyDescent="0.25">
      <c r="A109" s="5">
        <f t="shared" si="3"/>
        <v>-0.13599665195261867</v>
      </c>
      <c r="B109" t="s">
        <v>30</v>
      </c>
      <c r="C109" s="5" t="str">
        <f t="shared" si="4"/>
        <v>A</v>
      </c>
      <c r="D109">
        <v>278</v>
      </c>
      <c r="E109">
        <v>240.19293075717201</v>
      </c>
      <c r="F109"/>
      <c r="G109"/>
      <c r="L109"/>
      <c r="Q109" s="5"/>
      <c r="R109" s="5"/>
    </row>
    <row r="110" spans="1:18" x14ac:dyDescent="0.25">
      <c r="A110" s="5">
        <f t="shared" si="3"/>
        <v>0.10701839335630714</v>
      </c>
      <c r="B110" t="s">
        <v>30</v>
      </c>
      <c r="C110" s="5" t="str">
        <f t="shared" si="4"/>
        <v>A</v>
      </c>
      <c r="D110">
        <v>228</v>
      </c>
      <c r="E110">
        <v>252.40019368523801</v>
      </c>
      <c r="F110"/>
      <c r="G110"/>
      <c r="L110"/>
      <c r="Q110" s="5"/>
      <c r="R110" s="5"/>
    </row>
    <row r="111" spans="1:18" x14ac:dyDescent="0.25">
      <c r="A111" s="5">
        <f t="shared" si="3"/>
        <v>0.31445867834761554</v>
      </c>
      <c r="B111" t="s">
        <v>30</v>
      </c>
      <c r="C111" s="5" t="str">
        <f t="shared" si="4"/>
        <v>B</v>
      </c>
      <c r="D111">
        <v>195</v>
      </c>
      <c r="E111">
        <v>256.31944227778501</v>
      </c>
      <c r="F111"/>
      <c r="G111"/>
      <c r="L111"/>
      <c r="Q111" s="5"/>
      <c r="R111" s="5"/>
    </row>
    <row r="112" spans="1:18" x14ac:dyDescent="0.25">
      <c r="A112" s="5">
        <f t="shared" si="3"/>
        <v>-0.24033473841751485</v>
      </c>
      <c r="B112" t="s">
        <v>22</v>
      </c>
      <c r="C112" s="5" t="str">
        <f t="shared" si="4"/>
        <v>B</v>
      </c>
      <c r="D112">
        <v>253.5</v>
      </c>
      <c r="E112">
        <v>192.57514381115999</v>
      </c>
      <c r="F112"/>
      <c r="G112"/>
      <c r="L112"/>
      <c r="Q112" s="5"/>
      <c r="R112" s="5"/>
    </row>
    <row r="113" spans="1:18" x14ac:dyDescent="0.25">
      <c r="A113" s="5">
        <f t="shared" si="3"/>
        <v>-9.9601241629707182E-2</v>
      </c>
      <c r="B113" t="s">
        <v>22</v>
      </c>
      <c r="C113" s="5" t="str">
        <f t="shared" si="4"/>
        <v>A</v>
      </c>
      <c r="D113">
        <v>242.5</v>
      </c>
      <c r="E113">
        <v>218.346698904796</v>
      </c>
      <c r="F113"/>
      <c r="G113"/>
      <c r="L113"/>
      <c r="Q113" s="5"/>
      <c r="R113" s="5"/>
    </row>
    <row r="114" spans="1:18" x14ac:dyDescent="0.25">
      <c r="A114" s="5">
        <f t="shared" si="3"/>
        <v>-0.25039070963111654</v>
      </c>
      <c r="B114" t="s">
        <v>22</v>
      </c>
      <c r="C114" s="5" t="str">
        <f t="shared" si="4"/>
        <v>B</v>
      </c>
      <c r="D114">
        <v>266</v>
      </c>
      <c r="E114">
        <v>199.396071238123</v>
      </c>
      <c r="F114"/>
      <c r="G114"/>
      <c r="L114"/>
      <c r="Q114" s="5"/>
      <c r="R114" s="5"/>
    </row>
    <row r="115" spans="1:18" x14ac:dyDescent="0.25">
      <c r="A115" s="5">
        <f t="shared" si="3"/>
        <v>-2.5910492703674404E-2</v>
      </c>
      <c r="B115" t="s">
        <v>22</v>
      </c>
      <c r="C115" s="5" t="str">
        <f t="shared" si="4"/>
        <v>A</v>
      </c>
      <c r="D115">
        <v>215</v>
      </c>
      <c r="E115">
        <v>209.42924406871001</v>
      </c>
      <c r="F115"/>
      <c r="G115"/>
      <c r="L115"/>
      <c r="Q115" s="5"/>
      <c r="R115" s="5"/>
    </row>
    <row r="116" spans="1:18" x14ac:dyDescent="0.25">
      <c r="A116" s="5">
        <f t="shared" si="3"/>
        <v>0.31777156390570616</v>
      </c>
      <c r="B116" t="s">
        <v>22</v>
      </c>
      <c r="C116" s="5" t="str">
        <f t="shared" si="4"/>
        <v>B</v>
      </c>
      <c r="D116">
        <v>139.5</v>
      </c>
      <c r="E116">
        <v>183.82913316484601</v>
      </c>
      <c r="F116"/>
      <c r="G116"/>
      <c r="L116"/>
      <c r="Q116" s="5"/>
      <c r="R116" s="5"/>
    </row>
    <row r="117" spans="1:18" x14ac:dyDescent="0.25">
      <c r="A117" s="5">
        <f t="shared" si="3"/>
        <v>0.198276935824786</v>
      </c>
      <c r="B117" t="s">
        <v>24</v>
      </c>
      <c r="C117" s="5" t="str">
        <f t="shared" si="4"/>
        <v>A</v>
      </c>
      <c r="D117">
        <v>187</v>
      </c>
      <c r="E117">
        <v>224.077786999235</v>
      </c>
      <c r="F117"/>
      <c r="G117"/>
      <c r="L117"/>
      <c r="Q117" s="5"/>
      <c r="R117" s="5"/>
    </row>
    <row r="118" spans="1:18" x14ac:dyDescent="0.25">
      <c r="A118" s="5">
        <f t="shared" si="3"/>
        <v>-8.375071440374382E-2</v>
      </c>
      <c r="B118" t="s">
        <v>24</v>
      </c>
      <c r="C118" s="5" t="str">
        <f t="shared" si="4"/>
        <v>A</v>
      </c>
      <c r="D118">
        <v>281</v>
      </c>
      <c r="E118">
        <v>257.46604925254798</v>
      </c>
      <c r="F118"/>
      <c r="G118"/>
      <c r="L118"/>
      <c r="Q118" s="5"/>
      <c r="R118" s="5"/>
    </row>
    <row r="119" spans="1:18" x14ac:dyDescent="0.25">
      <c r="A119" s="5">
        <f t="shared" si="3"/>
        <v>-0.18920620302523194</v>
      </c>
      <c r="B119" t="s">
        <v>24</v>
      </c>
      <c r="C119" s="5" t="str">
        <f t="shared" si="4"/>
        <v>A</v>
      </c>
      <c r="D119">
        <v>306</v>
      </c>
      <c r="E119">
        <v>248.10290187427901</v>
      </c>
      <c r="F119"/>
      <c r="G119"/>
      <c r="L119"/>
      <c r="Q119" s="5"/>
      <c r="R119" s="5"/>
    </row>
    <row r="120" spans="1:18" x14ac:dyDescent="0.25">
      <c r="A120" s="5">
        <f t="shared" si="3"/>
        <v>-0.12515141556962017</v>
      </c>
      <c r="B120" t="s">
        <v>24</v>
      </c>
      <c r="C120" s="5" t="str">
        <f t="shared" si="4"/>
        <v>A</v>
      </c>
      <c r="D120">
        <v>258</v>
      </c>
      <c r="E120">
        <v>225.710934783038</v>
      </c>
      <c r="F120"/>
      <c r="G120"/>
      <c r="L120"/>
      <c r="Q120" s="5"/>
      <c r="R120" s="5"/>
    </row>
    <row r="121" spans="1:18" x14ac:dyDescent="0.25">
      <c r="A121" s="5">
        <f t="shared" si="3"/>
        <v>9.960448039785863E-2</v>
      </c>
      <c r="B121" t="s">
        <v>24</v>
      </c>
      <c r="C121" s="5" t="str">
        <f t="shared" si="4"/>
        <v>A</v>
      </c>
      <c r="D121">
        <v>212</v>
      </c>
      <c r="E121">
        <v>233.11614984434601</v>
      </c>
      <c r="F121"/>
      <c r="G121"/>
      <c r="L121"/>
      <c r="Q121" s="5"/>
      <c r="R121" s="5"/>
    </row>
    <row r="122" spans="1:18" x14ac:dyDescent="0.25">
      <c r="A122" s="5">
        <f t="shared" si="3"/>
        <v>0.3020319873308388</v>
      </c>
      <c r="B122" t="s">
        <v>24</v>
      </c>
      <c r="C122" s="5" t="str">
        <f t="shared" si="4"/>
        <v>B</v>
      </c>
      <c r="D122">
        <v>186</v>
      </c>
      <c r="E122">
        <v>242.17794964353601</v>
      </c>
      <c r="F122"/>
      <c r="G122"/>
      <c r="L122"/>
      <c r="Q122" s="5"/>
      <c r="R122" s="5"/>
    </row>
    <row r="123" spans="1:18" x14ac:dyDescent="0.25">
      <c r="A123" s="5">
        <f t="shared" si="3"/>
        <v>4.1357845180848729E-2</v>
      </c>
      <c r="B123" t="s">
        <v>46</v>
      </c>
      <c r="C123" s="5" t="str">
        <f t="shared" si="4"/>
        <v>A</v>
      </c>
      <c r="D123">
        <v>76</v>
      </c>
      <c r="E123">
        <v>79.143196233744504</v>
      </c>
      <c r="F123"/>
      <c r="G123"/>
      <c r="L123"/>
      <c r="Q123" s="5"/>
      <c r="R123" s="5"/>
    </row>
    <row r="124" spans="1:18" x14ac:dyDescent="0.25">
      <c r="A124" s="5">
        <f t="shared" si="3"/>
        <v>-0.26436959315262398</v>
      </c>
      <c r="B124" t="s">
        <v>46</v>
      </c>
      <c r="C124" s="5" t="str">
        <f t="shared" si="4"/>
        <v>B</v>
      </c>
      <c r="D124">
        <v>113</v>
      </c>
      <c r="E124">
        <v>83.126235973753495</v>
      </c>
      <c r="F124"/>
      <c r="G124"/>
      <c r="L124"/>
      <c r="Q124" s="5"/>
      <c r="R124" s="5"/>
    </row>
    <row r="125" spans="1:18" x14ac:dyDescent="0.25">
      <c r="A125" s="5">
        <f t="shared" si="3"/>
        <v>-5.8759768861617268E-2</v>
      </c>
      <c r="B125" t="s">
        <v>46</v>
      </c>
      <c r="C125" s="5" t="str">
        <f t="shared" si="4"/>
        <v>A</v>
      </c>
      <c r="D125">
        <v>87</v>
      </c>
      <c r="E125">
        <v>81.887900109039293</v>
      </c>
      <c r="F125"/>
      <c r="G125"/>
      <c r="L125"/>
      <c r="Q125" s="5"/>
      <c r="R125" s="5"/>
    </row>
    <row r="126" spans="1:18" x14ac:dyDescent="0.25">
      <c r="A126" s="5">
        <f t="shared" si="3"/>
        <v>-0.20330215035189625</v>
      </c>
      <c r="B126" t="s">
        <v>46</v>
      </c>
      <c r="C126" s="5" t="str">
        <f t="shared" si="4"/>
        <v>B</v>
      </c>
      <c r="D126">
        <v>81</v>
      </c>
      <c r="E126">
        <v>64.532525821496407</v>
      </c>
      <c r="F126"/>
      <c r="G126"/>
      <c r="M126"/>
      <c r="Q126" s="5"/>
      <c r="R126" s="5"/>
    </row>
    <row r="127" spans="1:18" x14ac:dyDescent="0.25">
      <c r="A127" s="5">
        <f t="shared" si="3"/>
        <v>3.5254012151772818E-2</v>
      </c>
      <c r="B127" t="s">
        <v>46</v>
      </c>
      <c r="C127" s="5" t="str">
        <f t="shared" si="4"/>
        <v>A</v>
      </c>
      <c r="D127">
        <v>110</v>
      </c>
      <c r="E127">
        <v>113.877941336695</v>
      </c>
      <c r="F127"/>
      <c r="G127"/>
      <c r="M127"/>
      <c r="Q127" s="5"/>
      <c r="R127" s="5"/>
    </row>
    <row r="128" spans="1:18" x14ac:dyDescent="0.25">
      <c r="A128" s="5">
        <f t="shared" si="3"/>
        <v>-0.24695041365876491</v>
      </c>
      <c r="B128" t="s">
        <v>46</v>
      </c>
      <c r="C128" s="5" t="str">
        <f t="shared" si="4"/>
        <v>B</v>
      </c>
      <c r="D128">
        <v>111</v>
      </c>
      <c r="E128">
        <v>83.588504083877098</v>
      </c>
      <c r="F128"/>
      <c r="G128"/>
      <c r="M128"/>
      <c r="Q128" s="5"/>
      <c r="R128" s="5"/>
    </row>
    <row r="129" spans="1:18" x14ac:dyDescent="0.25">
      <c r="A129" s="5">
        <f t="shared" si="3"/>
        <v>-2.6459433988387127E-2</v>
      </c>
      <c r="B129" t="s">
        <v>46</v>
      </c>
      <c r="C129" s="5" t="str">
        <f t="shared" si="4"/>
        <v>A</v>
      </c>
      <c r="D129">
        <v>93</v>
      </c>
      <c r="E129">
        <v>90.539272639079996</v>
      </c>
      <c r="F129"/>
      <c r="G129"/>
      <c r="M129"/>
      <c r="Q129" s="5"/>
      <c r="R129" s="5"/>
    </row>
    <row r="130" spans="1:18" x14ac:dyDescent="0.25">
      <c r="A130" s="5">
        <f t="shared" si="3"/>
        <v>8.5016131876312295E-2</v>
      </c>
      <c r="B130" t="s">
        <v>24</v>
      </c>
      <c r="C130" s="5" t="str">
        <f t="shared" si="4"/>
        <v>A</v>
      </c>
      <c r="D130">
        <v>221</v>
      </c>
      <c r="E130">
        <v>239.788565144665</v>
      </c>
      <c r="F130"/>
      <c r="G130"/>
      <c r="M130"/>
      <c r="Q130" s="5"/>
      <c r="R130" s="5"/>
    </row>
    <row r="131" spans="1:18" x14ac:dyDescent="0.25">
      <c r="A131" s="5">
        <f t="shared" si="3"/>
        <v>-5.7914244645925206E-2</v>
      </c>
      <c r="B131" t="s">
        <v>24</v>
      </c>
      <c r="C131" s="5" t="str">
        <f t="shared" si="4"/>
        <v>A</v>
      </c>
      <c r="D131">
        <v>281</v>
      </c>
      <c r="E131">
        <v>264.72609725449502</v>
      </c>
      <c r="F131"/>
      <c r="G131"/>
      <c r="M131"/>
      <c r="Q131" s="5"/>
      <c r="R131" s="5"/>
    </row>
    <row r="132" spans="1:18" x14ac:dyDescent="0.25">
      <c r="A132" s="5">
        <f t="shared" si="3"/>
        <v>-0.2249693745574739</v>
      </c>
      <c r="B132" t="s">
        <v>24</v>
      </c>
      <c r="C132" s="5" t="str">
        <f t="shared" si="4"/>
        <v>B</v>
      </c>
      <c r="D132">
        <v>287</v>
      </c>
      <c r="E132">
        <v>222.433789502005</v>
      </c>
      <c r="F132"/>
      <c r="G132"/>
      <c r="M132"/>
      <c r="Q132" s="5"/>
      <c r="R132" s="5"/>
    </row>
    <row r="133" spans="1:18" x14ac:dyDescent="0.25">
      <c r="A133" s="5">
        <f t="shared" si="3"/>
        <v>-7.5147394902461695E-3</v>
      </c>
      <c r="B133" t="s">
        <v>24</v>
      </c>
      <c r="C133" s="5" t="str">
        <f t="shared" si="4"/>
        <v>A</v>
      </c>
      <c r="D133">
        <v>260</v>
      </c>
      <c r="E133">
        <v>258.04616773253599</v>
      </c>
      <c r="F133"/>
      <c r="G133"/>
      <c r="M133"/>
      <c r="Q133" s="5"/>
      <c r="R133" s="5"/>
    </row>
    <row r="134" spans="1:18" x14ac:dyDescent="0.25">
      <c r="A134" s="5">
        <f t="shared" si="3"/>
        <v>-7.0018447604642597E-2</v>
      </c>
      <c r="B134" t="s">
        <v>24</v>
      </c>
      <c r="C134" s="5" t="str">
        <f t="shared" si="4"/>
        <v>A</v>
      </c>
      <c r="D134">
        <v>263</v>
      </c>
      <c r="E134">
        <v>244.58514827997899</v>
      </c>
      <c r="F134"/>
      <c r="G134"/>
      <c r="N134"/>
      <c r="Q134" s="5"/>
      <c r="R134" s="5"/>
    </row>
    <row r="135" spans="1:18" x14ac:dyDescent="0.25">
      <c r="A135" s="5">
        <f t="shared" si="3"/>
        <v>-0.18642548253542102</v>
      </c>
      <c r="B135" t="s">
        <v>24</v>
      </c>
      <c r="C135" s="5" t="str">
        <f t="shared" si="4"/>
        <v>A</v>
      </c>
      <c r="D135">
        <v>323</v>
      </c>
      <c r="E135">
        <v>262.78456914105902</v>
      </c>
      <c r="F135"/>
      <c r="G135"/>
      <c r="N135"/>
      <c r="Q135" s="5"/>
      <c r="R135" s="5"/>
    </row>
    <row r="136" spans="1:18" x14ac:dyDescent="0.25">
      <c r="A136" s="5">
        <f t="shared" si="3"/>
        <v>-0.23664910764134661</v>
      </c>
      <c r="B136" t="s">
        <v>47</v>
      </c>
      <c r="C136" s="5" t="str">
        <f t="shared" si="4"/>
        <v>B</v>
      </c>
      <c r="D136">
        <v>150</v>
      </c>
      <c r="E136">
        <v>114.502633853798</v>
      </c>
      <c r="F136"/>
      <c r="G136"/>
      <c r="N136"/>
      <c r="Q136" s="5"/>
      <c r="R136" s="5"/>
    </row>
    <row r="137" spans="1:18" x14ac:dyDescent="0.25">
      <c r="A137" s="5">
        <f t="shared" si="3"/>
        <v>-5.7720494779007758E-3</v>
      </c>
      <c r="B137" t="s">
        <v>47</v>
      </c>
      <c r="C137" s="5" t="str">
        <f t="shared" si="4"/>
        <v>A</v>
      </c>
      <c r="D137">
        <v>131</v>
      </c>
      <c r="E137">
        <v>130.24386151839499</v>
      </c>
      <c r="F137"/>
      <c r="G137"/>
      <c r="N137"/>
      <c r="Q137" s="5"/>
      <c r="R137" s="5"/>
    </row>
    <row r="138" spans="1:18" x14ac:dyDescent="0.25">
      <c r="A138" s="5">
        <f t="shared" si="3"/>
        <v>-8.0971143085092012E-2</v>
      </c>
      <c r="B138" t="s">
        <v>47</v>
      </c>
      <c r="C138" s="5" t="str">
        <f t="shared" si="4"/>
        <v>A</v>
      </c>
      <c r="D138">
        <v>152</v>
      </c>
      <c r="E138">
        <v>139.69238625106601</v>
      </c>
      <c r="F138"/>
      <c r="G138"/>
      <c r="N138"/>
      <c r="Q138" s="5"/>
      <c r="R138" s="5"/>
    </row>
    <row r="139" spans="1:18" x14ac:dyDescent="0.25">
      <c r="A139" s="5">
        <f t="shared" si="3"/>
        <v>-0.23784051101671155</v>
      </c>
      <c r="B139" t="s">
        <v>47</v>
      </c>
      <c r="C139" s="5" t="str">
        <f t="shared" si="4"/>
        <v>B</v>
      </c>
      <c r="D139">
        <v>156</v>
      </c>
      <c r="E139">
        <v>118.896880281393</v>
      </c>
      <c r="F139"/>
      <c r="G139"/>
      <c r="N139"/>
      <c r="Q139" s="5"/>
      <c r="R139" s="5"/>
    </row>
    <row r="140" spans="1:18" x14ac:dyDescent="0.25">
      <c r="A140" s="5">
        <f t="shared" si="3"/>
        <v>0.15451481820239787</v>
      </c>
      <c r="B140" t="s">
        <v>47</v>
      </c>
      <c r="C140" s="5" t="str">
        <f t="shared" si="4"/>
        <v>A</v>
      </c>
      <c r="D140">
        <v>93</v>
      </c>
      <c r="E140">
        <v>107.369878092823</v>
      </c>
      <c r="F140"/>
      <c r="G140"/>
      <c r="N140"/>
      <c r="Q140" s="5"/>
      <c r="R140" s="5"/>
    </row>
    <row r="141" spans="1:18" x14ac:dyDescent="0.25">
      <c r="A141" s="5">
        <f t="shared" si="3"/>
        <v>-0.17995894520366451</v>
      </c>
      <c r="B141" t="s">
        <v>47</v>
      </c>
      <c r="C141" s="5" t="str">
        <f t="shared" si="4"/>
        <v>A</v>
      </c>
      <c r="D141">
        <v>155</v>
      </c>
      <c r="E141">
        <v>127.106363493432</v>
      </c>
      <c r="F141"/>
      <c r="G141"/>
      <c r="N141"/>
      <c r="Q141" s="5"/>
      <c r="R141" s="5"/>
    </row>
    <row r="142" spans="1:18" x14ac:dyDescent="0.25">
      <c r="A142" s="5">
        <f t="shared" si="3"/>
        <v>-0.1555441359205102</v>
      </c>
      <c r="B142" t="s">
        <v>47</v>
      </c>
      <c r="C142" s="5" t="str">
        <f t="shared" si="4"/>
        <v>A</v>
      </c>
      <c r="D142">
        <v>147</v>
      </c>
      <c r="E142">
        <v>124.13501201968501</v>
      </c>
      <c r="F142"/>
      <c r="G142"/>
      <c r="O142"/>
      <c r="Q142" s="5"/>
      <c r="R142" s="5"/>
    </row>
    <row r="143" spans="1:18" x14ac:dyDescent="0.25">
      <c r="A143" s="5">
        <f t="shared" si="3"/>
        <v>-9.2816460826783409E-4</v>
      </c>
      <c r="B143" t="s">
        <v>47</v>
      </c>
      <c r="C143" s="5" t="str">
        <f t="shared" si="4"/>
        <v>A</v>
      </c>
      <c r="D143">
        <v>112</v>
      </c>
      <c r="E143">
        <v>111.896045563874</v>
      </c>
      <c r="F143"/>
      <c r="G143"/>
      <c r="O143"/>
      <c r="Q143" s="5"/>
      <c r="R143" s="5"/>
    </row>
    <row r="144" spans="1:18" x14ac:dyDescent="0.25">
      <c r="A144" s="5">
        <f t="shared" si="3"/>
        <v>0.26024291435314839</v>
      </c>
      <c r="B144" t="s">
        <v>23</v>
      </c>
      <c r="C144" s="5" t="str">
        <f t="shared" si="4"/>
        <v>B</v>
      </c>
      <c r="D144">
        <v>101</v>
      </c>
      <c r="E144">
        <v>127.28453434966799</v>
      </c>
      <c r="F144"/>
      <c r="G144"/>
      <c r="O144"/>
      <c r="Q144" s="5"/>
      <c r="R144" s="5"/>
    </row>
    <row r="145" spans="1:18" x14ac:dyDescent="0.25">
      <c r="A145" s="5">
        <f t="shared" si="3"/>
        <v>-0.23813157453611522</v>
      </c>
      <c r="B145" t="s">
        <v>23</v>
      </c>
      <c r="C145" s="5" t="str">
        <f t="shared" si="4"/>
        <v>B</v>
      </c>
      <c r="D145">
        <v>173.5</v>
      </c>
      <c r="E145">
        <v>132.18417181798401</v>
      </c>
      <c r="F145"/>
      <c r="G145"/>
      <c r="O145"/>
      <c r="Q145" s="5"/>
      <c r="R145" s="5"/>
    </row>
    <row r="146" spans="1:18" x14ac:dyDescent="0.25">
      <c r="A146" s="5">
        <f t="shared" si="3"/>
        <v>-7.1338572604134787E-2</v>
      </c>
      <c r="B146" t="s">
        <v>23</v>
      </c>
      <c r="C146" s="5" t="str">
        <f t="shared" si="4"/>
        <v>A</v>
      </c>
      <c r="D146">
        <v>141</v>
      </c>
      <c r="E146">
        <v>130.94126126281699</v>
      </c>
      <c r="F146"/>
      <c r="G146"/>
      <c r="O146"/>
      <c r="Q146" s="5"/>
      <c r="R146" s="5"/>
    </row>
    <row r="147" spans="1:18" x14ac:dyDescent="0.25">
      <c r="A147" s="5">
        <f t="shared" si="3"/>
        <v>-0.13213894429908279</v>
      </c>
      <c r="B147" t="s">
        <v>23</v>
      </c>
      <c r="C147" s="5" t="str">
        <f t="shared" si="4"/>
        <v>A</v>
      </c>
      <c r="D147">
        <v>157</v>
      </c>
      <c r="E147">
        <v>136.254185745044</v>
      </c>
      <c r="F147"/>
      <c r="G147"/>
      <c r="O147"/>
      <c r="Q147" s="5"/>
      <c r="R147" s="5"/>
    </row>
    <row r="148" spans="1:18" x14ac:dyDescent="0.25">
      <c r="A148" s="5">
        <f t="shared" si="3"/>
        <v>0.28135085606285704</v>
      </c>
      <c r="B148" t="s">
        <v>23</v>
      </c>
      <c r="C148" s="5" t="str">
        <f t="shared" si="4"/>
        <v>B</v>
      </c>
      <c r="D148">
        <v>138.25</v>
      </c>
      <c r="E148">
        <v>177.14675585069</v>
      </c>
      <c r="F148"/>
      <c r="G148"/>
      <c r="O148"/>
      <c r="Q148" s="5"/>
      <c r="R148" s="5"/>
    </row>
    <row r="149" spans="1:18" x14ac:dyDescent="0.25">
      <c r="A149" s="5">
        <f t="shared" si="3"/>
        <v>0.1593673228095136</v>
      </c>
      <c r="B149" t="s">
        <v>23</v>
      </c>
      <c r="C149" s="5" t="str">
        <f t="shared" si="4"/>
        <v>A</v>
      </c>
      <c r="D149">
        <v>111</v>
      </c>
      <c r="E149">
        <v>128.689772831856</v>
      </c>
      <c r="F149"/>
      <c r="G149"/>
      <c r="O149"/>
      <c r="Q149" s="5"/>
      <c r="R149" s="5"/>
    </row>
    <row r="150" spans="1:18" x14ac:dyDescent="0.25">
      <c r="A150" s="5">
        <f t="shared" si="3"/>
        <v>8.7233615099008954E-2</v>
      </c>
      <c r="B150" t="s">
        <v>23</v>
      </c>
      <c r="C150" s="5" t="str">
        <f t="shared" si="4"/>
        <v>A</v>
      </c>
      <c r="D150">
        <v>111</v>
      </c>
      <c r="E150">
        <v>120.68293127599</v>
      </c>
      <c r="F150"/>
      <c r="G150"/>
      <c r="O150"/>
      <c r="Q150" s="5"/>
      <c r="R150" s="5"/>
    </row>
    <row r="151" spans="1:18" x14ac:dyDescent="0.25">
      <c r="A151" s="5">
        <f t="shared" si="3"/>
        <v>0.23509500223335777</v>
      </c>
      <c r="B151" t="s">
        <v>23</v>
      </c>
      <c r="C151" s="5" t="str">
        <f t="shared" si="4"/>
        <v>B</v>
      </c>
      <c r="D151">
        <v>95</v>
      </c>
      <c r="E151">
        <v>117.334025212169</v>
      </c>
      <c r="F151"/>
      <c r="G151"/>
      <c r="O151"/>
      <c r="Q151" s="5"/>
      <c r="R151" s="5"/>
    </row>
    <row r="152" spans="1:18" x14ac:dyDescent="0.25">
      <c r="A152" s="5">
        <f t="shared" si="3"/>
        <v>-0.12408083660987856</v>
      </c>
      <c r="B152" t="s">
        <v>23</v>
      </c>
      <c r="C152" s="5" t="str">
        <f t="shared" si="4"/>
        <v>A</v>
      </c>
      <c r="D152">
        <v>156.5</v>
      </c>
      <c r="E152">
        <v>137.08134907055401</v>
      </c>
      <c r="F152"/>
      <c r="G152"/>
      <c r="Q152" s="5"/>
      <c r="R152" s="5"/>
    </row>
    <row r="153" spans="1:18" x14ac:dyDescent="0.25">
      <c r="A153" s="5">
        <f t="shared" si="3"/>
        <v>9.3832750416551702E-2</v>
      </c>
      <c r="B153" t="s">
        <v>23</v>
      </c>
      <c r="C153" s="5" t="str">
        <f t="shared" si="4"/>
        <v>A</v>
      </c>
      <c r="D153">
        <v>116</v>
      </c>
      <c r="E153">
        <v>126.88459904832</v>
      </c>
      <c r="F153"/>
      <c r="G153"/>
      <c r="Q153" s="5"/>
      <c r="R153" s="5"/>
    </row>
    <row r="154" spans="1:18" x14ac:dyDescent="0.25">
      <c r="A154" s="5">
        <f t="shared" si="3"/>
        <v>4.1763195630570182E-2</v>
      </c>
      <c r="B154" t="s">
        <v>23</v>
      </c>
      <c r="C154" s="5" t="str">
        <f t="shared" si="4"/>
        <v>A</v>
      </c>
      <c r="D154">
        <v>121</v>
      </c>
      <c r="E154">
        <v>126.053346671299</v>
      </c>
      <c r="F154"/>
      <c r="G154"/>
      <c r="Q154" s="5"/>
      <c r="R154" s="5"/>
    </row>
    <row r="155" spans="1:18" x14ac:dyDescent="0.25">
      <c r="A155" s="5">
        <f t="shared" si="3"/>
        <v>0.10709077581399074</v>
      </c>
      <c r="B155" t="s">
        <v>48</v>
      </c>
      <c r="C155" s="5" t="str">
        <f t="shared" si="4"/>
        <v>A</v>
      </c>
      <c r="D155">
        <v>108.5</v>
      </c>
      <c r="E155">
        <v>120.119349175818</v>
      </c>
      <c r="F155"/>
      <c r="G155"/>
      <c r="Q155" s="5"/>
      <c r="R155" s="5"/>
    </row>
    <row r="156" spans="1:18" x14ac:dyDescent="0.25">
      <c r="A156" s="5">
        <f t="shared" si="3"/>
        <v>-0.2306079101362063</v>
      </c>
      <c r="B156" t="s">
        <v>48</v>
      </c>
      <c r="C156" s="5" t="str">
        <f t="shared" si="4"/>
        <v>B</v>
      </c>
      <c r="D156">
        <v>203.5</v>
      </c>
      <c r="E156">
        <v>156.57129028728201</v>
      </c>
      <c r="F156"/>
      <c r="G156"/>
      <c r="Q156" s="5"/>
      <c r="R156" s="5"/>
    </row>
    <row r="157" spans="1:18" x14ac:dyDescent="0.25">
      <c r="A157" s="5">
        <f t="shared" si="3"/>
        <v>-0.15511091063922022</v>
      </c>
      <c r="B157" t="s">
        <v>48</v>
      </c>
      <c r="C157" s="5" t="str">
        <f t="shared" si="4"/>
        <v>A</v>
      </c>
      <c r="D157">
        <v>159</v>
      </c>
      <c r="E157">
        <v>134.33736520836399</v>
      </c>
      <c r="F157"/>
      <c r="G157"/>
      <c r="Q157" s="5"/>
      <c r="R157" s="5"/>
    </row>
    <row r="158" spans="1:18" x14ac:dyDescent="0.25">
      <c r="A158" s="5">
        <f t="shared" si="3"/>
        <v>0.37614340295543958</v>
      </c>
      <c r="B158" t="s">
        <v>48</v>
      </c>
      <c r="C158" s="5" t="str">
        <f t="shared" si="4"/>
        <v>B</v>
      </c>
      <c r="D158">
        <v>91</v>
      </c>
      <c r="E158">
        <v>125.229049668945</v>
      </c>
      <c r="F158"/>
      <c r="G158"/>
      <c r="Q158" s="5"/>
      <c r="R158" s="5"/>
    </row>
    <row r="159" spans="1:18" x14ac:dyDescent="0.25">
      <c r="A159" s="5">
        <f t="shared" si="3"/>
        <v>0.48170374251454851</v>
      </c>
      <c r="B159" t="s">
        <v>48</v>
      </c>
      <c r="C159" s="5" t="str">
        <f t="shared" si="4"/>
        <v>B</v>
      </c>
      <c r="D159">
        <v>87.5</v>
      </c>
      <c r="E159">
        <v>129.649077470023</v>
      </c>
      <c r="F159"/>
      <c r="G159"/>
      <c r="Q159" s="5"/>
      <c r="R159" s="5"/>
    </row>
    <row r="160" spans="1:18" x14ac:dyDescent="0.25">
      <c r="A160" s="5">
        <f t="shared" si="3"/>
        <v>-7.4439192484389238E-2</v>
      </c>
      <c r="B160" t="s">
        <v>48</v>
      </c>
      <c r="C160" s="5" t="str">
        <f t="shared" si="4"/>
        <v>A</v>
      </c>
      <c r="D160">
        <v>131</v>
      </c>
      <c r="E160">
        <v>121.248465784545</v>
      </c>
      <c r="F160"/>
      <c r="G160"/>
      <c r="Q160" s="5"/>
      <c r="R160" s="5"/>
    </row>
    <row r="161" spans="1:18" x14ac:dyDescent="0.25">
      <c r="A161" s="5">
        <f t="shared" si="3"/>
        <v>-3.4922943947727658E-2</v>
      </c>
      <c r="B161" t="s">
        <v>48</v>
      </c>
      <c r="C161" s="5" t="str">
        <f t="shared" si="4"/>
        <v>A</v>
      </c>
      <c r="D161">
        <v>117.5</v>
      </c>
      <c r="E161">
        <v>113.396554086142</v>
      </c>
      <c r="F161"/>
      <c r="G161"/>
      <c r="Q161" s="5"/>
      <c r="R161" s="5"/>
    </row>
    <row r="162" spans="1:18" x14ac:dyDescent="0.25">
      <c r="A162" s="5">
        <f t="shared" si="3"/>
        <v>0.3374399341145522</v>
      </c>
      <c r="B162" t="s">
        <v>48</v>
      </c>
      <c r="C162" s="5" t="str">
        <f t="shared" si="4"/>
        <v>B</v>
      </c>
      <c r="D162">
        <v>105</v>
      </c>
      <c r="E162">
        <v>140.43119308202799</v>
      </c>
      <c r="F162"/>
      <c r="G162"/>
      <c r="Q162" s="5"/>
      <c r="R162" s="5"/>
    </row>
    <row r="163" spans="1:18" x14ac:dyDescent="0.25">
      <c r="A163" s="5">
        <f t="shared" si="3"/>
        <v>0.31185655307431404</v>
      </c>
      <c r="B163" t="s">
        <v>48</v>
      </c>
      <c r="C163" s="5" t="str">
        <f t="shared" si="4"/>
        <v>B</v>
      </c>
      <c r="D163">
        <v>95.5</v>
      </c>
      <c r="E163">
        <v>125.28230081859699</v>
      </c>
      <c r="F163"/>
      <c r="G163"/>
      <c r="Q163" s="5"/>
      <c r="R163" s="5"/>
    </row>
    <row r="164" spans="1:18" x14ac:dyDescent="0.25">
      <c r="A164" s="5">
        <f t="shared" si="3"/>
        <v>-0.32314818783089949</v>
      </c>
      <c r="B164" t="s">
        <v>48</v>
      </c>
      <c r="C164" s="5" t="str">
        <f t="shared" si="4"/>
        <v>B</v>
      </c>
      <c r="D164">
        <v>219</v>
      </c>
      <c r="E164">
        <v>148.23054686503301</v>
      </c>
      <c r="F164"/>
      <c r="G164"/>
      <c r="Q164" s="5"/>
      <c r="R164" s="5"/>
    </row>
    <row r="165" spans="1:18" x14ac:dyDescent="0.25">
      <c r="A165" s="5">
        <f t="shared" si="3"/>
        <v>-0.35770285198372087</v>
      </c>
      <c r="B165" t="s">
        <v>48</v>
      </c>
      <c r="C165" s="5" t="str">
        <f t="shared" si="4"/>
        <v>B</v>
      </c>
      <c r="D165">
        <v>197</v>
      </c>
      <c r="E165">
        <v>126.53253815920699</v>
      </c>
      <c r="F165"/>
      <c r="G165"/>
      <c r="Q165" s="5"/>
      <c r="R165" s="5"/>
    </row>
    <row r="166" spans="1:18" x14ac:dyDescent="0.25">
      <c r="A166" s="5">
        <f t="shared" si="3"/>
        <v>-8.4396306521019482E-2</v>
      </c>
      <c r="B166" t="s">
        <v>48</v>
      </c>
      <c r="C166" s="5" t="str">
        <f t="shared" si="4"/>
        <v>A</v>
      </c>
      <c r="D166">
        <v>154</v>
      </c>
      <c r="E166">
        <v>141.002968795763</v>
      </c>
      <c r="F166"/>
      <c r="G166"/>
      <c r="Q166" s="5"/>
      <c r="R166" s="5"/>
    </row>
    <row r="167" spans="1:18" x14ac:dyDescent="0.25">
      <c r="A167" s="5">
        <f t="shared" ref="A167:A230" si="5">E167/D167-1</f>
        <v>9.4266452472680395E-2</v>
      </c>
      <c r="B167" t="s">
        <v>25</v>
      </c>
      <c r="C167" s="5" t="str">
        <f t="shared" ref="C167:C230" si="6">IF(OR(A167&gt;=20%,A167&lt;=-20%),"B","A")</f>
        <v>A</v>
      </c>
      <c r="D167">
        <v>97</v>
      </c>
      <c r="E167">
        <v>106.14384588985</v>
      </c>
      <c r="F167"/>
      <c r="G167"/>
    </row>
    <row r="168" spans="1:18" x14ac:dyDescent="0.25">
      <c r="A168" s="5">
        <f t="shared" si="5"/>
        <v>-0.35885178830111242</v>
      </c>
      <c r="B168" t="s">
        <v>25</v>
      </c>
      <c r="C168" s="5" t="str">
        <f t="shared" si="6"/>
        <v>B</v>
      </c>
      <c r="D168">
        <v>169</v>
      </c>
      <c r="E168">
        <v>108.354047777112</v>
      </c>
      <c r="F168"/>
      <c r="G168"/>
    </row>
    <row r="169" spans="1:18" x14ac:dyDescent="0.25">
      <c r="A169" s="5">
        <f t="shared" si="5"/>
        <v>8.4647281854210554E-2</v>
      </c>
      <c r="B169" t="s">
        <v>25</v>
      </c>
      <c r="C169" s="5" t="str">
        <f t="shared" si="6"/>
        <v>A</v>
      </c>
      <c r="D169">
        <v>114</v>
      </c>
      <c r="E169">
        <v>123.64979013138</v>
      </c>
      <c r="F169"/>
      <c r="G169"/>
    </row>
    <row r="170" spans="1:18" x14ac:dyDescent="0.25">
      <c r="A170" s="5">
        <f t="shared" si="5"/>
        <v>-0.29159640564432987</v>
      </c>
      <c r="B170" t="s">
        <v>25</v>
      </c>
      <c r="C170" s="5" t="str">
        <f t="shared" si="6"/>
        <v>B</v>
      </c>
      <c r="D170">
        <v>137</v>
      </c>
      <c r="E170">
        <v>97.051292426726803</v>
      </c>
      <c r="F170"/>
      <c r="G170"/>
    </row>
    <row r="171" spans="1:18" x14ac:dyDescent="0.25">
      <c r="A171" s="5">
        <f t="shared" si="5"/>
        <v>-0.10854722206799161</v>
      </c>
      <c r="B171" t="s">
        <v>25</v>
      </c>
      <c r="C171" s="5" t="str">
        <f t="shared" si="6"/>
        <v>A</v>
      </c>
      <c r="D171">
        <v>119</v>
      </c>
      <c r="E171">
        <v>106.08288057390899</v>
      </c>
      <c r="F171"/>
      <c r="G171"/>
    </row>
    <row r="172" spans="1:18" x14ac:dyDescent="0.25">
      <c r="A172" s="5">
        <f t="shared" si="5"/>
        <v>-0.13739376116205237</v>
      </c>
      <c r="B172" t="s">
        <v>25</v>
      </c>
      <c r="C172" s="5" t="str">
        <f t="shared" si="6"/>
        <v>A</v>
      </c>
      <c r="D172">
        <v>107</v>
      </c>
      <c r="E172">
        <v>92.298867555660394</v>
      </c>
      <c r="F172"/>
      <c r="G172"/>
    </row>
    <row r="173" spans="1:18" x14ac:dyDescent="0.25">
      <c r="A173" s="5">
        <f t="shared" si="5"/>
        <v>0.27370344965785098</v>
      </c>
      <c r="B173" t="s">
        <v>26</v>
      </c>
      <c r="C173" s="5" t="str">
        <f t="shared" si="6"/>
        <v>B</v>
      </c>
      <c r="D173">
        <v>94</v>
      </c>
      <c r="E173">
        <v>119.728124267838</v>
      </c>
      <c r="F173"/>
      <c r="G173"/>
    </row>
    <row r="174" spans="1:18" x14ac:dyDescent="0.25">
      <c r="A174" s="5">
        <f t="shared" si="5"/>
        <v>-0.21565902374919732</v>
      </c>
      <c r="B174" t="s">
        <v>26</v>
      </c>
      <c r="C174" s="5" t="str">
        <f t="shared" si="6"/>
        <v>B</v>
      </c>
      <c r="D174">
        <v>114</v>
      </c>
      <c r="E174">
        <v>89.414871292591499</v>
      </c>
      <c r="F174"/>
      <c r="G174"/>
    </row>
    <row r="175" spans="1:18" x14ac:dyDescent="0.25">
      <c r="A175" s="5">
        <f t="shared" si="5"/>
        <v>-0.1230398798242478</v>
      </c>
      <c r="B175" t="s">
        <v>26</v>
      </c>
      <c r="C175" s="5" t="str">
        <f t="shared" si="6"/>
        <v>A</v>
      </c>
      <c r="D175">
        <v>117</v>
      </c>
      <c r="E175">
        <v>102.604334060563</v>
      </c>
      <c r="F175"/>
      <c r="G175"/>
    </row>
    <row r="176" spans="1:18" x14ac:dyDescent="0.25">
      <c r="A176" s="5">
        <f t="shared" si="5"/>
        <v>-7.115495755147272E-2</v>
      </c>
      <c r="B176" t="s">
        <v>26</v>
      </c>
      <c r="C176" s="5" t="str">
        <f t="shared" si="6"/>
        <v>A</v>
      </c>
      <c r="D176">
        <v>110</v>
      </c>
      <c r="E176">
        <v>102.172954669338</v>
      </c>
      <c r="F176"/>
      <c r="G176"/>
    </row>
    <row r="177" spans="1:7" x14ac:dyDescent="0.25">
      <c r="A177" s="5">
        <f t="shared" si="5"/>
        <v>0.35340936974008974</v>
      </c>
      <c r="B177" t="s">
        <v>26</v>
      </c>
      <c r="C177" s="5" t="str">
        <f t="shared" si="6"/>
        <v>B</v>
      </c>
      <c r="D177">
        <v>78</v>
      </c>
      <c r="E177">
        <v>105.565930839727</v>
      </c>
      <c r="F177"/>
      <c r="G177"/>
    </row>
    <row r="178" spans="1:7" x14ac:dyDescent="0.25">
      <c r="A178" s="5">
        <f t="shared" si="5"/>
        <v>0.15368056649763218</v>
      </c>
      <c r="B178" t="s">
        <v>26</v>
      </c>
      <c r="C178" s="5" t="str">
        <f t="shared" si="6"/>
        <v>A</v>
      </c>
      <c r="D178">
        <v>125</v>
      </c>
      <c r="E178">
        <v>144.21007081220401</v>
      </c>
      <c r="F178"/>
      <c r="G178"/>
    </row>
    <row r="179" spans="1:7" x14ac:dyDescent="0.25">
      <c r="A179" s="5">
        <f t="shared" si="5"/>
        <v>-8.3854861294699323E-2</v>
      </c>
      <c r="B179" t="s">
        <v>26</v>
      </c>
      <c r="C179" s="5" t="str">
        <f t="shared" si="6"/>
        <v>A</v>
      </c>
      <c r="D179">
        <v>143</v>
      </c>
      <c r="E179">
        <v>131.008754834858</v>
      </c>
      <c r="F179"/>
      <c r="G179"/>
    </row>
    <row r="180" spans="1:7" x14ac:dyDescent="0.25">
      <c r="A180" s="5">
        <f t="shared" si="5"/>
        <v>3.7644898591147058E-3</v>
      </c>
      <c r="B180" t="s">
        <v>26</v>
      </c>
      <c r="C180" s="5" t="str">
        <f t="shared" si="6"/>
        <v>A</v>
      </c>
      <c r="D180">
        <v>122</v>
      </c>
      <c r="E180">
        <v>122.459267762812</v>
      </c>
      <c r="F180"/>
      <c r="G180"/>
    </row>
    <row r="181" spans="1:7" x14ac:dyDescent="0.25">
      <c r="A181" s="5">
        <f t="shared" si="5"/>
        <v>7.5792895195416765E-2</v>
      </c>
      <c r="B181" t="s">
        <v>26</v>
      </c>
      <c r="C181" s="5" t="str">
        <f t="shared" si="6"/>
        <v>A</v>
      </c>
      <c r="D181">
        <v>108</v>
      </c>
      <c r="E181">
        <v>116.18563268110501</v>
      </c>
      <c r="F181"/>
      <c r="G181"/>
    </row>
    <row r="182" spans="1:7" x14ac:dyDescent="0.25">
      <c r="A182" s="5">
        <f t="shared" si="5"/>
        <v>0.17770347648244456</v>
      </c>
      <c r="B182" t="s">
        <v>26</v>
      </c>
      <c r="C182" s="5" t="str">
        <f t="shared" si="6"/>
        <v>A</v>
      </c>
      <c r="D182">
        <v>90</v>
      </c>
      <c r="E182">
        <v>105.99331288342</v>
      </c>
      <c r="F182"/>
      <c r="G182"/>
    </row>
    <row r="183" spans="1:7" x14ac:dyDescent="0.25">
      <c r="A183" s="5">
        <f t="shared" si="5"/>
        <v>1.7849528327568809E-2</v>
      </c>
      <c r="B183" t="s">
        <v>26</v>
      </c>
      <c r="C183" s="5" t="str">
        <f t="shared" si="6"/>
        <v>A</v>
      </c>
      <c r="D183">
        <v>109</v>
      </c>
      <c r="E183">
        <v>110.94559858770501</v>
      </c>
      <c r="F183"/>
      <c r="G183"/>
    </row>
    <row r="184" spans="1:7" x14ac:dyDescent="0.25">
      <c r="A184" s="5">
        <f t="shared" si="5"/>
        <v>-0.24124459128303355</v>
      </c>
      <c r="B184" t="s">
        <v>26</v>
      </c>
      <c r="C184" s="5" t="str">
        <f t="shared" si="6"/>
        <v>B</v>
      </c>
      <c r="D184">
        <v>149</v>
      </c>
      <c r="E184">
        <v>113.054555898828</v>
      </c>
      <c r="F184"/>
      <c r="G184"/>
    </row>
    <row r="185" spans="1:7" x14ac:dyDescent="0.25">
      <c r="A185" s="5">
        <f t="shared" si="5"/>
        <v>-0.11064874200741182</v>
      </c>
      <c r="B185" t="s">
        <v>26</v>
      </c>
      <c r="C185" s="5" t="str">
        <f t="shared" si="6"/>
        <v>A</v>
      </c>
      <c r="D185">
        <v>153</v>
      </c>
      <c r="E185">
        <v>136.07074247286599</v>
      </c>
      <c r="F185"/>
      <c r="G185"/>
    </row>
    <row r="186" spans="1:7" x14ac:dyDescent="0.25">
      <c r="A186" s="5">
        <f t="shared" si="5"/>
        <v>0.19278254916579307</v>
      </c>
      <c r="B186" t="s">
        <v>26</v>
      </c>
      <c r="C186" s="5" t="str">
        <f t="shared" si="6"/>
        <v>A</v>
      </c>
      <c r="D186">
        <v>87</v>
      </c>
      <c r="E186">
        <v>103.77208177742401</v>
      </c>
      <c r="F186"/>
      <c r="G186"/>
    </row>
    <row r="187" spans="1:7" x14ac:dyDescent="0.25">
      <c r="A187" s="5">
        <f t="shared" si="5"/>
        <v>0.12623181996680022</v>
      </c>
      <c r="B187" t="s">
        <v>26</v>
      </c>
      <c r="C187" s="5" t="str">
        <f t="shared" si="6"/>
        <v>A</v>
      </c>
      <c r="D187">
        <v>115</v>
      </c>
      <c r="E187">
        <v>129.51665929618201</v>
      </c>
      <c r="F187"/>
      <c r="G187"/>
    </row>
    <row r="188" spans="1:7" x14ac:dyDescent="0.25">
      <c r="A188" s="5">
        <f t="shared" si="5"/>
        <v>0.15218816095138399</v>
      </c>
      <c r="B188" t="s">
        <v>26</v>
      </c>
      <c r="C188" s="5" t="str">
        <f t="shared" si="6"/>
        <v>A</v>
      </c>
      <c r="D188">
        <v>112</v>
      </c>
      <c r="E188">
        <v>129.045074026555</v>
      </c>
      <c r="F188"/>
      <c r="G188"/>
    </row>
    <row r="189" spans="1:7" x14ac:dyDescent="0.25">
      <c r="A189" s="5">
        <f t="shared" si="5"/>
        <v>8.4405926391123876E-2</v>
      </c>
      <c r="B189" t="s">
        <v>26</v>
      </c>
      <c r="C189" s="5" t="str">
        <f t="shared" si="6"/>
        <v>A</v>
      </c>
      <c r="D189">
        <v>113</v>
      </c>
      <c r="E189">
        <v>122.537869682197</v>
      </c>
      <c r="F189"/>
      <c r="G189"/>
    </row>
    <row r="190" spans="1:7" x14ac:dyDescent="0.25">
      <c r="A190" s="5">
        <f t="shared" si="5"/>
        <v>0.13133127069567219</v>
      </c>
      <c r="B190" t="s">
        <v>26</v>
      </c>
      <c r="C190" s="5" t="str">
        <f t="shared" si="6"/>
        <v>A</v>
      </c>
      <c r="D190">
        <v>122</v>
      </c>
      <c r="E190">
        <v>138.022415024872</v>
      </c>
      <c r="F190"/>
      <c r="G190"/>
    </row>
    <row r="191" spans="1:7" x14ac:dyDescent="0.25">
      <c r="A191" s="5">
        <f t="shared" si="5"/>
        <v>1.2834499909258668E-2</v>
      </c>
      <c r="B191" t="s">
        <v>26</v>
      </c>
      <c r="C191" s="5" t="str">
        <f t="shared" si="6"/>
        <v>A</v>
      </c>
      <c r="D191">
        <v>116</v>
      </c>
      <c r="E191">
        <v>117.488801989474</v>
      </c>
      <c r="F191"/>
      <c r="G191"/>
    </row>
    <row r="192" spans="1:7" x14ac:dyDescent="0.25">
      <c r="A192" s="5">
        <f t="shared" si="5"/>
        <v>0.12751802065494511</v>
      </c>
      <c r="B192" t="s">
        <v>26</v>
      </c>
      <c r="C192" s="5" t="str">
        <f t="shared" si="6"/>
        <v>A</v>
      </c>
      <c r="D192">
        <v>109</v>
      </c>
      <c r="E192">
        <v>122.89946425138901</v>
      </c>
      <c r="F192"/>
      <c r="G192"/>
    </row>
    <row r="193" spans="1:7" x14ac:dyDescent="0.25">
      <c r="A193" s="5">
        <f t="shared" si="5"/>
        <v>-0.10780637098538703</v>
      </c>
      <c r="B193" t="s">
        <v>26</v>
      </c>
      <c r="C193" s="5" t="str">
        <f t="shared" si="6"/>
        <v>A</v>
      </c>
      <c r="D193">
        <v>124</v>
      </c>
      <c r="E193">
        <v>110.63200999781201</v>
      </c>
      <c r="F193"/>
      <c r="G193"/>
    </row>
    <row r="194" spans="1:7" x14ac:dyDescent="0.25">
      <c r="A194" s="5">
        <f t="shared" si="5"/>
        <v>5.0293714851972204E-2</v>
      </c>
      <c r="B194" t="s">
        <v>26</v>
      </c>
      <c r="C194" s="5" t="str">
        <f t="shared" si="6"/>
        <v>A</v>
      </c>
      <c r="D194">
        <v>93</v>
      </c>
      <c r="E194">
        <v>97.677315481233407</v>
      </c>
      <c r="F194"/>
      <c r="G194"/>
    </row>
    <row r="195" spans="1:7" x14ac:dyDescent="0.25">
      <c r="A195" s="5">
        <f t="shared" si="5"/>
        <v>0.23874659797341824</v>
      </c>
      <c r="B195" t="s">
        <v>26</v>
      </c>
      <c r="C195" s="5" t="str">
        <f t="shared" si="6"/>
        <v>B</v>
      </c>
      <c r="D195">
        <v>72</v>
      </c>
      <c r="E195">
        <v>89.189755054086106</v>
      </c>
      <c r="F195"/>
      <c r="G195"/>
    </row>
    <row r="196" spans="1:7" x14ac:dyDescent="0.25">
      <c r="A196" s="5">
        <f t="shared" si="5"/>
        <v>-5.3221906237390204E-2</v>
      </c>
      <c r="B196" t="s">
        <v>26</v>
      </c>
      <c r="C196" s="5" t="str">
        <f t="shared" si="6"/>
        <v>A</v>
      </c>
      <c r="D196">
        <v>81</v>
      </c>
      <c r="E196">
        <v>76.689025594771394</v>
      </c>
      <c r="F196"/>
      <c r="G196"/>
    </row>
    <row r="197" spans="1:7" x14ac:dyDescent="0.25">
      <c r="A197" s="5">
        <f t="shared" si="5"/>
        <v>-3.9541235092499516E-3</v>
      </c>
      <c r="B197" t="s">
        <v>26</v>
      </c>
      <c r="C197" s="5" t="str">
        <f t="shared" si="6"/>
        <v>A</v>
      </c>
      <c r="D197">
        <v>124</v>
      </c>
      <c r="E197">
        <v>123.509688684853</v>
      </c>
      <c r="F197"/>
      <c r="G197"/>
    </row>
    <row r="198" spans="1:7" x14ac:dyDescent="0.25">
      <c r="A198" s="5">
        <f t="shared" si="5"/>
        <v>6.3499719392339227E-2</v>
      </c>
      <c r="B198" t="s">
        <v>26</v>
      </c>
      <c r="C198" s="5" t="str">
        <f t="shared" si="6"/>
        <v>A</v>
      </c>
      <c r="D198">
        <v>115</v>
      </c>
      <c r="E198">
        <v>122.30246773011901</v>
      </c>
      <c r="F198"/>
      <c r="G198"/>
    </row>
    <row r="199" spans="1:7" x14ac:dyDescent="0.25">
      <c r="A199" s="5">
        <f t="shared" si="5"/>
        <v>-5.2289032760277632E-3</v>
      </c>
      <c r="B199" t="s">
        <v>26</v>
      </c>
      <c r="C199" s="5" t="str">
        <f t="shared" si="6"/>
        <v>A</v>
      </c>
      <c r="D199">
        <v>108</v>
      </c>
      <c r="E199">
        <v>107.435278446189</v>
      </c>
      <c r="F199"/>
      <c r="G199"/>
    </row>
    <row r="200" spans="1:7" x14ac:dyDescent="0.25">
      <c r="A200" s="5">
        <f t="shared" si="5"/>
        <v>7.9466080851964049E-2</v>
      </c>
      <c r="B200" t="s">
        <v>26</v>
      </c>
      <c r="C200" s="5" t="str">
        <f t="shared" si="6"/>
        <v>A</v>
      </c>
      <c r="D200">
        <v>111</v>
      </c>
      <c r="E200">
        <v>119.820734974568</v>
      </c>
      <c r="F200"/>
      <c r="G200"/>
    </row>
    <row r="201" spans="1:7" x14ac:dyDescent="0.25">
      <c r="A201" s="5">
        <f t="shared" si="5"/>
        <v>3.5936462205810704E-2</v>
      </c>
      <c r="B201" t="s">
        <v>26</v>
      </c>
      <c r="C201" s="5" t="str">
        <f t="shared" si="6"/>
        <v>A</v>
      </c>
      <c r="D201">
        <v>111</v>
      </c>
      <c r="E201">
        <v>114.988947304845</v>
      </c>
      <c r="F201"/>
      <c r="G201"/>
    </row>
    <row r="202" spans="1:7" x14ac:dyDescent="0.25">
      <c r="A202" s="5">
        <f t="shared" si="5"/>
        <v>-1.1737636922674599E-2</v>
      </c>
      <c r="B202" t="s">
        <v>26</v>
      </c>
      <c r="C202" s="5" t="str">
        <f t="shared" si="6"/>
        <v>A</v>
      </c>
      <c r="D202">
        <v>126</v>
      </c>
      <c r="E202">
        <v>124.521057747743</v>
      </c>
      <c r="F202"/>
      <c r="G202"/>
    </row>
    <row r="203" spans="1:7" x14ac:dyDescent="0.25">
      <c r="A203" s="5">
        <f t="shared" si="5"/>
        <v>-1.6435840196048046E-2</v>
      </c>
      <c r="B203" t="s">
        <v>26</v>
      </c>
      <c r="C203" s="5" t="str">
        <f t="shared" si="6"/>
        <v>A</v>
      </c>
      <c r="D203">
        <v>104</v>
      </c>
      <c r="E203">
        <v>102.290672619611</v>
      </c>
      <c r="F203"/>
      <c r="G203"/>
    </row>
    <row r="204" spans="1:7" x14ac:dyDescent="0.25">
      <c r="A204" s="5">
        <f t="shared" si="5"/>
        <v>-0.16211716692808942</v>
      </c>
      <c r="B204" t="s">
        <v>26</v>
      </c>
      <c r="C204" s="5" t="str">
        <f t="shared" si="6"/>
        <v>A</v>
      </c>
      <c r="D204">
        <v>123</v>
      </c>
      <c r="E204">
        <v>103.059588467845</v>
      </c>
      <c r="F204"/>
      <c r="G204"/>
    </row>
    <row r="205" spans="1:7" x14ac:dyDescent="0.25">
      <c r="A205" s="5">
        <f t="shared" si="5"/>
        <v>-0.20840859444110849</v>
      </c>
      <c r="B205" t="s">
        <v>26</v>
      </c>
      <c r="C205" s="5" t="str">
        <f t="shared" si="6"/>
        <v>B</v>
      </c>
      <c r="D205">
        <v>129</v>
      </c>
      <c r="E205">
        <v>102.115291317097</v>
      </c>
      <c r="F205"/>
      <c r="G205"/>
    </row>
    <row r="206" spans="1:7" x14ac:dyDescent="0.25">
      <c r="A206" s="5">
        <f t="shared" si="5"/>
        <v>-7.5309093805258076E-2</v>
      </c>
      <c r="B206" t="s">
        <v>26</v>
      </c>
      <c r="C206" s="5" t="str">
        <f t="shared" si="6"/>
        <v>A</v>
      </c>
      <c r="D206">
        <v>124</v>
      </c>
      <c r="E206">
        <v>114.661672368148</v>
      </c>
      <c r="F206"/>
      <c r="G206"/>
    </row>
    <row r="207" spans="1:7" x14ac:dyDescent="0.25">
      <c r="A207" s="5">
        <f t="shared" si="5"/>
        <v>1.805478861163845E-2</v>
      </c>
      <c r="B207" t="s">
        <v>26</v>
      </c>
      <c r="C207" s="5" t="str">
        <f t="shared" si="6"/>
        <v>A</v>
      </c>
      <c r="D207">
        <v>130</v>
      </c>
      <c r="E207">
        <v>132.34712251951299</v>
      </c>
      <c r="F207"/>
      <c r="G207"/>
    </row>
    <row r="208" spans="1:7" x14ac:dyDescent="0.25">
      <c r="A208" s="5">
        <f t="shared" si="5"/>
        <v>0.35550360569270967</v>
      </c>
      <c r="B208" t="s">
        <v>26</v>
      </c>
      <c r="C208" s="5" t="str">
        <f t="shared" si="6"/>
        <v>B</v>
      </c>
      <c r="D208">
        <v>93</v>
      </c>
      <c r="E208">
        <v>126.061835329422</v>
      </c>
      <c r="F208"/>
      <c r="G208"/>
    </row>
    <row r="209" spans="1:7" x14ac:dyDescent="0.25">
      <c r="A209" s="5">
        <f t="shared" si="5"/>
        <v>-0.14933419327653941</v>
      </c>
      <c r="B209" t="s">
        <v>26</v>
      </c>
      <c r="C209" s="5" t="str">
        <f t="shared" si="6"/>
        <v>A</v>
      </c>
      <c r="D209">
        <v>152</v>
      </c>
      <c r="E209">
        <v>129.30120262196601</v>
      </c>
      <c r="F209"/>
      <c r="G209"/>
    </row>
    <row r="210" spans="1:7" x14ac:dyDescent="0.25">
      <c r="A210" s="5">
        <f t="shared" si="5"/>
        <v>-7.353137986120295E-2</v>
      </c>
      <c r="B210" t="s">
        <v>26</v>
      </c>
      <c r="C210" s="5" t="str">
        <f t="shared" si="6"/>
        <v>A</v>
      </c>
      <c r="D210">
        <v>138</v>
      </c>
      <c r="E210">
        <v>127.852669579154</v>
      </c>
      <c r="F210"/>
      <c r="G210"/>
    </row>
    <row r="211" spans="1:7" x14ac:dyDescent="0.25">
      <c r="A211" s="5">
        <f t="shared" si="5"/>
        <v>7.3919905685413401E-2</v>
      </c>
      <c r="B211" t="s">
        <v>26</v>
      </c>
      <c r="C211" s="5" t="str">
        <f t="shared" si="6"/>
        <v>A</v>
      </c>
      <c r="D211">
        <v>121</v>
      </c>
      <c r="E211">
        <v>129.94430858793501</v>
      </c>
      <c r="F211"/>
      <c r="G211"/>
    </row>
    <row r="212" spans="1:7" x14ac:dyDescent="0.25">
      <c r="A212" s="5">
        <f t="shared" si="5"/>
        <v>0.25707818707639407</v>
      </c>
      <c r="B212" t="s">
        <v>26</v>
      </c>
      <c r="C212" s="5" t="str">
        <f t="shared" si="6"/>
        <v>B</v>
      </c>
      <c r="D212">
        <v>99</v>
      </c>
      <c r="E212">
        <v>124.450740520563</v>
      </c>
      <c r="F212"/>
      <c r="G212"/>
    </row>
    <row r="213" spans="1:7" x14ac:dyDescent="0.25">
      <c r="A213" s="5">
        <f t="shared" si="5"/>
        <v>-2.9993075148147308E-2</v>
      </c>
      <c r="B213" t="s">
        <v>26</v>
      </c>
      <c r="C213" s="5" t="str">
        <f t="shared" si="6"/>
        <v>A</v>
      </c>
      <c r="D213">
        <v>285</v>
      </c>
      <c r="E213">
        <v>276.45197358277801</v>
      </c>
      <c r="F213"/>
      <c r="G213"/>
    </row>
    <row r="214" spans="1:7" x14ac:dyDescent="0.25">
      <c r="A214" s="5">
        <f t="shared" si="5"/>
        <v>1.7797096294763337E-2</v>
      </c>
      <c r="B214" t="s">
        <v>26</v>
      </c>
      <c r="C214" s="5" t="str">
        <f t="shared" si="6"/>
        <v>A</v>
      </c>
      <c r="D214">
        <v>283</v>
      </c>
      <c r="E214">
        <v>288.03657825141801</v>
      </c>
      <c r="F214"/>
      <c r="G214"/>
    </row>
    <row r="215" spans="1:7" x14ac:dyDescent="0.25">
      <c r="A215" s="5">
        <f t="shared" si="5"/>
        <v>1.8718977880086696E-2</v>
      </c>
      <c r="B215" t="s">
        <v>26</v>
      </c>
      <c r="C215" s="5" t="str">
        <f t="shared" si="6"/>
        <v>A</v>
      </c>
      <c r="D215">
        <v>381</v>
      </c>
      <c r="E215">
        <v>388.13193057231302</v>
      </c>
      <c r="F215"/>
      <c r="G215"/>
    </row>
    <row r="216" spans="1:7" x14ac:dyDescent="0.25">
      <c r="A216" s="5">
        <f t="shared" si="5"/>
        <v>-0.12568057846716263</v>
      </c>
      <c r="B216" t="s">
        <v>26</v>
      </c>
      <c r="C216" s="5" t="str">
        <f t="shared" si="6"/>
        <v>A</v>
      </c>
      <c r="D216">
        <v>332</v>
      </c>
      <c r="E216">
        <v>290.27404794890202</v>
      </c>
      <c r="F216"/>
      <c r="G216"/>
    </row>
    <row r="217" spans="1:7" x14ac:dyDescent="0.25">
      <c r="A217" s="5">
        <f t="shared" si="5"/>
        <v>-4.0783269563209101E-2</v>
      </c>
      <c r="B217" t="s">
        <v>26</v>
      </c>
      <c r="C217" s="5" t="str">
        <f t="shared" si="6"/>
        <v>A</v>
      </c>
      <c r="D217">
        <v>287</v>
      </c>
      <c r="E217">
        <v>275.29520163535898</v>
      </c>
      <c r="F217"/>
      <c r="G217"/>
    </row>
    <row r="218" spans="1:7" x14ac:dyDescent="0.25">
      <c r="A218" s="5">
        <f t="shared" si="5"/>
        <v>2.9687440055029102E-2</v>
      </c>
      <c r="B218" t="s">
        <v>26</v>
      </c>
      <c r="C218" s="5" t="str">
        <f t="shared" si="6"/>
        <v>A</v>
      </c>
      <c r="D218">
        <v>275</v>
      </c>
      <c r="E218">
        <v>283.16404601513301</v>
      </c>
      <c r="F218"/>
      <c r="G218"/>
    </row>
    <row r="219" spans="1:7" x14ac:dyDescent="0.25">
      <c r="A219" s="5">
        <f t="shared" si="5"/>
        <v>2.2305731922529271E-2</v>
      </c>
      <c r="B219" t="s">
        <v>26</v>
      </c>
      <c r="C219" s="5" t="str">
        <f t="shared" si="6"/>
        <v>A</v>
      </c>
      <c r="D219">
        <v>257</v>
      </c>
      <c r="E219">
        <v>262.73257310409002</v>
      </c>
      <c r="F219"/>
      <c r="G219"/>
    </row>
    <row r="220" spans="1:7" x14ac:dyDescent="0.25">
      <c r="A220" s="5">
        <f t="shared" si="5"/>
        <v>0.18690536289001147</v>
      </c>
      <c r="B220"/>
      <c r="C220" s="5" t="str">
        <f t="shared" si="6"/>
        <v>A</v>
      </c>
      <c r="D220">
        <v>87</v>
      </c>
      <c r="E220">
        <v>103.26076657143101</v>
      </c>
      <c r="F220"/>
      <c r="G220"/>
    </row>
    <row r="221" spans="1:7" x14ac:dyDescent="0.25">
      <c r="A221" s="5">
        <f t="shared" si="5"/>
        <v>-9.5911118778051585E-2</v>
      </c>
      <c r="B221"/>
      <c r="C221" s="5" t="str">
        <f t="shared" si="6"/>
        <v>A</v>
      </c>
      <c r="D221">
        <v>155</v>
      </c>
      <c r="E221">
        <v>140.133776589402</v>
      </c>
      <c r="F221"/>
      <c r="G221"/>
    </row>
    <row r="222" spans="1:7" x14ac:dyDescent="0.25">
      <c r="A222" s="5">
        <f t="shared" si="5"/>
        <v>0.11761917825675461</v>
      </c>
      <c r="B222"/>
      <c r="C222" s="5" t="str">
        <f t="shared" si="6"/>
        <v>A</v>
      </c>
      <c r="D222">
        <v>110</v>
      </c>
      <c r="E222">
        <v>122.938109608243</v>
      </c>
      <c r="F222"/>
      <c r="G222"/>
    </row>
    <row r="223" spans="1:7" x14ac:dyDescent="0.25">
      <c r="A223" s="5">
        <f t="shared" si="5"/>
        <v>0.44167189409712648</v>
      </c>
      <c r="B223"/>
      <c r="C223" s="5" t="str">
        <f t="shared" si="6"/>
        <v>B</v>
      </c>
      <c r="D223">
        <v>87</v>
      </c>
      <c r="E223">
        <v>125.42545478645</v>
      </c>
      <c r="F223"/>
      <c r="G223"/>
    </row>
    <row r="224" spans="1:7" x14ac:dyDescent="0.25">
      <c r="A224" s="5">
        <f t="shared" si="5"/>
        <v>0.26885561031969996</v>
      </c>
      <c r="B224"/>
      <c r="C224" s="5" t="str">
        <f t="shared" si="6"/>
        <v>B</v>
      </c>
      <c r="D224">
        <v>110</v>
      </c>
      <c r="E224">
        <v>139.574117135167</v>
      </c>
      <c r="F224"/>
      <c r="G224"/>
    </row>
    <row r="225" spans="1:7" x14ac:dyDescent="0.25">
      <c r="A225" s="5">
        <f t="shared" si="5"/>
        <v>0.14382493455745182</v>
      </c>
      <c r="B225"/>
      <c r="C225" s="5" t="str">
        <f t="shared" si="6"/>
        <v>A</v>
      </c>
      <c r="D225">
        <v>104</v>
      </c>
      <c r="E225">
        <v>118.95779319397499</v>
      </c>
      <c r="F225"/>
      <c r="G225"/>
    </row>
    <row r="226" spans="1:7" x14ac:dyDescent="0.25">
      <c r="A226" s="5">
        <f t="shared" si="5"/>
        <v>3.6992621601424691E-2</v>
      </c>
      <c r="B226"/>
      <c r="C226" s="5" t="str">
        <f t="shared" si="6"/>
        <v>A</v>
      </c>
      <c r="D226">
        <v>113</v>
      </c>
      <c r="E226">
        <v>117.180166240961</v>
      </c>
      <c r="F226"/>
      <c r="G226"/>
    </row>
    <row r="227" spans="1:7" x14ac:dyDescent="0.25">
      <c r="A227" s="5">
        <f t="shared" si="5"/>
        <v>-0.24323618383248669</v>
      </c>
      <c r="B227"/>
      <c r="C227" s="5" t="str">
        <f t="shared" si="6"/>
        <v>B</v>
      </c>
      <c r="D227">
        <v>120</v>
      </c>
      <c r="E227">
        <v>90.811657940101597</v>
      </c>
      <c r="F227"/>
      <c r="G227"/>
    </row>
    <row r="228" spans="1:7" x14ac:dyDescent="0.25">
      <c r="A228" s="5">
        <f t="shared" si="5"/>
        <v>0.12900721298667706</v>
      </c>
      <c r="B228"/>
      <c r="C228" s="5" t="str">
        <f t="shared" si="6"/>
        <v>A</v>
      </c>
      <c r="D228">
        <v>96</v>
      </c>
      <c r="E228">
        <v>108.384692446721</v>
      </c>
      <c r="F228"/>
      <c r="G228"/>
    </row>
    <row r="229" spans="1:7" x14ac:dyDescent="0.25">
      <c r="A229" s="5">
        <f t="shared" si="5"/>
        <v>0.42221483232064294</v>
      </c>
      <c r="B229"/>
      <c r="C229" s="5" t="str">
        <f t="shared" si="6"/>
        <v>B</v>
      </c>
      <c r="D229">
        <v>84</v>
      </c>
      <c r="E229">
        <v>119.466045914934</v>
      </c>
      <c r="F229"/>
      <c r="G229"/>
    </row>
    <row r="230" spans="1:7" x14ac:dyDescent="0.25">
      <c r="A230" s="5">
        <f t="shared" si="5"/>
        <v>-4.864831982771034E-2</v>
      </c>
      <c r="B230"/>
      <c r="C230" s="5" t="str">
        <f t="shared" si="6"/>
        <v>A</v>
      </c>
      <c r="D230">
        <v>107</v>
      </c>
      <c r="E230">
        <v>101.794629778435</v>
      </c>
      <c r="F230"/>
      <c r="G230"/>
    </row>
    <row r="231" spans="1:7" x14ac:dyDescent="0.25">
      <c r="A231" s="5">
        <f t="shared" ref="A231:A294" si="7">E231/D231-1</f>
        <v>-0.11298834231187138</v>
      </c>
      <c r="B231"/>
      <c r="C231" s="5" t="str">
        <f t="shared" ref="C231:C294" si="8">IF(OR(A231&gt;=20%,A231&lt;=-20%),"B","A")</f>
        <v>A</v>
      </c>
      <c r="D231">
        <v>105</v>
      </c>
      <c r="E231">
        <v>93.1362240572535</v>
      </c>
      <c r="F231"/>
      <c r="G231"/>
    </row>
    <row r="232" spans="1:7" x14ac:dyDescent="0.25">
      <c r="A232" s="5">
        <f t="shared" si="7"/>
        <v>0.22048193982612196</v>
      </c>
      <c r="B232"/>
      <c r="C232" s="5" t="str">
        <f t="shared" si="8"/>
        <v>B</v>
      </c>
      <c r="D232">
        <v>82</v>
      </c>
      <c r="E232">
        <v>100.07951906574201</v>
      </c>
      <c r="F232"/>
      <c r="G232"/>
    </row>
    <row r="233" spans="1:7" x14ac:dyDescent="0.25">
      <c r="A233" s="5">
        <f t="shared" si="7"/>
        <v>-0.2559454598876667</v>
      </c>
      <c r="B233"/>
      <c r="C233" s="5" t="str">
        <f t="shared" si="8"/>
        <v>B</v>
      </c>
      <c r="D233">
        <v>150</v>
      </c>
      <c r="E233">
        <v>111.60818101685</v>
      </c>
      <c r="F233"/>
      <c r="G233"/>
    </row>
    <row r="234" spans="1:7" x14ac:dyDescent="0.25">
      <c r="A234" s="5">
        <f t="shared" si="7"/>
        <v>3.4889340081603271E-2</v>
      </c>
      <c r="B234"/>
      <c r="C234" s="5" t="str">
        <f t="shared" si="8"/>
        <v>A</v>
      </c>
      <c r="D234">
        <v>126</v>
      </c>
      <c r="E234">
        <v>130.39605685028201</v>
      </c>
      <c r="F234"/>
      <c r="G234"/>
    </row>
    <row r="235" spans="1:7" x14ac:dyDescent="0.25">
      <c r="A235" s="5">
        <f t="shared" si="7"/>
        <v>-8.3483515753157378E-2</v>
      </c>
      <c r="B235"/>
      <c r="C235" s="5" t="str">
        <f t="shared" si="8"/>
        <v>A</v>
      </c>
      <c r="D235">
        <v>94</v>
      </c>
      <c r="E235">
        <v>86.152549519203205</v>
      </c>
      <c r="F235"/>
      <c r="G235"/>
    </row>
    <row r="236" spans="1:7" x14ac:dyDescent="0.25">
      <c r="A236" s="5">
        <f t="shared" si="7"/>
        <v>0.2474615645772209</v>
      </c>
      <c r="B236"/>
      <c r="C236" s="5" t="str">
        <f t="shared" si="8"/>
        <v>B</v>
      </c>
      <c r="D236">
        <v>86</v>
      </c>
      <c r="E236">
        <v>107.281694553641</v>
      </c>
      <c r="F236"/>
      <c r="G236"/>
    </row>
    <row r="237" spans="1:7" x14ac:dyDescent="0.25">
      <c r="A237" s="5">
        <f t="shared" si="7"/>
        <v>-0.1921360611179197</v>
      </c>
      <c r="B237"/>
      <c r="C237" s="5" t="str">
        <f t="shared" si="8"/>
        <v>A</v>
      </c>
      <c r="D237">
        <v>137</v>
      </c>
      <c r="E237">
        <v>110.677359626845</v>
      </c>
      <c r="F237"/>
      <c r="G237"/>
    </row>
    <row r="238" spans="1:7" x14ac:dyDescent="0.25">
      <c r="A238" s="5">
        <f t="shared" si="7"/>
        <v>3.8543566813861174E-2</v>
      </c>
      <c r="B238"/>
      <c r="C238" s="5" t="str">
        <f t="shared" si="8"/>
        <v>A</v>
      </c>
      <c r="D238">
        <v>108</v>
      </c>
      <c r="E238">
        <v>112.16270521589701</v>
      </c>
      <c r="F238"/>
      <c r="G238"/>
    </row>
    <row r="239" spans="1:7" x14ac:dyDescent="0.25">
      <c r="A239" s="5">
        <f t="shared" si="7"/>
        <v>9.3706167464096213E-2</v>
      </c>
      <c r="B239"/>
      <c r="C239" s="5" t="str">
        <f t="shared" si="8"/>
        <v>A</v>
      </c>
      <c r="D239">
        <v>104</v>
      </c>
      <c r="E239">
        <v>113.745441416266</v>
      </c>
      <c r="F239"/>
      <c r="G239"/>
    </row>
    <row r="240" spans="1:7" x14ac:dyDescent="0.25">
      <c r="A240" s="5">
        <f t="shared" si="7"/>
        <v>0.31446727771913752</v>
      </c>
      <c r="B240"/>
      <c r="C240" s="5" t="str">
        <f t="shared" si="8"/>
        <v>B</v>
      </c>
      <c r="D240">
        <v>80</v>
      </c>
      <c r="E240">
        <v>105.15738221753099</v>
      </c>
      <c r="F240"/>
      <c r="G240"/>
    </row>
    <row r="241" spans="1:7" x14ac:dyDescent="0.25">
      <c r="A241" s="5">
        <f t="shared" si="7"/>
        <v>-0.32454419230734666</v>
      </c>
      <c r="B241"/>
      <c r="C241" s="5" t="str">
        <f t="shared" si="8"/>
        <v>B</v>
      </c>
      <c r="D241">
        <v>150</v>
      </c>
      <c r="E241">
        <v>101.318371153898</v>
      </c>
      <c r="F241"/>
      <c r="G241"/>
    </row>
    <row r="242" spans="1:7" x14ac:dyDescent="0.25">
      <c r="A242" s="5">
        <f t="shared" si="7"/>
        <v>0.11932703634341824</v>
      </c>
      <c r="B242"/>
      <c r="C242" s="5" t="str">
        <f t="shared" si="8"/>
        <v>A</v>
      </c>
      <c r="D242">
        <v>110</v>
      </c>
      <c r="E242">
        <v>123.125973997776</v>
      </c>
      <c r="F242"/>
      <c r="G242"/>
    </row>
    <row r="243" spans="1:7" x14ac:dyDescent="0.25">
      <c r="A243" s="5">
        <f t="shared" si="7"/>
        <v>0.37989293065953267</v>
      </c>
      <c r="B243"/>
      <c r="C243" s="5" t="str">
        <f t="shared" si="8"/>
        <v>B</v>
      </c>
      <c r="D243">
        <v>92</v>
      </c>
      <c r="E243">
        <v>126.950149620677</v>
      </c>
      <c r="F243"/>
      <c r="G243"/>
    </row>
    <row r="244" spans="1:7" x14ac:dyDescent="0.25">
      <c r="A244" s="5">
        <f t="shared" si="7"/>
        <v>0.11706201966183216</v>
      </c>
      <c r="B244"/>
      <c r="C244" s="5" t="str">
        <f t="shared" si="8"/>
        <v>A</v>
      </c>
      <c r="D244">
        <v>84</v>
      </c>
      <c r="E244">
        <v>93.833209651593904</v>
      </c>
      <c r="F244"/>
      <c r="G244"/>
    </row>
    <row r="245" spans="1:7" x14ac:dyDescent="0.25">
      <c r="A245" s="5">
        <f t="shared" si="7"/>
        <v>-0.14582820839862076</v>
      </c>
      <c r="B245"/>
      <c r="C245" s="5" t="str">
        <f t="shared" si="8"/>
        <v>A</v>
      </c>
      <c r="D245">
        <v>145</v>
      </c>
      <c r="E245">
        <v>123.8549097822</v>
      </c>
      <c r="F245"/>
      <c r="G245"/>
    </row>
    <row r="246" spans="1:7" x14ac:dyDescent="0.25">
      <c r="A246" s="5">
        <f t="shared" si="7"/>
        <v>0.19220568739012189</v>
      </c>
      <c r="B246"/>
      <c r="C246" s="5" t="str">
        <f t="shared" si="8"/>
        <v>A</v>
      </c>
      <c r="D246">
        <v>123</v>
      </c>
      <c r="E246">
        <v>146.64129954898499</v>
      </c>
      <c r="F246"/>
      <c r="G246"/>
    </row>
    <row r="247" spans="1:7" x14ac:dyDescent="0.25">
      <c r="A247" s="5">
        <f t="shared" si="7"/>
        <v>-3.6995534128374974E-2</v>
      </c>
      <c r="B247"/>
      <c r="C247" s="5" t="str">
        <f t="shared" si="8"/>
        <v>A</v>
      </c>
      <c r="D247">
        <v>100</v>
      </c>
      <c r="E247">
        <v>96.300446587162497</v>
      </c>
      <c r="F247"/>
      <c r="G247"/>
    </row>
    <row r="248" spans="1:7" x14ac:dyDescent="0.25">
      <c r="A248" s="5">
        <f t="shared" si="7"/>
        <v>0.12685601862379881</v>
      </c>
      <c r="B248"/>
      <c r="C248" s="5" t="str">
        <f t="shared" si="8"/>
        <v>A</v>
      </c>
      <c r="D248">
        <v>87</v>
      </c>
      <c r="E248">
        <v>98.036473620270499</v>
      </c>
      <c r="F248"/>
      <c r="G248"/>
    </row>
    <row r="249" spans="1:7" x14ac:dyDescent="0.25">
      <c r="A249" s="5">
        <f t="shared" si="7"/>
        <v>9.1106222889658195E-2</v>
      </c>
      <c r="B249"/>
      <c r="C249" s="5" t="str">
        <f t="shared" si="8"/>
        <v>A</v>
      </c>
      <c r="D249">
        <v>86</v>
      </c>
      <c r="E249">
        <v>93.835135168510604</v>
      </c>
      <c r="F249"/>
      <c r="G249"/>
    </row>
    <row r="250" spans="1:7" x14ac:dyDescent="0.25">
      <c r="A250" s="5">
        <f t="shared" si="7"/>
        <v>-0.12584375354477784</v>
      </c>
      <c r="B250"/>
      <c r="C250" s="5" t="str">
        <f t="shared" si="8"/>
        <v>A</v>
      </c>
      <c r="D250">
        <v>126</v>
      </c>
      <c r="E250">
        <v>110.14368705335799</v>
      </c>
      <c r="F250"/>
      <c r="G250"/>
    </row>
    <row r="251" spans="1:7" x14ac:dyDescent="0.25">
      <c r="A251" s="5">
        <f t="shared" si="7"/>
        <v>-5.8747161355627187E-2</v>
      </c>
      <c r="B251"/>
      <c r="C251" s="5" t="str">
        <f t="shared" si="8"/>
        <v>A</v>
      </c>
      <c r="D251">
        <v>110</v>
      </c>
      <c r="E251">
        <v>103.537812250881</v>
      </c>
      <c r="F251"/>
      <c r="G251"/>
    </row>
    <row r="252" spans="1:7" x14ac:dyDescent="0.25">
      <c r="A252" s="5">
        <f t="shared" si="7"/>
        <v>3.9608759674656824E-2</v>
      </c>
      <c r="B252"/>
      <c r="C252" s="5" t="str">
        <f t="shared" si="8"/>
        <v>A</v>
      </c>
      <c r="D252">
        <v>95</v>
      </c>
      <c r="E252">
        <v>98.762832169092405</v>
      </c>
      <c r="F252"/>
      <c r="G252"/>
    </row>
    <row r="253" spans="1:7" x14ac:dyDescent="0.25">
      <c r="A253" s="5">
        <f t="shared" si="7"/>
        <v>0.14335183158578402</v>
      </c>
      <c r="B253"/>
      <c r="C253" s="5" t="str">
        <f t="shared" si="8"/>
        <v>A</v>
      </c>
      <c r="D253">
        <v>88</v>
      </c>
      <c r="E253">
        <v>100.614961179549</v>
      </c>
      <c r="F253"/>
      <c r="G253"/>
    </row>
    <row r="254" spans="1:7" x14ac:dyDescent="0.25">
      <c r="A254" s="5">
        <f t="shared" si="7"/>
        <v>-0.22641514427378528</v>
      </c>
      <c r="B254"/>
      <c r="C254" s="5" t="str">
        <f t="shared" si="8"/>
        <v>B</v>
      </c>
      <c r="D254">
        <v>149</v>
      </c>
      <c r="E254">
        <v>115.264143503206</v>
      </c>
      <c r="F254"/>
      <c r="G254"/>
    </row>
    <row r="255" spans="1:7" x14ac:dyDescent="0.25">
      <c r="A255" s="5">
        <f t="shared" si="7"/>
        <v>-0.21187852035039167</v>
      </c>
      <c r="B255"/>
      <c r="C255" s="5" t="str">
        <f t="shared" si="8"/>
        <v>B</v>
      </c>
      <c r="D255">
        <v>143</v>
      </c>
      <c r="E255">
        <v>112.70137158989399</v>
      </c>
      <c r="F255"/>
      <c r="G255"/>
    </row>
    <row r="256" spans="1:7" x14ac:dyDescent="0.25">
      <c r="A256" s="5">
        <f t="shared" si="7"/>
        <v>-8.5609752575390941E-2</v>
      </c>
      <c r="B256"/>
      <c r="C256" s="5" t="str">
        <f t="shared" si="8"/>
        <v>A</v>
      </c>
      <c r="D256">
        <v>133</v>
      </c>
      <c r="E256">
        <v>121.613902907473</v>
      </c>
      <c r="F256"/>
      <c r="G256"/>
    </row>
    <row r="257" spans="1:7" x14ac:dyDescent="0.25">
      <c r="A257" s="5">
        <f t="shared" si="7"/>
        <v>-9.3721524761580799E-4</v>
      </c>
      <c r="B257"/>
      <c r="C257" s="5" t="str">
        <f t="shared" si="8"/>
        <v>A</v>
      </c>
      <c r="D257">
        <v>88</v>
      </c>
      <c r="E257">
        <v>87.917525058209804</v>
      </c>
      <c r="F257"/>
      <c r="G257"/>
    </row>
    <row r="258" spans="1:7" x14ac:dyDescent="0.25">
      <c r="A258" s="5">
        <f t="shared" si="7"/>
        <v>9.2222025858373469E-2</v>
      </c>
      <c r="B258"/>
      <c r="C258" s="5" t="str">
        <f t="shared" si="8"/>
        <v>A</v>
      </c>
      <c r="D258">
        <v>83</v>
      </c>
      <c r="E258">
        <v>90.654428146244996</v>
      </c>
      <c r="F258"/>
      <c r="G258"/>
    </row>
    <row r="259" spans="1:7" x14ac:dyDescent="0.25">
      <c r="A259" s="5">
        <f t="shared" si="7"/>
        <v>-0.24653992483137765</v>
      </c>
      <c r="B259"/>
      <c r="C259" s="5" t="str">
        <f t="shared" si="8"/>
        <v>B</v>
      </c>
      <c r="D259">
        <v>143</v>
      </c>
      <c r="E259">
        <v>107.74479074911299</v>
      </c>
      <c r="F259"/>
      <c r="G259"/>
    </row>
    <row r="260" spans="1:7" x14ac:dyDescent="0.25">
      <c r="A260" s="5">
        <f t="shared" si="7"/>
        <v>0.14969665618300865</v>
      </c>
      <c r="B260"/>
      <c r="C260" s="5" t="str">
        <f t="shared" si="8"/>
        <v>A</v>
      </c>
      <c r="D260">
        <v>114</v>
      </c>
      <c r="E260">
        <v>131.06541880486299</v>
      </c>
      <c r="F260"/>
      <c r="G260"/>
    </row>
    <row r="261" spans="1:7" x14ac:dyDescent="0.25">
      <c r="A261" s="5">
        <f t="shared" si="7"/>
        <v>-0.14545272165363055</v>
      </c>
      <c r="B261"/>
      <c r="C261" s="5" t="str">
        <f t="shared" si="8"/>
        <v>A</v>
      </c>
      <c r="D261">
        <v>108</v>
      </c>
      <c r="E261">
        <v>92.291106061407902</v>
      </c>
      <c r="F261"/>
      <c r="G261"/>
    </row>
    <row r="262" spans="1:7" x14ac:dyDescent="0.25">
      <c r="A262" s="5">
        <f t="shared" si="7"/>
        <v>0.15794807999695082</v>
      </c>
      <c r="B262"/>
      <c r="C262" s="5" t="str">
        <f t="shared" si="8"/>
        <v>A</v>
      </c>
      <c r="D262">
        <v>79</v>
      </c>
      <c r="E262">
        <v>91.477898319759106</v>
      </c>
      <c r="F262"/>
      <c r="G262"/>
    </row>
    <row r="263" spans="1:7" x14ac:dyDescent="0.25">
      <c r="A263" s="5">
        <f t="shared" si="7"/>
        <v>-0.18479708403058515</v>
      </c>
      <c r="B263"/>
      <c r="C263" s="5" t="str">
        <f t="shared" si="8"/>
        <v>A</v>
      </c>
      <c r="D263">
        <v>135</v>
      </c>
      <c r="E263">
        <v>110.052393655871</v>
      </c>
      <c r="F263"/>
      <c r="G263"/>
    </row>
    <row r="264" spans="1:7" x14ac:dyDescent="0.25">
      <c r="A264" s="5">
        <f t="shared" si="7"/>
        <v>8.4205506066764801E-2</v>
      </c>
      <c r="B264"/>
      <c r="C264" s="5" t="str">
        <f t="shared" si="8"/>
        <v>A</v>
      </c>
      <c r="D264">
        <v>119</v>
      </c>
      <c r="E264">
        <v>129.02045522194501</v>
      </c>
      <c r="F264"/>
      <c r="G264"/>
    </row>
    <row r="265" spans="1:7" x14ac:dyDescent="0.25">
      <c r="A265" s="5">
        <f t="shared" si="7"/>
        <v>-3.943990618978499E-2</v>
      </c>
      <c r="B265"/>
      <c r="C265" s="5" t="str">
        <f t="shared" si="8"/>
        <v>A</v>
      </c>
      <c r="D265">
        <v>107</v>
      </c>
      <c r="E265">
        <v>102.77993003769301</v>
      </c>
      <c r="F265"/>
      <c r="G265"/>
    </row>
    <row r="266" spans="1:7" x14ac:dyDescent="0.25">
      <c r="A266" s="5">
        <f t="shared" si="7"/>
        <v>-0.15125468827793154</v>
      </c>
      <c r="B266"/>
      <c r="C266" s="5" t="str">
        <f t="shared" si="8"/>
        <v>A</v>
      </c>
      <c r="D266">
        <v>146</v>
      </c>
      <c r="E266">
        <v>123.916815511422</v>
      </c>
      <c r="F266"/>
      <c r="G266"/>
    </row>
    <row r="267" spans="1:7" x14ac:dyDescent="0.25">
      <c r="A267" s="5">
        <f t="shared" si="7"/>
        <v>-0.10439302395858685</v>
      </c>
      <c r="B267"/>
      <c r="C267" s="5" t="str">
        <f t="shared" si="8"/>
        <v>A</v>
      </c>
      <c r="D267">
        <v>121</v>
      </c>
      <c r="E267">
        <v>108.36844410101099</v>
      </c>
      <c r="F267"/>
      <c r="G267"/>
    </row>
    <row r="268" spans="1:7" x14ac:dyDescent="0.25">
      <c r="A268" s="5">
        <f t="shared" si="7"/>
        <v>6.0830353891502265E-2</v>
      </c>
      <c r="B268"/>
      <c r="C268" s="5" t="str">
        <f t="shared" si="8"/>
        <v>A</v>
      </c>
      <c r="D268">
        <v>90</v>
      </c>
      <c r="E268">
        <v>95.474731850235202</v>
      </c>
      <c r="F268"/>
      <c r="G268"/>
    </row>
    <row r="269" spans="1:7" x14ac:dyDescent="0.25">
      <c r="A269" s="5">
        <f t="shared" si="7"/>
        <v>0.14757220111550584</v>
      </c>
      <c r="B269"/>
      <c r="C269" s="5" t="str">
        <f t="shared" si="8"/>
        <v>A</v>
      </c>
      <c r="D269">
        <v>86</v>
      </c>
      <c r="E269">
        <v>98.691209295933504</v>
      </c>
      <c r="F269"/>
      <c r="G269"/>
    </row>
    <row r="270" spans="1:7" x14ac:dyDescent="0.25">
      <c r="A270" s="5">
        <f t="shared" si="7"/>
        <v>-0.14074520444212879</v>
      </c>
      <c r="B270"/>
      <c r="C270" s="5" t="str">
        <f t="shared" si="8"/>
        <v>A</v>
      </c>
      <c r="D270">
        <v>132</v>
      </c>
      <c r="E270">
        <v>113.421633013639</v>
      </c>
      <c r="F270"/>
      <c r="G270"/>
    </row>
    <row r="271" spans="1:7" x14ac:dyDescent="0.25">
      <c r="A271" s="5">
        <f t="shared" si="7"/>
        <v>-3.6864836894490161E-4</v>
      </c>
      <c r="B271"/>
      <c r="C271" s="5" t="str">
        <f t="shared" si="8"/>
        <v>A</v>
      </c>
      <c r="D271">
        <v>109</v>
      </c>
      <c r="E271">
        <v>108.959817327785</v>
      </c>
      <c r="F271"/>
      <c r="G271"/>
    </row>
    <row r="272" spans="1:7" x14ac:dyDescent="0.25">
      <c r="A272" s="5">
        <f t="shared" si="7"/>
        <v>3.3385394926675804E-2</v>
      </c>
      <c r="B272"/>
      <c r="C272" s="5" t="str">
        <f t="shared" si="8"/>
        <v>A</v>
      </c>
      <c r="D272">
        <v>95</v>
      </c>
      <c r="E272">
        <v>98.171612518034195</v>
      </c>
      <c r="F272"/>
      <c r="G272"/>
    </row>
    <row r="273" spans="1:7" x14ac:dyDescent="0.25">
      <c r="A273" s="5">
        <f t="shared" si="7"/>
        <v>0.1289575238385281</v>
      </c>
      <c r="B273"/>
      <c r="C273" s="5" t="str">
        <f t="shared" si="8"/>
        <v>A</v>
      </c>
      <c r="D273">
        <v>89</v>
      </c>
      <c r="E273">
        <v>100.477219621629</v>
      </c>
      <c r="F273"/>
      <c r="G273"/>
    </row>
    <row r="274" spans="1:7" x14ac:dyDescent="0.25">
      <c r="A274" s="5">
        <f t="shared" si="7"/>
        <v>0.1157419487094602</v>
      </c>
      <c r="B274"/>
      <c r="C274" s="5" t="str">
        <f t="shared" si="8"/>
        <v>A</v>
      </c>
      <c r="D274">
        <v>126</v>
      </c>
      <c r="E274">
        <v>140.58348553739199</v>
      </c>
      <c r="F274"/>
      <c r="G274"/>
    </row>
    <row r="275" spans="1:7" x14ac:dyDescent="0.25">
      <c r="A275" s="5">
        <f t="shared" si="7"/>
        <v>1.7327669274922464E-2</v>
      </c>
      <c r="B275"/>
      <c r="C275" s="5" t="str">
        <f t="shared" si="8"/>
        <v>A</v>
      </c>
      <c r="D275">
        <v>116</v>
      </c>
      <c r="E275">
        <v>118.010009635891</v>
      </c>
      <c r="F275"/>
      <c r="G275"/>
    </row>
    <row r="276" spans="1:7" x14ac:dyDescent="0.25">
      <c r="A276" s="5">
        <f t="shared" si="7"/>
        <v>-2.0669287763398159E-2</v>
      </c>
      <c r="B276"/>
      <c r="C276" s="5" t="str">
        <f t="shared" si="8"/>
        <v>A</v>
      </c>
      <c r="D276">
        <v>108</v>
      </c>
      <c r="E276">
        <v>105.767716921553</v>
      </c>
      <c r="F276"/>
      <c r="G276"/>
    </row>
    <row r="277" spans="1:7" x14ac:dyDescent="0.25">
      <c r="A277" s="5">
        <f t="shared" si="7"/>
        <v>-1.0382826652008958E-2</v>
      </c>
      <c r="B277"/>
      <c r="C277" s="5" t="str">
        <f t="shared" si="8"/>
        <v>A</v>
      </c>
      <c r="D277">
        <v>112</v>
      </c>
      <c r="E277">
        <v>110.837123414975</v>
      </c>
      <c r="F277"/>
      <c r="G277"/>
    </row>
    <row r="278" spans="1:7" x14ac:dyDescent="0.25">
      <c r="A278" s="5">
        <f t="shared" si="7"/>
        <v>0.19062677196690525</v>
      </c>
      <c r="B278"/>
      <c r="C278" s="5" t="str">
        <f t="shared" si="8"/>
        <v>A</v>
      </c>
      <c r="D278">
        <v>95</v>
      </c>
      <c r="E278">
        <v>113.10954333685601</v>
      </c>
      <c r="F278"/>
      <c r="G278"/>
    </row>
    <row r="279" spans="1:7" x14ac:dyDescent="0.25">
      <c r="A279" s="5">
        <f t="shared" si="7"/>
        <v>0.13876219538099988</v>
      </c>
      <c r="B279"/>
      <c r="C279" s="5" t="str">
        <f t="shared" si="8"/>
        <v>A</v>
      </c>
      <c r="D279">
        <v>94</v>
      </c>
      <c r="E279">
        <v>107.043646365814</v>
      </c>
      <c r="F279"/>
      <c r="G279"/>
    </row>
    <row r="280" spans="1:7" x14ac:dyDescent="0.25">
      <c r="A280" s="5">
        <f t="shared" si="7"/>
        <v>0.13357048701961949</v>
      </c>
      <c r="B280"/>
      <c r="C280" s="5" t="str">
        <f t="shared" si="8"/>
        <v>A</v>
      </c>
      <c r="D280">
        <v>92</v>
      </c>
      <c r="E280">
        <v>104.288484805805</v>
      </c>
      <c r="F280"/>
      <c r="G280"/>
    </row>
    <row r="281" spans="1:7" x14ac:dyDescent="0.25">
      <c r="A281" s="5">
        <f t="shared" si="7"/>
        <v>-1.5021558277038105E-2</v>
      </c>
      <c r="B281"/>
      <c r="C281" s="5" t="str">
        <f t="shared" si="8"/>
        <v>A</v>
      </c>
      <c r="D281">
        <v>131</v>
      </c>
      <c r="E281">
        <v>129.03217586570801</v>
      </c>
      <c r="F281"/>
      <c r="G281"/>
    </row>
    <row r="282" spans="1:7" x14ac:dyDescent="0.25">
      <c r="A282" s="5">
        <f t="shared" si="7"/>
        <v>4.1009454627663811E-2</v>
      </c>
      <c r="B282"/>
      <c r="C282" s="5" t="str">
        <f t="shared" si="8"/>
        <v>A</v>
      </c>
      <c r="D282">
        <v>125</v>
      </c>
      <c r="E282">
        <v>130.12618182845799</v>
      </c>
      <c r="F282"/>
      <c r="G282"/>
    </row>
    <row r="283" spans="1:7" x14ac:dyDescent="0.25">
      <c r="A283" s="5">
        <f t="shared" si="7"/>
        <v>4.5941538584609587E-2</v>
      </c>
      <c r="B283"/>
      <c r="C283" s="5" t="str">
        <f t="shared" si="8"/>
        <v>A</v>
      </c>
      <c r="D283">
        <v>105</v>
      </c>
      <c r="E283">
        <v>109.823861551384</v>
      </c>
      <c r="F283"/>
      <c r="G283"/>
    </row>
    <row r="284" spans="1:7" x14ac:dyDescent="0.25">
      <c r="A284" s="5">
        <f t="shared" si="7"/>
        <v>0.11905768875870937</v>
      </c>
      <c r="B284"/>
      <c r="C284" s="5" t="str">
        <f t="shared" si="8"/>
        <v>A</v>
      </c>
      <c r="D284">
        <v>86</v>
      </c>
      <c r="E284">
        <v>96.238961233249</v>
      </c>
      <c r="F284"/>
      <c r="G284"/>
    </row>
    <row r="285" spans="1:7" x14ac:dyDescent="0.25">
      <c r="A285" s="5">
        <f t="shared" si="7"/>
        <v>8.5747131089039641E-2</v>
      </c>
      <c r="B285"/>
      <c r="C285" s="5" t="str">
        <f t="shared" si="8"/>
        <v>A</v>
      </c>
      <c r="D285">
        <v>126</v>
      </c>
      <c r="E285">
        <v>136.804138517219</v>
      </c>
      <c r="F285"/>
      <c r="G285"/>
    </row>
    <row r="286" spans="1:7" x14ac:dyDescent="0.25">
      <c r="A286" s="5">
        <f t="shared" si="7"/>
        <v>8.9618730649017264E-2</v>
      </c>
      <c r="B286"/>
      <c r="C286" s="5" t="str">
        <f t="shared" si="8"/>
        <v>A</v>
      </c>
      <c r="D286">
        <v>116</v>
      </c>
      <c r="E286">
        <v>126.395772755286</v>
      </c>
      <c r="F286"/>
      <c r="G286"/>
    </row>
    <row r="287" spans="1:7" x14ac:dyDescent="0.25">
      <c r="A287" s="5">
        <f t="shared" si="7"/>
        <v>0.23499718680965764</v>
      </c>
      <c r="B287"/>
      <c r="C287" s="5" t="str">
        <f t="shared" si="8"/>
        <v>B</v>
      </c>
      <c r="D287">
        <v>111</v>
      </c>
      <c r="E287">
        <v>137.084687735872</v>
      </c>
      <c r="F287"/>
      <c r="G287"/>
    </row>
    <row r="288" spans="1:7" x14ac:dyDescent="0.25">
      <c r="A288" s="5">
        <f t="shared" si="7"/>
        <v>9.8630155397606778E-2</v>
      </c>
      <c r="B288"/>
      <c r="C288" s="5" t="str">
        <f t="shared" si="8"/>
        <v>A</v>
      </c>
      <c r="D288">
        <v>90</v>
      </c>
      <c r="E288">
        <v>98.876713985784605</v>
      </c>
      <c r="F288"/>
      <c r="G288"/>
    </row>
    <row r="289" spans="1:7" x14ac:dyDescent="0.25">
      <c r="A289" s="5">
        <f t="shared" si="7"/>
        <v>-9.0441398388919958E-2</v>
      </c>
      <c r="B289"/>
      <c r="C289" s="5" t="str">
        <f t="shared" si="8"/>
        <v>A</v>
      </c>
      <c r="D289">
        <v>125</v>
      </c>
      <c r="E289">
        <v>113.694825201385</v>
      </c>
      <c r="F289"/>
      <c r="G289"/>
    </row>
    <row r="290" spans="1:7" x14ac:dyDescent="0.25">
      <c r="A290" s="5">
        <f t="shared" si="7"/>
        <v>0.16234872776457898</v>
      </c>
      <c r="B290"/>
      <c r="C290" s="5" t="str">
        <f t="shared" si="8"/>
        <v>A</v>
      </c>
      <c r="D290">
        <v>95</v>
      </c>
      <c r="E290">
        <v>110.423129137635</v>
      </c>
      <c r="F290"/>
      <c r="G290"/>
    </row>
    <row r="291" spans="1:7" x14ac:dyDescent="0.25">
      <c r="A291" s="5">
        <f t="shared" si="7"/>
        <v>-5.0820159355569938E-2</v>
      </c>
      <c r="B291"/>
      <c r="C291" s="5" t="str">
        <f t="shared" si="8"/>
        <v>A</v>
      </c>
      <c r="D291">
        <v>93</v>
      </c>
      <c r="E291">
        <v>88.273725179932001</v>
      </c>
      <c r="F291"/>
      <c r="G291"/>
    </row>
    <row r="292" spans="1:7" x14ac:dyDescent="0.25">
      <c r="A292" s="5">
        <f t="shared" si="7"/>
        <v>0.18827415523803204</v>
      </c>
      <c r="B292"/>
      <c r="C292" s="5" t="str">
        <f t="shared" si="8"/>
        <v>A</v>
      </c>
      <c r="D292">
        <v>81</v>
      </c>
      <c r="E292">
        <v>96.250206574280597</v>
      </c>
      <c r="F292"/>
      <c r="G292"/>
    </row>
    <row r="293" spans="1:7" x14ac:dyDescent="0.25">
      <c r="A293" s="5">
        <f t="shared" si="7"/>
        <v>0.11444329825336963</v>
      </c>
      <c r="B293"/>
      <c r="C293" s="5" t="str">
        <f t="shared" si="8"/>
        <v>A</v>
      </c>
      <c r="D293">
        <v>92</v>
      </c>
      <c r="E293">
        <v>102.52878343931</v>
      </c>
      <c r="F293"/>
      <c r="G293"/>
    </row>
    <row r="294" spans="1:7" x14ac:dyDescent="0.25">
      <c r="A294" s="5">
        <f t="shared" si="7"/>
        <v>0.19015164691037212</v>
      </c>
      <c r="B294"/>
      <c r="C294" s="5" t="str">
        <f t="shared" si="8"/>
        <v>A</v>
      </c>
      <c r="D294">
        <v>86</v>
      </c>
      <c r="E294">
        <v>102.353041634292</v>
      </c>
      <c r="F294"/>
      <c r="G294"/>
    </row>
    <row r="295" spans="1:7" x14ac:dyDescent="0.25">
      <c r="A295" s="5">
        <f t="shared" ref="A295:A314" si="9">E295/D295-1</f>
        <v>0.30673949777747556</v>
      </c>
      <c r="C295" s="5" t="str">
        <f t="shared" ref="C295:C314" si="10">IF(OR(A295&gt;=20%,A295&lt;=-20%),"B","A")</f>
        <v>B</v>
      </c>
      <c r="D295">
        <v>82</v>
      </c>
      <c r="E295">
        <v>107.152638817753</v>
      </c>
    </row>
    <row r="296" spans="1:7" x14ac:dyDescent="0.25">
      <c r="A296" s="5">
        <f t="shared" si="9"/>
        <v>-0.17235847574923624</v>
      </c>
      <c r="C296" s="5" t="str">
        <f t="shared" si="10"/>
        <v>A</v>
      </c>
      <c r="D296">
        <v>127</v>
      </c>
      <c r="E296">
        <v>105.110473579847</v>
      </c>
    </row>
    <row r="297" spans="1:7" x14ac:dyDescent="0.25">
      <c r="A297" s="5">
        <f t="shared" si="9"/>
        <v>0.1817681513782039</v>
      </c>
      <c r="C297" s="5" t="str">
        <f t="shared" si="10"/>
        <v>A</v>
      </c>
      <c r="D297">
        <v>103</v>
      </c>
      <c r="E297">
        <v>121.72211959195501</v>
      </c>
    </row>
    <row r="298" spans="1:7" x14ac:dyDescent="0.25">
      <c r="A298" s="5">
        <f t="shared" si="9"/>
        <v>1.8309480082864038E-2</v>
      </c>
      <c r="C298" s="5" t="str">
        <f t="shared" si="10"/>
        <v>A</v>
      </c>
      <c r="D298">
        <v>86</v>
      </c>
      <c r="E298">
        <v>87.574615287126306</v>
      </c>
    </row>
    <row r="299" spans="1:7" x14ac:dyDescent="0.25">
      <c r="A299" s="5">
        <f t="shared" si="9"/>
        <v>7.0311518710055809E-2</v>
      </c>
      <c r="C299" s="5" t="str">
        <f t="shared" si="10"/>
        <v>A</v>
      </c>
      <c r="D299">
        <v>79</v>
      </c>
      <c r="E299">
        <v>84.554609978094405</v>
      </c>
    </row>
    <row r="300" spans="1:7" x14ac:dyDescent="0.25">
      <c r="A300" s="5">
        <f t="shared" si="9"/>
        <v>-0.18519522293688129</v>
      </c>
      <c r="C300" s="5" t="str">
        <f t="shared" si="10"/>
        <v>A</v>
      </c>
      <c r="D300">
        <v>160</v>
      </c>
      <c r="E300">
        <v>130.368764330099</v>
      </c>
    </row>
    <row r="301" spans="1:7" x14ac:dyDescent="0.25">
      <c r="A301" s="5">
        <f t="shared" si="9"/>
        <v>-0.10111368460911108</v>
      </c>
      <c r="C301" s="5" t="str">
        <f t="shared" si="10"/>
        <v>A</v>
      </c>
      <c r="D301">
        <v>135</v>
      </c>
      <c r="E301">
        <v>121.34965257777</v>
      </c>
    </row>
    <row r="302" spans="1:7" x14ac:dyDescent="0.25">
      <c r="A302" s="5">
        <f t="shared" si="9"/>
        <v>2.502008615784912E-2</v>
      </c>
      <c r="C302" s="5" t="str">
        <f t="shared" si="10"/>
        <v>A</v>
      </c>
      <c r="D302">
        <v>106</v>
      </c>
      <c r="E302">
        <v>108.652129132732</v>
      </c>
    </row>
    <row r="303" spans="1:7" x14ac:dyDescent="0.25">
      <c r="A303" s="5">
        <f t="shared" si="9"/>
        <v>0.10973632244419873</v>
      </c>
      <c r="C303" s="5" t="str">
        <f t="shared" si="10"/>
        <v>A</v>
      </c>
      <c r="D303">
        <v>80</v>
      </c>
      <c r="E303">
        <v>88.778905795535906</v>
      </c>
    </row>
    <row r="304" spans="1:7" x14ac:dyDescent="0.25">
      <c r="A304" s="5">
        <f t="shared" si="9"/>
        <v>-0.15875210844629029</v>
      </c>
      <c r="C304" s="5" t="str">
        <f t="shared" si="10"/>
        <v>A</v>
      </c>
      <c r="D304">
        <v>124</v>
      </c>
      <c r="E304">
        <v>104.31473855266</v>
      </c>
    </row>
    <row r="305" spans="1:6" x14ac:dyDescent="0.25">
      <c r="A305" s="5">
        <f t="shared" si="9"/>
        <v>-3.9038174122053571E-2</v>
      </c>
      <c r="C305" s="5" t="str">
        <f t="shared" si="10"/>
        <v>A</v>
      </c>
      <c r="D305">
        <v>112</v>
      </c>
      <c r="E305">
        <v>107.62772449833</v>
      </c>
    </row>
    <row r="306" spans="1:6" x14ac:dyDescent="0.25">
      <c r="A306" s="5">
        <f t="shared" si="9"/>
        <v>-1.5004211078448848E-2</v>
      </c>
      <c r="C306" s="5" t="str">
        <f t="shared" si="10"/>
        <v>A</v>
      </c>
      <c r="D306">
        <v>96</v>
      </c>
      <c r="E306">
        <v>94.559595736468907</v>
      </c>
    </row>
    <row r="307" spans="1:6" x14ac:dyDescent="0.25">
      <c r="A307" s="5">
        <f t="shared" si="9"/>
        <v>0.15457658467197266</v>
      </c>
      <c r="C307" s="5" t="str">
        <f t="shared" si="10"/>
        <v>A</v>
      </c>
      <c r="D307">
        <v>77</v>
      </c>
      <c r="E307">
        <v>88.902397019741898</v>
      </c>
      <c r="F307"/>
    </row>
    <row r="308" spans="1:6" x14ac:dyDescent="0.25">
      <c r="A308" s="5">
        <f t="shared" si="9"/>
        <v>-0.19434882438821899</v>
      </c>
      <c r="C308" s="5" t="str">
        <f t="shared" si="10"/>
        <v>A</v>
      </c>
      <c r="D308">
        <v>137</v>
      </c>
      <c r="E308">
        <v>110.374211058814</v>
      </c>
    </row>
    <row r="309" spans="1:6" x14ac:dyDescent="0.25">
      <c r="A309" s="5">
        <f t="shared" si="9"/>
        <v>8.5337432393930879E-2</v>
      </c>
      <c r="C309" s="5" t="str">
        <f t="shared" si="10"/>
        <v>A</v>
      </c>
      <c r="D309">
        <v>130</v>
      </c>
      <c r="E309">
        <v>141.09386621121101</v>
      </c>
    </row>
    <row r="310" spans="1:6" x14ac:dyDescent="0.25">
      <c r="A310" s="5">
        <f t="shared" si="9"/>
        <v>-4.0209034156487578E-2</v>
      </c>
      <c r="C310" s="5" t="str">
        <f t="shared" si="10"/>
        <v>A</v>
      </c>
      <c r="D310">
        <v>121</v>
      </c>
      <c r="E310">
        <v>116.13470686706501</v>
      </c>
    </row>
    <row r="311" spans="1:6" x14ac:dyDescent="0.25">
      <c r="A311" s="5">
        <f t="shared" si="9"/>
        <v>-3.0245702261819774E-2</v>
      </c>
      <c r="C311" s="5" t="str">
        <f t="shared" si="10"/>
        <v>A</v>
      </c>
      <c r="D311">
        <v>91</v>
      </c>
      <c r="E311">
        <v>88.247641094174398</v>
      </c>
    </row>
    <row r="312" spans="1:6" x14ac:dyDescent="0.25">
      <c r="A312" s="5">
        <f t="shared" si="9"/>
        <v>0.19872267788997067</v>
      </c>
      <c r="C312" s="5" t="str">
        <f t="shared" si="10"/>
        <v>A</v>
      </c>
      <c r="D312">
        <v>137</v>
      </c>
      <c r="E312">
        <v>164.22500687092599</v>
      </c>
    </row>
    <row r="313" spans="1:6" x14ac:dyDescent="0.25">
      <c r="A313" s="5">
        <f t="shared" si="9"/>
        <v>0.27983646781717653</v>
      </c>
      <c r="C313" s="5" t="str">
        <f t="shared" si="10"/>
        <v>B</v>
      </c>
      <c r="D313">
        <v>119</v>
      </c>
      <c r="E313">
        <v>152.30053967024401</v>
      </c>
    </row>
    <row r="314" spans="1:6" x14ac:dyDescent="0.25">
      <c r="A314" s="5">
        <f t="shared" si="9"/>
        <v>4.9140857185515197E-2</v>
      </c>
      <c r="C314" s="5" t="str">
        <f t="shared" si="10"/>
        <v>A</v>
      </c>
      <c r="D314">
        <v>99</v>
      </c>
      <c r="E314">
        <v>103.864944861366</v>
      </c>
    </row>
  </sheetData>
  <phoneticPr fontId="1" type="noConversion"/>
  <conditionalFormatting sqref="A38:A3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xSplit="1" ySplit="2" topLeftCell="E9" activePane="bottomRight" state="frozen"/>
      <selection pane="topRight" activeCell="B1" sqref="B1"/>
      <selection pane="bottomLeft" activeCell="A3" sqref="A3"/>
      <selection pane="bottomRight" activeCell="R21" sqref="R21"/>
    </sheetView>
  </sheetViews>
  <sheetFormatPr defaultRowHeight="16.5" x14ac:dyDescent="0.25"/>
  <cols>
    <col min="1" max="1" width="8.75" bestFit="1" customWidth="1"/>
    <col min="2" max="2" width="12.375" bestFit="1" customWidth="1"/>
    <col min="3" max="3" width="12.25" bestFit="1" customWidth="1"/>
    <col min="4" max="4" width="12.125" bestFit="1" customWidth="1"/>
    <col min="5" max="5" width="12.25" bestFit="1" customWidth="1"/>
    <col min="6" max="6" width="12.125" bestFit="1" customWidth="1"/>
    <col min="7" max="7" width="12.375" bestFit="1" customWidth="1"/>
    <col min="8" max="8" width="12.25" bestFit="1" customWidth="1"/>
    <col min="9" max="9" width="12.125" bestFit="1" customWidth="1"/>
    <col min="10" max="10" width="11.875" bestFit="1" customWidth="1"/>
    <col min="11" max="11" width="6.625" bestFit="1" customWidth="1"/>
  </cols>
  <sheetData>
    <row r="1" spans="1:11" x14ac:dyDescent="0.25">
      <c r="A1" s="1" t="s">
        <v>4</v>
      </c>
      <c r="B1" s="1"/>
      <c r="C1" s="1" t="s">
        <v>5</v>
      </c>
      <c r="D1" s="1"/>
      <c r="E1" s="1"/>
      <c r="F1" s="1"/>
      <c r="G1" s="1"/>
      <c r="H1" s="1"/>
      <c r="I1" s="1"/>
      <c r="J1" s="1"/>
      <c r="K1" s="1"/>
    </row>
    <row r="2" spans="1:11" x14ac:dyDescent="0.25">
      <c r="A2" s="4" t="s">
        <v>6</v>
      </c>
      <c r="B2" s="4" t="s">
        <v>40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2</v>
      </c>
      <c r="K2" s="1" t="s">
        <v>0</v>
      </c>
    </row>
    <row r="3" spans="1:11" x14ac:dyDescent="0.25">
      <c r="A3" s="4">
        <v>0</v>
      </c>
      <c r="B3" s="4">
        <v>0</v>
      </c>
      <c r="C3" s="4">
        <v>50</v>
      </c>
      <c r="D3" s="4"/>
      <c r="E3" s="4"/>
      <c r="F3" s="4"/>
      <c r="G3" s="4"/>
      <c r="H3" s="4"/>
      <c r="I3" s="4"/>
      <c r="J3" s="4"/>
      <c r="K3" s="1"/>
    </row>
    <row r="4" spans="1:11" x14ac:dyDescent="0.25">
      <c r="A4" s="4">
        <v>30</v>
      </c>
      <c r="B4" s="4">
        <v>30</v>
      </c>
      <c r="C4" s="4">
        <v>50</v>
      </c>
      <c r="D4" s="4"/>
      <c r="E4" s="4"/>
      <c r="F4" s="4"/>
      <c r="G4" s="4"/>
      <c r="H4" s="4"/>
      <c r="I4" s="4"/>
      <c r="J4" s="4"/>
      <c r="K4" s="1"/>
    </row>
    <row r="5" spans="1:11" x14ac:dyDescent="0.25">
      <c r="A5" s="4">
        <v>140</v>
      </c>
      <c r="B5" s="4">
        <v>140</v>
      </c>
      <c r="C5" s="4">
        <v>170</v>
      </c>
      <c r="D5" s="4"/>
      <c r="E5" s="4"/>
      <c r="F5" s="4"/>
      <c r="G5" s="4"/>
      <c r="H5" s="4"/>
      <c r="I5" s="4"/>
      <c r="J5" s="4"/>
      <c r="K5" s="1"/>
    </row>
    <row r="6" spans="1:11" x14ac:dyDescent="0.25">
      <c r="A6" s="4">
        <v>280</v>
      </c>
      <c r="B6" s="4">
        <v>280</v>
      </c>
      <c r="C6" s="4">
        <v>380</v>
      </c>
      <c r="D6" s="4"/>
      <c r="E6" s="4"/>
      <c r="F6" s="4"/>
      <c r="G6" s="4"/>
      <c r="H6" s="4"/>
      <c r="I6" s="4"/>
      <c r="J6" s="4"/>
      <c r="K6" s="1"/>
    </row>
    <row r="7" spans="1:11" x14ac:dyDescent="0.25">
      <c r="A7" s="4">
        <v>430</v>
      </c>
      <c r="B7" s="4">
        <v>430</v>
      </c>
      <c r="C7" s="4">
        <v>550</v>
      </c>
      <c r="D7" s="4"/>
      <c r="E7" s="4"/>
      <c r="F7" s="4"/>
      <c r="G7" s="4"/>
      <c r="H7" s="4"/>
      <c r="I7" s="4"/>
      <c r="J7" s="4"/>
      <c r="K7" s="1"/>
    </row>
    <row r="8" spans="1:11" x14ac:dyDescent="0.25">
      <c r="A8" s="4">
        <v>120</v>
      </c>
      <c r="B8" s="4">
        <v>120</v>
      </c>
      <c r="C8" s="4"/>
      <c r="D8" s="4"/>
      <c r="E8" s="4"/>
      <c r="F8" s="4">
        <v>0</v>
      </c>
      <c r="G8" s="4"/>
      <c r="H8" s="4"/>
      <c r="I8" s="4"/>
      <c r="J8" s="4"/>
      <c r="K8" s="1"/>
    </row>
    <row r="9" spans="1:11" x14ac:dyDescent="0.25">
      <c r="A9" s="4">
        <v>120</v>
      </c>
      <c r="B9" s="4">
        <v>120</v>
      </c>
      <c r="C9" s="4"/>
      <c r="D9" s="4"/>
      <c r="E9" s="4"/>
      <c r="F9" s="4">
        <v>30</v>
      </c>
      <c r="G9" s="4"/>
      <c r="H9" s="4"/>
      <c r="I9" s="4"/>
      <c r="J9" s="4"/>
      <c r="K9" s="1"/>
    </row>
    <row r="10" spans="1:11" x14ac:dyDescent="0.25">
      <c r="A10" s="4">
        <v>260</v>
      </c>
      <c r="B10" s="4">
        <v>260</v>
      </c>
      <c r="C10" s="4"/>
      <c r="D10" s="4"/>
      <c r="E10" s="4"/>
      <c r="F10" s="4">
        <v>130</v>
      </c>
      <c r="G10" s="4"/>
      <c r="H10" s="4"/>
      <c r="I10" s="4"/>
      <c r="J10" s="4"/>
      <c r="K10" s="1"/>
    </row>
    <row r="11" spans="1:11" x14ac:dyDescent="0.25">
      <c r="A11" s="4">
        <v>550</v>
      </c>
      <c r="B11" s="4">
        <v>550</v>
      </c>
      <c r="C11" s="4"/>
      <c r="D11" s="4"/>
      <c r="E11" s="4"/>
      <c r="F11" s="4">
        <v>250</v>
      </c>
      <c r="G11" s="4"/>
      <c r="H11" s="4"/>
      <c r="I11" s="4"/>
      <c r="J11" s="4"/>
      <c r="K11" s="1"/>
    </row>
    <row r="12" spans="1:11" x14ac:dyDescent="0.25">
      <c r="A12" s="4">
        <v>50</v>
      </c>
      <c r="B12" s="4"/>
      <c r="C12" s="4"/>
      <c r="D12" s="4">
        <v>0</v>
      </c>
      <c r="E12" s="4"/>
      <c r="F12" s="4"/>
      <c r="G12" s="4"/>
      <c r="H12" s="4"/>
      <c r="I12" s="4"/>
      <c r="J12" s="4"/>
      <c r="K12" s="1"/>
    </row>
    <row r="13" spans="1:11" x14ac:dyDescent="0.25">
      <c r="A13" s="4">
        <v>50</v>
      </c>
      <c r="B13" s="4"/>
      <c r="C13" s="4"/>
      <c r="D13" s="4">
        <v>30</v>
      </c>
      <c r="E13" s="4"/>
      <c r="F13" s="4"/>
      <c r="G13" s="4"/>
      <c r="H13" s="4"/>
      <c r="I13" s="4"/>
      <c r="J13" s="4"/>
      <c r="K13" s="1"/>
    </row>
    <row r="14" spans="1:11" x14ac:dyDescent="0.25">
      <c r="A14" s="4">
        <v>170</v>
      </c>
      <c r="B14" s="4"/>
      <c r="C14" s="4"/>
      <c r="D14" s="4">
        <v>145</v>
      </c>
      <c r="E14" s="4"/>
      <c r="F14" s="4"/>
      <c r="G14" s="4"/>
      <c r="H14" s="4"/>
      <c r="I14" s="4"/>
      <c r="J14" s="4"/>
      <c r="K14" s="1"/>
    </row>
    <row r="15" spans="1:11" x14ac:dyDescent="0.25">
      <c r="A15" s="4">
        <v>385</v>
      </c>
      <c r="B15" s="4"/>
      <c r="C15" s="4"/>
      <c r="D15" s="4">
        <v>300</v>
      </c>
      <c r="E15" s="4"/>
      <c r="F15" s="4"/>
      <c r="G15" s="4"/>
      <c r="H15" s="4"/>
      <c r="I15" s="4"/>
      <c r="J15" s="4"/>
      <c r="K15" s="1"/>
    </row>
    <row r="16" spans="1:11" x14ac:dyDescent="0.25">
      <c r="A16" s="4">
        <v>550</v>
      </c>
      <c r="B16" s="4"/>
      <c r="C16" s="4"/>
      <c r="D16" s="4">
        <v>450</v>
      </c>
      <c r="E16" s="4"/>
      <c r="F16" s="4"/>
      <c r="G16" s="4"/>
      <c r="H16" s="4"/>
      <c r="I16" s="4"/>
      <c r="J16" s="4"/>
      <c r="K16" s="1"/>
    </row>
    <row r="17" spans="1:11" x14ac:dyDescent="0.25">
      <c r="A17" s="4">
        <v>0</v>
      </c>
      <c r="B17" s="4"/>
      <c r="C17" s="4"/>
      <c r="D17" s="4"/>
      <c r="E17" s="4">
        <v>60</v>
      </c>
      <c r="F17" s="4"/>
      <c r="G17" s="4"/>
      <c r="H17" s="4"/>
      <c r="I17" s="4"/>
      <c r="J17" s="4"/>
      <c r="K17" s="1"/>
    </row>
    <row r="18" spans="1:11" x14ac:dyDescent="0.25">
      <c r="A18" s="4">
        <v>30</v>
      </c>
      <c r="B18" s="4"/>
      <c r="C18" s="4"/>
      <c r="D18" s="4"/>
      <c r="E18" s="4">
        <v>60</v>
      </c>
      <c r="F18" s="4"/>
      <c r="G18" s="4"/>
      <c r="H18" s="4"/>
      <c r="I18" s="4"/>
      <c r="J18" s="4"/>
      <c r="K18" s="1"/>
    </row>
    <row r="19" spans="1:11" x14ac:dyDescent="0.25">
      <c r="A19" s="4">
        <v>50</v>
      </c>
      <c r="B19" s="4"/>
      <c r="C19" s="4"/>
      <c r="D19" s="4"/>
      <c r="E19" s="4">
        <v>80</v>
      </c>
      <c r="F19" s="4"/>
      <c r="G19" s="4"/>
      <c r="H19" s="4"/>
      <c r="I19" s="4"/>
      <c r="J19" s="4"/>
      <c r="K19" s="1"/>
    </row>
    <row r="20" spans="1:11" x14ac:dyDescent="0.25">
      <c r="A20" s="4">
        <v>70</v>
      </c>
      <c r="B20" s="4"/>
      <c r="C20" s="4"/>
      <c r="D20" s="4"/>
      <c r="E20" s="4">
        <v>110</v>
      </c>
      <c r="F20" s="4"/>
      <c r="G20" s="4"/>
      <c r="H20" s="4"/>
      <c r="I20" s="4"/>
      <c r="J20" s="4"/>
      <c r="K20" s="1"/>
    </row>
    <row r="21" spans="1:11" x14ac:dyDescent="0.25">
      <c r="A21" s="4">
        <v>260</v>
      </c>
      <c r="B21" s="4"/>
      <c r="C21" s="4"/>
      <c r="D21" s="4"/>
      <c r="E21" s="4">
        <v>550</v>
      </c>
      <c r="F21" s="4"/>
      <c r="G21" s="4"/>
      <c r="H21" s="4"/>
      <c r="I21" s="4"/>
      <c r="J21" s="4"/>
      <c r="K21" s="1"/>
    </row>
    <row r="22" spans="1:11" x14ac:dyDescent="0.25">
      <c r="A22" s="4">
        <v>250</v>
      </c>
      <c r="B22" s="4"/>
      <c r="C22" s="4"/>
      <c r="D22" s="4"/>
      <c r="E22" s="4"/>
      <c r="F22" s="4"/>
      <c r="G22" s="4"/>
      <c r="H22" s="4">
        <v>0</v>
      </c>
      <c r="I22" s="4"/>
      <c r="J22" s="4"/>
      <c r="K22" s="1"/>
    </row>
    <row r="23" spans="1:11" x14ac:dyDescent="0.25">
      <c r="A23" s="4">
        <v>250</v>
      </c>
      <c r="B23" s="4"/>
      <c r="C23" s="4"/>
      <c r="D23" s="4"/>
      <c r="E23" s="4"/>
      <c r="F23" s="4"/>
      <c r="G23" s="4"/>
      <c r="H23" s="4">
        <v>40</v>
      </c>
      <c r="I23" s="4"/>
      <c r="J23" s="4"/>
      <c r="K23" s="1"/>
    </row>
    <row r="24" spans="1:11" x14ac:dyDescent="0.25">
      <c r="A24" s="4">
        <v>550</v>
      </c>
      <c r="B24" s="4"/>
      <c r="C24" s="4"/>
      <c r="D24" s="4"/>
      <c r="E24" s="4"/>
      <c r="F24" s="4"/>
      <c r="G24" s="4"/>
      <c r="H24" s="4">
        <v>150</v>
      </c>
      <c r="I24" s="4"/>
      <c r="J24" s="4"/>
      <c r="K24" s="1"/>
    </row>
    <row r="25" spans="1:11" x14ac:dyDescent="0.25">
      <c r="A25" s="4">
        <v>0</v>
      </c>
      <c r="B25" s="4"/>
      <c r="C25" s="4"/>
      <c r="D25" s="4"/>
      <c r="E25" s="4"/>
      <c r="F25" s="4"/>
      <c r="G25" s="4">
        <v>100</v>
      </c>
      <c r="H25" s="4"/>
      <c r="I25" s="4"/>
      <c r="J25" s="4"/>
      <c r="K25" s="1"/>
    </row>
    <row r="26" spans="1:11" x14ac:dyDescent="0.25">
      <c r="A26" s="4">
        <v>25</v>
      </c>
      <c r="B26" s="4"/>
      <c r="C26" s="4"/>
      <c r="D26" s="4"/>
      <c r="E26" s="4"/>
      <c r="F26" s="4"/>
      <c r="G26" s="4">
        <v>100</v>
      </c>
      <c r="H26" s="4"/>
      <c r="I26" s="4"/>
      <c r="J26" s="4"/>
      <c r="K26" s="1"/>
    </row>
    <row r="27" spans="1:11" x14ac:dyDescent="0.25">
      <c r="A27" s="4">
        <v>50</v>
      </c>
      <c r="B27" s="4"/>
      <c r="C27" s="4"/>
      <c r="D27" s="4"/>
      <c r="E27" s="4"/>
      <c r="F27" s="4"/>
      <c r="G27" s="4">
        <v>125</v>
      </c>
      <c r="H27" s="4"/>
      <c r="I27" s="4"/>
      <c r="J27" s="4"/>
      <c r="K27" s="1"/>
    </row>
    <row r="28" spans="1:11" x14ac:dyDescent="0.25">
      <c r="A28" s="4">
        <v>80</v>
      </c>
      <c r="B28" s="4"/>
      <c r="C28" s="4"/>
      <c r="D28" s="4"/>
      <c r="E28" s="4"/>
      <c r="F28" s="4"/>
      <c r="G28" s="4">
        <v>215</v>
      </c>
      <c r="H28" s="4"/>
      <c r="I28" s="4"/>
      <c r="J28" s="4"/>
      <c r="K28" s="1"/>
    </row>
    <row r="29" spans="1:11" x14ac:dyDescent="0.25">
      <c r="A29" s="4">
        <v>125</v>
      </c>
      <c r="B29" s="4"/>
      <c r="C29" s="4"/>
      <c r="D29" s="4"/>
      <c r="E29" s="4"/>
      <c r="F29" s="4"/>
      <c r="G29" s="4">
        <v>550</v>
      </c>
      <c r="H29" s="4"/>
      <c r="I29" s="4"/>
      <c r="J29" s="4"/>
      <c r="K29" s="1"/>
    </row>
    <row r="30" spans="1:11" x14ac:dyDescent="0.25">
      <c r="A30" s="4">
        <v>0</v>
      </c>
      <c r="B30" s="4"/>
      <c r="C30" s="4"/>
      <c r="D30" s="4"/>
      <c r="E30" s="4"/>
      <c r="F30" s="4"/>
      <c r="G30" s="4"/>
      <c r="H30" s="4"/>
      <c r="I30" s="4">
        <v>150</v>
      </c>
      <c r="J30" s="4"/>
      <c r="K30" s="1"/>
    </row>
    <row r="31" spans="1:11" x14ac:dyDescent="0.25">
      <c r="A31" s="4">
        <v>35</v>
      </c>
      <c r="B31" s="4"/>
      <c r="C31" s="4"/>
      <c r="D31" s="4"/>
      <c r="E31" s="4"/>
      <c r="F31" s="4"/>
      <c r="G31" s="4"/>
      <c r="H31" s="4"/>
      <c r="I31" s="4">
        <v>155</v>
      </c>
      <c r="J31" s="4"/>
      <c r="K31" s="1"/>
    </row>
    <row r="32" spans="1:11" x14ac:dyDescent="0.25">
      <c r="A32" s="4">
        <v>50</v>
      </c>
      <c r="B32" s="4"/>
      <c r="C32" s="4"/>
      <c r="D32" s="4"/>
      <c r="E32" s="4"/>
      <c r="F32" s="4"/>
      <c r="G32" s="4"/>
      <c r="H32" s="4"/>
      <c r="I32" s="4">
        <v>550</v>
      </c>
      <c r="J32" s="4"/>
      <c r="K32" s="1"/>
    </row>
    <row r="33" spans="1:11" x14ac:dyDescent="0.25">
      <c r="A33" s="4">
        <v>0</v>
      </c>
      <c r="B33" s="4"/>
      <c r="C33" s="4"/>
      <c r="D33" s="4"/>
      <c r="E33" s="4"/>
      <c r="F33" s="4"/>
      <c r="G33" s="4"/>
      <c r="H33" s="4"/>
      <c r="I33" s="4"/>
      <c r="J33" s="4">
        <v>0</v>
      </c>
      <c r="K33" s="1"/>
    </row>
    <row r="34" spans="1:11" x14ac:dyDescent="0.25">
      <c r="A34" s="4">
        <v>550</v>
      </c>
      <c r="B34" s="4"/>
      <c r="C34" s="4"/>
      <c r="D34" s="4"/>
      <c r="E34" s="4"/>
      <c r="F34" s="4"/>
      <c r="G34" s="4"/>
      <c r="H34" s="4"/>
      <c r="I34" s="4"/>
      <c r="J34" s="4">
        <v>550</v>
      </c>
      <c r="K34" s="1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0" workbookViewId="0">
      <selection activeCell="G20" sqref="G20"/>
    </sheetView>
  </sheetViews>
  <sheetFormatPr defaultRowHeight="16.5" x14ac:dyDescent="0.25"/>
  <cols>
    <col min="1" max="1" width="8.75" bestFit="1" customWidth="1"/>
    <col min="2" max="2" width="12.25" bestFit="1" customWidth="1"/>
    <col min="3" max="3" width="12.125" bestFit="1" customWidth="1"/>
    <col min="4" max="4" width="12.25" bestFit="1" customWidth="1"/>
    <col min="5" max="5" width="12.125" bestFit="1" customWidth="1"/>
    <col min="6" max="6" width="12.375" bestFit="1" customWidth="1"/>
    <col min="7" max="7" width="12.25" bestFit="1" customWidth="1"/>
    <col min="8" max="8" width="12.125" bestFit="1" customWidth="1"/>
    <col min="9" max="9" width="11.875" bestFit="1" customWidth="1"/>
  </cols>
  <sheetData>
    <row r="1" spans="1:9" x14ac:dyDescent="0.25">
      <c r="A1" s="1" t="s">
        <v>4</v>
      </c>
      <c r="B1" s="1" t="s">
        <v>5</v>
      </c>
      <c r="C1" s="1"/>
      <c r="D1" s="1"/>
      <c r="E1" s="1"/>
      <c r="F1" s="1"/>
      <c r="G1" s="1"/>
      <c r="H1" s="1"/>
      <c r="I1" s="1"/>
    </row>
    <row r="2" spans="1:9" x14ac:dyDescent="0.25">
      <c r="A2" s="4" t="s">
        <v>6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2</v>
      </c>
    </row>
    <row r="3" spans="1:9" x14ac:dyDescent="0.25">
      <c r="A3" s="4">
        <v>0</v>
      </c>
      <c r="B3" s="4">
        <v>50</v>
      </c>
      <c r="C3" s="4"/>
      <c r="D3" s="4">
        <v>60</v>
      </c>
      <c r="E3" s="4"/>
      <c r="F3" s="4">
        <v>100</v>
      </c>
      <c r="G3" s="4"/>
      <c r="H3" s="4">
        <v>150</v>
      </c>
      <c r="I3" s="4">
        <v>0</v>
      </c>
    </row>
    <row r="4" spans="1:9" x14ac:dyDescent="0.25">
      <c r="A4" s="4">
        <v>25</v>
      </c>
      <c r="B4" s="4"/>
      <c r="C4" s="4"/>
      <c r="D4" s="4"/>
      <c r="E4" s="4"/>
      <c r="F4" s="4">
        <v>100</v>
      </c>
      <c r="G4" s="4"/>
      <c r="H4" s="4"/>
      <c r="I4" s="4"/>
    </row>
    <row r="5" spans="1:9" x14ac:dyDescent="0.25">
      <c r="A5" s="4">
        <v>30</v>
      </c>
      <c r="B5" s="4">
        <v>50</v>
      </c>
      <c r="C5" s="4"/>
      <c r="D5" s="4">
        <v>60</v>
      </c>
      <c r="E5" s="4"/>
      <c r="F5" s="4"/>
      <c r="G5" s="4"/>
      <c r="H5" s="4"/>
      <c r="I5" s="4"/>
    </row>
    <row r="6" spans="1:9" x14ac:dyDescent="0.25">
      <c r="A6" s="4">
        <v>35</v>
      </c>
      <c r="B6" s="4"/>
      <c r="C6" s="4"/>
      <c r="D6" s="4"/>
      <c r="E6" s="4"/>
      <c r="F6" s="4"/>
      <c r="G6" s="4"/>
      <c r="H6" s="4">
        <v>155</v>
      </c>
      <c r="I6" s="4"/>
    </row>
    <row r="7" spans="1:9" x14ac:dyDescent="0.25">
      <c r="A7" s="4">
        <v>50</v>
      </c>
      <c r="B7" s="4"/>
      <c r="C7" s="4">
        <v>0</v>
      </c>
      <c r="D7" s="4"/>
      <c r="E7" s="4"/>
      <c r="F7" s="4"/>
      <c r="G7" s="4"/>
      <c r="H7" s="4"/>
      <c r="I7" s="4"/>
    </row>
    <row r="8" spans="1:9" x14ac:dyDescent="0.25">
      <c r="A8" s="4">
        <v>50</v>
      </c>
      <c r="B8" s="4"/>
      <c r="C8" s="4">
        <v>30</v>
      </c>
      <c r="D8" s="4">
        <v>80</v>
      </c>
      <c r="E8" s="4"/>
      <c r="F8" s="4">
        <v>125</v>
      </c>
      <c r="G8" s="4"/>
      <c r="H8" s="4">
        <v>550</v>
      </c>
      <c r="I8" s="4"/>
    </row>
    <row r="9" spans="1:9" x14ac:dyDescent="0.25">
      <c r="A9" s="4">
        <v>70</v>
      </c>
      <c r="B9" s="4"/>
      <c r="C9" s="4"/>
      <c r="D9" s="4">
        <v>110</v>
      </c>
      <c r="E9" s="4"/>
      <c r="F9" s="4"/>
      <c r="G9" s="4"/>
      <c r="H9" s="4"/>
      <c r="I9" s="4"/>
    </row>
    <row r="10" spans="1:9" x14ac:dyDescent="0.25">
      <c r="A10" s="4">
        <v>80</v>
      </c>
      <c r="B10" s="4"/>
      <c r="C10" s="4"/>
      <c r="D10" s="4"/>
      <c r="E10" s="4"/>
      <c r="F10" s="4">
        <v>215</v>
      </c>
      <c r="G10" s="4"/>
      <c r="H10" s="4"/>
      <c r="I10" s="4"/>
    </row>
    <row r="11" spans="1:9" x14ac:dyDescent="0.25">
      <c r="A11" s="4">
        <v>140</v>
      </c>
      <c r="B11" s="4">
        <v>170</v>
      </c>
      <c r="C11" s="4"/>
      <c r="D11" s="4"/>
      <c r="E11" s="4"/>
      <c r="F11" s="4"/>
      <c r="G11" s="4"/>
      <c r="H11" s="4"/>
      <c r="I11" s="4"/>
    </row>
    <row r="12" spans="1:9" x14ac:dyDescent="0.25">
      <c r="A12" s="4">
        <v>120</v>
      </c>
      <c r="B12" s="4"/>
      <c r="C12" s="4"/>
      <c r="D12" s="4"/>
      <c r="E12" s="4">
        <v>0</v>
      </c>
      <c r="F12" s="4"/>
      <c r="G12" s="4"/>
      <c r="H12" s="4"/>
      <c r="I12" s="4"/>
    </row>
    <row r="13" spans="1:9" x14ac:dyDescent="0.25">
      <c r="A13" s="4">
        <v>120</v>
      </c>
      <c r="B13" s="4"/>
      <c r="C13" s="4"/>
      <c r="D13" s="4"/>
      <c r="E13" s="4">
        <v>30</v>
      </c>
      <c r="F13" s="4"/>
      <c r="G13" s="4"/>
      <c r="H13" s="4"/>
      <c r="I13" s="4"/>
    </row>
    <row r="14" spans="1:9" x14ac:dyDescent="0.25">
      <c r="A14" s="4">
        <v>125</v>
      </c>
      <c r="B14" s="4"/>
      <c r="C14" s="4"/>
      <c r="D14" s="4"/>
      <c r="E14" s="4"/>
      <c r="F14" s="4">
        <v>550</v>
      </c>
      <c r="G14" s="4"/>
      <c r="H14" s="4"/>
      <c r="I14" s="4"/>
    </row>
    <row r="15" spans="1:9" x14ac:dyDescent="0.25">
      <c r="A15" s="4">
        <v>170</v>
      </c>
      <c r="B15" s="4"/>
      <c r="C15" s="4">
        <v>145</v>
      </c>
      <c r="D15" s="4"/>
      <c r="E15" s="4"/>
      <c r="F15" s="4"/>
      <c r="G15" s="4"/>
      <c r="H15" s="4"/>
      <c r="I15" s="4"/>
    </row>
    <row r="16" spans="1:9" x14ac:dyDescent="0.25">
      <c r="A16" s="4">
        <v>250</v>
      </c>
      <c r="B16" s="4"/>
      <c r="C16" s="4"/>
      <c r="D16" s="4"/>
      <c r="E16" s="4"/>
      <c r="F16" s="4"/>
      <c r="G16" s="4">
        <v>0</v>
      </c>
      <c r="H16" s="4"/>
      <c r="I16" s="4"/>
    </row>
    <row r="17" spans="1:9" x14ac:dyDescent="0.25">
      <c r="A17" s="4">
        <v>250</v>
      </c>
      <c r="B17" s="4"/>
      <c r="C17" s="4"/>
      <c r="D17" s="4"/>
      <c r="E17" s="4"/>
      <c r="F17" s="4"/>
      <c r="G17" s="4">
        <v>40</v>
      </c>
      <c r="H17" s="4"/>
      <c r="I17" s="4"/>
    </row>
    <row r="18" spans="1:9" x14ac:dyDescent="0.25">
      <c r="A18" s="4">
        <v>260</v>
      </c>
      <c r="B18" s="4"/>
      <c r="C18" s="4"/>
      <c r="D18" s="4">
        <v>550</v>
      </c>
      <c r="E18" s="4">
        <v>130</v>
      </c>
      <c r="F18" s="4"/>
      <c r="G18" s="4"/>
      <c r="H18" s="4"/>
      <c r="I18" s="4"/>
    </row>
    <row r="19" spans="1:9" x14ac:dyDescent="0.25">
      <c r="A19" s="4">
        <v>280</v>
      </c>
      <c r="B19" s="4">
        <v>380</v>
      </c>
      <c r="C19" s="4"/>
      <c r="D19" s="4"/>
      <c r="E19" s="4"/>
      <c r="F19" s="4"/>
      <c r="G19" s="4"/>
      <c r="H19" s="4"/>
      <c r="I19" s="4"/>
    </row>
    <row r="20" spans="1:9" x14ac:dyDescent="0.25">
      <c r="A20" s="4">
        <v>385</v>
      </c>
      <c r="B20" s="4"/>
      <c r="C20" s="4">
        <v>300</v>
      </c>
      <c r="D20" s="4"/>
      <c r="E20" s="4"/>
      <c r="F20" s="4"/>
      <c r="G20" s="4"/>
      <c r="H20" s="4"/>
      <c r="I20" s="4"/>
    </row>
    <row r="21" spans="1:9" x14ac:dyDescent="0.25">
      <c r="A21" s="4">
        <v>430</v>
      </c>
      <c r="B21" s="4">
        <v>550</v>
      </c>
      <c r="C21" s="4"/>
      <c r="D21" s="4"/>
      <c r="E21" s="4"/>
      <c r="F21" s="4"/>
      <c r="G21" s="4"/>
      <c r="H21" s="4"/>
      <c r="I21" s="4"/>
    </row>
    <row r="22" spans="1:9" x14ac:dyDescent="0.25">
      <c r="A22" s="4">
        <v>550</v>
      </c>
      <c r="B22" s="4"/>
      <c r="C22" s="4">
        <v>450</v>
      </c>
      <c r="D22" s="4"/>
      <c r="E22" s="4">
        <v>250</v>
      </c>
      <c r="F22" s="4"/>
      <c r="G22" s="4">
        <v>150</v>
      </c>
      <c r="H22" s="4"/>
      <c r="I22" s="4">
        <v>550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29  feature-with Elky</vt:lpstr>
      <vt:lpstr>工作表1</vt:lpstr>
      <vt:lpstr>工作表2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User</dc:creator>
  <cp:lastModifiedBy>RICHARD.WENG 翁志偉</cp:lastModifiedBy>
  <dcterms:created xsi:type="dcterms:W3CDTF">2014-11-19T10:40:42Z</dcterms:created>
  <dcterms:modified xsi:type="dcterms:W3CDTF">2019-01-30T05:50:25Z</dcterms:modified>
</cp:coreProperties>
</file>