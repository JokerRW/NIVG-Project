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drawings/drawing11.xml" ContentType="application/vnd.openxmlformats-officedocument.drawing+xml"/>
  <Override PartName="/xl/charts/chart13.xml" ContentType="application/vnd.openxmlformats-officedocument.drawingml.chart+xml"/>
  <Override PartName="/xl/drawings/drawing12.xml" ContentType="application/vnd.openxmlformats-officedocument.drawing+xml"/>
  <Override PartName="/xl/charts/chart1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hard.weng\Documents\Python Scripts\python_projects\(1) NIVG Project\ANN\"/>
    </mc:Choice>
  </mc:AlternateContent>
  <bookViews>
    <workbookView xWindow="600" yWindow="285" windowWidth="19395" windowHeight="6300" firstSheet="5" activeTab="9"/>
  </bookViews>
  <sheets>
    <sheet name="tester C" sheetId="2" r:id="rId1"/>
    <sheet name="tester A" sheetId="5" r:id="rId2"/>
    <sheet name="乘DC" sheetId="4" r:id="rId3"/>
    <sheet name="28  feature" sheetId="9" r:id="rId4"/>
    <sheet name="24  feature" sheetId="11" r:id="rId5"/>
    <sheet name="20  feature" sheetId="12" r:id="rId6"/>
    <sheet name="16  feature" sheetId="10" r:id="rId7"/>
    <sheet name="12 feature " sheetId="13" r:id="rId8"/>
    <sheet name="24  feature - 沒斜邊" sheetId="14" r:id="rId9"/>
    <sheet name="20  feature - no theta" sheetId="15" r:id="rId10"/>
    <sheet name="EGA (mmol per L)" sheetId="3" r:id="rId11"/>
    <sheet name="工作表1" sheetId="7" r:id="rId12"/>
    <sheet name="工作表2" sheetId="8" r:id="rId13"/>
  </sheets>
  <externalReferences>
    <externalReference r:id="rId14"/>
  </externalReferences>
  <calcPr calcId="162913" calcMode="autoNoTable"/>
</workbook>
</file>

<file path=xl/calcChain.xml><?xml version="1.0" encoding="utf-8"?>
<calcChain xmlns="http://schemas.openxmlformats.org/spreadsheetml/2006/main">
  <c r="C39" i="12" l="1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  <c r="C187" i="12"/>
  <c r="C188" i="12"/>
  <c r="C189" i="12"/>
  <c r="C190" i="12"/>
  <c r="C191" i="12"/>
  <c r="C192" i="12"/>
  <c r="C193" i="12"/>
  <c r="C194" i="12"/>
  <c r="C195" i="12"/>
  <c r="C196" i="12"/>
  <c r="C197" i="12"/>
  <c r="C198" i="12"/>
  <c r="C199" i="12"/>
  <c r="C200" i="12"/>
  <c r="C201" i="12"/>
  <c r="C202" i="12"/>
  <c r="C203" i="12"/>
  <c r="C204" i="12"/>
  <c r="C205" i="12"/>
  <c r="C206" i="12"/>
  <c r="C207" i="12"/>
  <c r="C208" i="12"/>
  <c r="C209" i="12"/>
  <c r="C210" i="12"/>
  <c r="C211" i="12"/>
  <c r="C212" i="12"/>
  <c r="C213" i="12"/>
  <c r="C214" i="12"/>
  <c r="C215" i="12"/>
  <c r="C216" i="12"/>
  <c r="C217" i="12"/>
  <c r="C218" i="12"/>
  <c r="C219" i="12"/>
  <c r="C220" i="12"/>
  <c r="C221" i="12"/>
  <c r="C222" i="12"/>
  <c r="C223" i="12"/>
  <c r="C224" i="12"/>
  <c r="C225" i="12"/>
  <c r="C226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C242" i="12"/>
  <c r="C243" i="12"/>
  <c r="C244" i="12"/>
  <c r="C245" i="12"/>
  <c r="C246" i="12"/>
  <c r="C247" i="12"/>
  <c r="C248" i="12"/>
  <c r="C249" i="12"/>
  <c r="C250" i="12"/>
  <c r="C251" i="12"/>
  <c r="C252" i="12"/>
  <c r="C253" i="12"/>
  <c r="C254" i="12"/>
  <c r="C255" i="12"/>
  <c r="C256" i="12"/>
  <c r="C257" i="12"/>
  <c r="C258" i="12"/>
  <c r="C259" i="12"/>
  <c r="C260" i="12"/>
  <c r="C261" i="12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A261" i="15"/>
  <c r="C261" i="15" s="1"/>
  <c r="C260" i="15"/>
  <c r="A260" i="15"/>
  <c r="A259" i="15"/>
  <c r="C259" i="15" s="1"/>
  <c r="A258" i="15"/>
  <c r="C258" i="15" s="1"/>
  <c r="A257" i="15"/>
  <c r="C257" i="15" s="1"/>
  <c r="C256" i="15"/>
  <c r="A256" i="15"/>
  <c r="A255" i="15"/>
  <c r="C255" i="15" s="1"/>
  <c r="A254" i="15"/>
  <c r="C254" i="15" s="1"/>
  <c r="A253" i="15"/>
  <c r="C253" i="15" s="1"/>
  <c r="C252" i="15"/>
  <c r="A252" i="15"/>
  <c r="A251" i="15"/>
  <c r="C251" i="15" s="1"/>
  <c r="A250" i="15"/>
  <c r="C250" i="15" s="1"/>
  <c r="A249" i="15"/>
  <c r="C249" i="15" s="1"/>
  <c r="C248" i="15"/>
  <c r="A248" i="15"/>
  <c r="A247" i="15"/>
  <c r="C247" i="15" s="1"/>
  <c r="A246" i="15"/>
  <c r="C246" i="15" s="1"/>
  <c r="A245" i="15"/>
  <c r="C245" i="15" s="1"/>
  <c r="C244" i="15"/>
  <c r="A244" i="15"/>
  <c r="A243" i="15"/>
  <c r="C243" i="15" s="1"/>
  <c r="A242" i="15"/>
  <c r="C242" i="15" s="1"/>
  <c r="A241" i="15"/>
  <c r="C241" i="15" s="1"/>
  <c r="C240" i="15"/>
  <c r="A240" i="15"/>
  <c r="A239" i="15"/>
  <c r="C239" i="15" s="1"/>
  <c r="A238" i="15"/>
  <c r="C238" i="15" s="1"/>
  <c r="A237" i="15"/>
  <c r="C237" i="15" s="1"/>
  <c r="C236" i="15"/>
  <c r="A236" i="15"/>
  <c r="A235" i="15"/>
  <c r="A234" i="15"/>
  <c r="C234" i="15" s="1"/>
  <c r="A233" i="15"/>
  <c r="C233" i="15" s="1"/>
  <c r="C232" i="15"/>
  <c r="A232" i="15"/>
  <c r="A231" i="15"/>
  <c r="C231" i="15" s="1"/>
  <c r="A230" i="15"/>
  <c r="C230" i="15" s="1"/>
  <c r="A229" i="15"/>
  <c r="C229" i="15" s="1"/>
  <c r="C228" i="15"/>
  <c r="A228" i="15"/>
  <c r="A227" i="15"/>
  <c r="C227" i="15" s="1"/>
  <c r="A226" i="15"/>
  <c r="C226" i="15" s="1"/>
  <c r="A225" i="15"/>
  <c r="C225" i="15" s="1"/>
  <c r="C224" i="15"/>
  <c r="A224" i="15"/>
  <c r="A223" i="15"/>
  <c r="C223" i="15" s="1"/>
  <c r="A222" i="15"/>
  <c r="C222" i="15" s="1"/>
  <c r="A221" i="15"/>
  <c r="C221" i="15" s="1"/>
  <c r="C220" i="15"/>
  <c r="A220" i="15"/>
  <c r="A219" i="15"/>
  <c r="C219" i="15" s="1"/>
  <c r="A218" i="15"/>
  <c r="C218" i="15" s="1"/>
  <c r="A217" i="15"/>
  <c r="C217" i="15" s="1"/>
  <c r="C216" i="15"/>
  <c r="A216" i="15"/>
  <c r="A215" i="15"/>
  <c r="C215" i="15" s="1"/>
  <c r="A214" i="15"/>
  <c r="C214" i="15" s="1"/>
  <c r="A213" i="15"/>
  <c r="C213" i="15" s="1"/>
  <c r="C212" i="15"/>
  <c r="A212" i="15"/>
  <c r="A211" i="15"/>
  <c r="C211" i="15" s="1"/>
  <c r="A210" i="15"/>
  <c r="C210" i="15" s="1"/>
  <c r="A209" i="15"/>
  <c r="C209" i="15" s="1"/>
  <c r="C208" i="15"/>
  <c r="A208" i="15"/>
  <c r="A207" i="15"/>
  <c r="C207" i="15" s="1"/>
  <c r="A206" i="15"/>
  <c r="C206" i="15" s="1"/>
  <c r="A205" i="15"/>
  <c r="C205" i="15" s="1"/>
  <c r="C204" i="15"/>
  <c r="A204" i="15"/>
  <c r="A203" i="15"/>
  <c r="C203" i="15" s="1"/>
  <c r="A202" i="15"/>
  <c r="C202" i="15" s="1"/>
  <c r="A201" i="15"/>
  <c r="C201" i="15" s="1"/>
  <c r="C200" i="15"/>
  <c r="A200" i="15"/>
  <c r="A199" i="15"/>
  <c r="C199" i="15" s="1"/>
  <c r="A198" i="15"/>
  <c r="C198" i="15" s="1"/>
  <c r="A197" i="15"/>
  <c r="C197" i="15" s="1"/>
  <c r="C196" i="15"/>
  <c r="A196" i="15"/>
  <c r="A195" i="15"/>
  <c r="C195" i="15" s="1"/>
  <c r="A194" i="15"/>
  <c r="C194" i="15" s="1"/>
  <c r="A193" i="15"/>
  <c r="C193" i="15" s="1"/>
  <c r="C192" i="15"/>
  <c r="A192" i="15"/>
  <c r="A191" i="15"/>
  <c r="C191" i="15" s="1"/>
  <c r="A190" i="15"/>
  <c r="C190" i="15" s="1"/>
  <c r="A189" i="15"/>
  <c r="C189" i="15" s="1"/>
  <c r="C188" i="15"/>
  <c r="A188" i="15"/>
  <c r="A187" i="15"/>
  <c r="C187" i="15" s="1"/>
  <c r="A186" i="15"/>
  <c r="C186" i="15" s="1"/>
  <c r="A185" i="15"/>
  <c r="C185" i="15" s="1"/>
  <c r="C184" i="15"/>
  <c r="A184" i="15"/>
  <c r="A183" i="15"/>
  <c r="C183" i="15" s="1"/>
  <c r="A182" i="15"/>
  <c r="C182" i="15" s="1"/>
  <c r="A181" i="15"/>
  <c r="C181" i="15" s="1"/>
  <c r="C180" i="15"/>
  <c r="A180" i="15"/>
  <c r="A179" i="15"/>
  <c r="C179" i="15" s="1"/>
  <c r="A178" i="15"/>
  <c r="C178" i="15" s="1"/>
  <c r="A177" i="15"/>
  <c r="C177" i="15" s="1"/>
  <c r="C176" i="15"/>
  <c r="A176" i="15"/>
  <c r="A175" i="15"/>
  <c r="C175" i="15" s="1"/>
  <c r="A174" i="15"/>
  <c r="C174" i="15" s="1"/>
  <c r="A173" i="15"/>
  <c r="C173" i="15" s="1"/>
  <c r="C172" i="15"/>
  <c r="A172" i="15"/>
  <c r="A171" i="15"/>
  <c r="C171" i="15" s="1"/>
  <c r="A170" i="15"/>
  <c r="C170" i="15" s="1"/>
  <c r="A169" i="15"/>
  <c r="C169" i="15" s="1"/>
  <c r="C168" i="15"/>
  <c r="A168" i="15"/>
  <c r="A167" i="15"/>
  <c r="C167" i="15" s="1"/>
  <c r="A166" i="15"/>
  <c r="C166" i="15" s="1"/>
  <c r="A165" i="15"/>
  <c r="C165" i="15" s="1"/>
  <c r="C164" i="15"/>
  <c r="A164" i="15"/>
  <c r="A163" i="15"/>
  <c r="C163" i="15" s="1"/>
  <c r="A162" i="15"/>
  <c r="C162" i="15" s="1"/>
  <c r="A161" i="15"/>
  <c r="C161" i="15" s="1"/>
  <c r="C160" i="15"/>
  <c r="A160" i="15"/>
  <c r="A159" i="15"/>
  <c r="C159" i="15" s="1"/>
  <c r="A158" i="15"/>
  <c r="C158" i="15" s="1"/>
  <c r="A157" i="15"/>
  <c r="C157" i="15" s="1"/>
  <c r="C156" i="15"/>
  <c r="A156" i="15"/>
  <c r="A155" i="15"/>
  <c r="C155" i="15" s="1"/>
  <c r="A154" i="15"/>
  <c r="C154" i="15" s="1"/>
  <c r="A153" i="15"/>
  <c r="C153" i="15" s="1"/>
  <c r="C152" i="15"/>
  <c r="A152" i="15"/>
  <c r="A151" i="15"/>
  <c r="C151" i="15" s="1"/>
  <c r="A150" i="15"/>
  <c r="C150" i="15" s="1"/>
  <c r="A149" i="15"/>
  <c r="C149" i="15" s="1"/>
  <c r="C148" i="15"/>
  <c r="A148" i="15"/>
  <c r="A147" i="15"/>
  <c r="C147" i="15" s="1"/>
  <c r="A146" i="15"/>
  <c r="C146" i="15" s="1"/>
  <c r="A145" i="15"/>
  <c r="C145" i="15" s="1"/>
  <c r="C144" i="15"/>
  <c r="A144" i="15"/>
  <c r="A143" i="15"/>
  <c r="C143" i="15" s="1"/>
  <c r="A142" i="15"/>
  <c r="C142" i="15" s="1"/>
  <c r="A141" i="15"/>
  <c r="C141" i="15" s="1"/>
  <c r="C140" i="15"/>
  <c r="A140" i="15"/>
  <c r="A139" i="15"/>
  <c r="C139" i="15" s="1"/>
  <c r="A138" i="15"/>
  <c r="C138" i="15" s="1"/>
  <c r="A137" i="15"/>
  <c r="C137" i="15" s="1"/>
  <c r="C136" i="15"/>
  <c r="A136" i="15"/>
  <c r="A135" i="15"/>
  <c r="C135" i="15" s="1"/>
  <c r="A134" i="15"/>
  <c r="C134" i="15" s="1"/>
  <c r="A133" i="15"/>
  <c r="C133" i="15" s="1"/>
  <c r="C132" i="15"/>
  <c r="A132" i="15"/>
  <c r="A131" i="15"/>
  <c r="C131" i="15" s="1"/>
  <c r="A130" i="15"/>
  <c r="C130" i="15" s="1"/>
  <c r="A129" i="15"/>
  <c r="C129" i="15" s="1"/>
  <c r="C128" i="15"/>
  <c r="A128" i="15"/>
  <c r="A127" i="15"/>
  <c r="C127" i="15" s="1"/>
  <c r="A126" i="15"/>
  <c r="C126" i="15" s="1"/>
  <c r="A125" i="15"/>
  <c r="C125" i="15" s="1"/>
  <c r="C124" i="15"/>
  <c r="A124" i="15"/>
  <c r="A123" i="15"/>
  <c r="A122" i="15"/>
  <c r="C122" i="15" s="1"/>
  <c r="A121" i="15"/>
  <c r="C121" i="15" s="1"/>
  <c r="C120" i="15"/>
  <c r="A120" i="15"/>
  <c r="A119" i="15"/>
  <c r="C119" i="15" s="1"/>
  <c r="A118" i="15"/>
  <c r="C118" i="15" s="1"/>
  <c r="A117" i="15"/>
  <c r="C117" i="15" s="1"/>
  <c r="C116" i="15"/>
  <c r="A116" i="15"/>
  <c r="A115" i="15"/>
  <c r="C115" i="15" s="1"/>
  <c r="A114" i="15"/>
  <c r="C114" i="15" s="1"/>
  <c r="A113" i="15"/>
  <c r="C113" i="15" s="1"/>
  <c r="C112" i="15"/>
  <c r="A112" i="15"/>
  <c r="A111" i="15"/>
  <c r="C111" i="15" s="1"/>
  <c r="A110" i="15"/>
  <c r="C110" i="15" s="1"/>
  <c r="A109" i="15"/>
  <c r="C109" i="15" s="1"/>
  <c r="C108" i="15"/>
  <c r="A108" i="15"/>
  <c r="A107" i="15"/>
  <c r="C107" i="15" s="1"/>
  <c r="A106" i="15"/>
  <c r="C106" i="15" s="1"/>
  <c r="A105" i="15"/>
  <c r="C105" i="15" s="1"/>
  <c r="C104" i="15"/>
  <c r="A104" i="15"/>
  <c r="A103" i="15"/>
  <c r="A102" i="15"/>
  <c r="C102" i="15" s="1"/>
  <c r="A101" i="15"/>
  <c r="C101" i="15" s="1"/>
  <c r="C100" i="15"/>
  <c r="A100" i="15"/>
  <c r="A99" i="15"/>
  <c r="C99" i="15" s="1"/>
  <c r="A98" i="15"/>
  <c r="C98" i="15" s="1"/>
  <c r="A97" i="15"/>
  <c r="C97" i="15" s="1"/>
  <c r="C96" i="15"/>
  <c r="A96" i="15"/>
  <c r="A95" i="15"/>
  <c r="C95" i="15" s="1"/>
  <c r="A94" i="15"/>
  <c r="C94" i="15" s="1"/>
  <c r="A93" i="15"/>
  <c r="C93" i="15" s="1"/>
  <c r="C92" i="15"/>
  <c r="A92" i="15"/>
  <c r="A91" i="15"/>
  <c r="C91" i="15" s="1"/>
  <c r="A90" i="15"/>
  <c r="C90" i="15" s="1"/>
  <c r="A89" i="15"/>
  <c r="C89" i="15" s="1"/>
  <c r="C88" i="15"/>
  <c r="A88" i="15"/>
  <c r="A87" i="15"/>
  <c r="C87" i="15" s="1"/>
  <c r="A86" i="15"/>
  <c r="C86" i="15" s="1"/>
  <c r="A85" i="15"/>
  <c r="C85" i="15" s="1"/>
  <c r="C84" i="15"/>
  <c r="A84" i="15"/>
  <c r="A83" i="15"/>
  <c r="C83" i="15" s="1"/>
  <c r="A82" i="15"/>
  <c r="C82" i="15" s="1"/>
  <c r="A81" i="15"/>
  <c r="C81" i="15" s="1"/>
  <c r="C80" i="15"/>
  <c r="A80" i="15"/>
  <c r="A79" i="15"/>
  <c r="C79" i="15" s="1"/>
  <c r="A78" i="15"/>
  <c r="C78" i="15" s="1"/>
  <c r="A77" i="15"/>
  <c r="C77" i="15" s="1"/>
  <c r="C76" i="15"/>
  <c r="A76" i="15"/>
  <c r="A75" i="15"/>
  <c r="C75" i="15" s="1"/>
  <c r="A74" i="15"/>
  <c r="C74" i="15" s="1"/>
  <c r="A73" i="15"/>
  <c r="C73" i="15" s="1"/>
  <c r="C72" i="15"/>
  <c r="A72" i="15"/>
  <c r="A71" i="15"/>
  <c r="C71" i="15" s="1"/>
  <c r="A70" i="15"/>
  <c r="C70" i="15" s="1"/>
  <c r="A69" i="15"/>
  <c r="C69" i="15" s="1"/>
  <c r="C68" i="15"/>
  <c r="A68" i="15"/>
  <c r="A67" i="15"/>
  <c r="C67" i="15" s="1"/>
  <c r="A66" i="15"/>
  <c r="C66" i="15" s="1"/>
  <c r="A65" i="15"/>
  <c r="C65" i="15" s="1"/>
  <c r="C64" i="15"/>
  <c r="A64" i="15"/>
  <c r="A63" i="15"/>
  <c r="C63" i="15" s="1"/>
  <c r="A62" i="15"/>
  <c r="C62" i="15" s="1"/>
  <c r="A61" i="15"/>
  <c r="C61" i="15" s="1"/>
  <c r="C60" i="15"/>
  <c r="A60" i="15"/>
  <c r="A59" i="15"/>
  <c r="C59" i="15" s="1"/>
  <c r="A58" i="15"/>
  <c r="C58" i="15" s="1"/>
  <c r="A57" i="15"/>
  <c r="C57" i="15" s="1"/>
  <c r="C56" i="15"/>
  <c r="A56" i="15"/>
  <c r="A55" i="15"/>
  <c r="C55" i="15" s="1"/>
  <c r="A54" i="15"/>
  <c r="C54" i="15" s="1"/>
  <c r="A53" i="15"/>
  <c r="C53" i="15" s="1"/>
  <c r="C52" i="15"/>
  <c r="A52" i="15"/>
  <c r="A51" i="15"/>
  <c r="C51" i="15" s="1"/>
  <c r="A50" i="15"/>
  <c r="C50" i="15" s="1"/>
  <c r="A49" i="15"/>
  <c r="C49" i="15" s="1"/>
  <c r="C48" i="15"/>
  <c r="A48" i="15"/>
  <c r="A47" i="15"/>
  <c r="A46" i="15"/>
  <c r="C46" i="15" s="1"/>
  <c r="A45" i="15"/>
  <c r="C45" i="15" s="1"/>
  <c r="C44" i="15"/>
  <c r="A44" i="15"/>
  <c r="A43" i="15"/>
  <c r="C43" i="15" s="1"/>
  <c r="A42" i="15"/>
  <c r="C42" i="15" s="1"/>
  <c r="A41" i="15"/>
  <c r="C41" i="15" s="1"/>
  <c r="C40" i="15"/>
  <c r="A40" i="15"/>
  <c r="A39" i="15"/>
  <c r="C39" i="15" s="1"/>
  <c r="A38" i="15"/>
  <c r="C38" i="15" s="1"/>
  <c r="A261" i="14"/>
  <c r="C261" i="14" s="1"/>
  <c r="A260" i="14"/>
  <c r="C260" i="14" s="1"/>
  <c r="A259" i="14"/>
  <c r="C259" i="14" s="1"/>
  <c r="C258" i="14"/>
  <c r="A258" i="14"/>
  <c r="A257" i="14"/>
  <c r="C257" i="14" s="1"/>
  <c r="C256" i="14"/>
  <c r="A256" i="14"/>
  <c r="A255" i="14"/>
  <c r="C255" i="14" s="1"/>
  <c r="A254" i="14"/>
  <c r="C254" i="14" s="1"/>
  <c r="A253" i="14"/>
  <c r="C253" i="14" s="1"/>
  <c r="A252" i="14"/>
  <c r="C252" i="14" s="1"/>
  <c r="A251" i="14"/>
  <c r="C251" i="14" s="1"/>
  <c r="C250" i="14"/>
  <c r="A250" i="14"/>
  <c r="A249" i="14"/>
  <c r="C249" i="14" s="1"/>
  <c r="C248" i="14"/>
  <c r="A248" i="14"/>
  <c r="A247" i="14"/>
  <c r="C247" i="14" s="1"/>
  <c r="A246" i="14"/>
  <c r="C246" i="14" s="1"/>
  <c r="A245" i="14"/>
  <c r="C245" i="14" s="1"/>
  <c r="A244" i="14"/>
  <c r="C244" i="14" s="1"/>
  <c r="A243" i="14"/>
  <c r="C243" i="14" s="1"/>
  <c r="C242" i="14"/>
  <c r="A242" i="14"/>
  <c r="A241" i="14"/>
  <c r="C241" i="14" s="1"/>
  <c r="C240" i="14"/>
  <c r="A240" i="14"/>
  <c r="A239" i="14"/>
  <c r="C239" i="14" s="1"/>
  <c r="A238" i="14"/>
  <c r="C238" i="14" s="1"/>
  <c r="A237" i="14"/>
  <c r="C237" i="14" s="1"/>
  <c r="A236" i="14"/>
  <c r="C236" i="14" s="1"/>
  <c r="A235" i="14"/>
  <c r="C235" i="14" s="1"/>
  <c r="C234" i="14"/>
  <c r="A234" i="14"/>
  <c r="A233" i="14"/>
  <c r="C233" i="14" s="1"/>
  <c r="C232" i="14"/>
  <c r="A232" i="14"/>
  <c r="A231" i="14"/>
  <c r="C231" i="14" s="1"/>
  <c r="A230" i="14"/>
  <c r="C230" i="14" s="1"/>
  <c r="A229" i="14"/>
  <c r="C229" i="14" s="1"/>
  <c r="A228" i="14"/>
  <c r="C228" i="14" s="1"/>
  <c r="A227" i="14"/>
  <c r="C227" i="14" s="1"/>
  <c r="C226" i="14"/>
  <c r="A226" i="14"/>
  <c r="A225" i="14"/>
  <c r="C225" i="14" s="1"/>
  <c r="C224" i="14"/>
  <c r="A224" i="14"/>
  <c r="A223" i="14"/>
  <c r="C223" i="14" s="1"/>
  <c r="A222" i="14"/>
  <c r="C222" i="14" s="1"/>
  <c r="A221" i="14"/>
  <c r="C221" i="14" s="1"/>
  <c r="A220" i="14"/>
  <c r="C220" i="14" s="1"/>
  <c r="A219" i="14"/>
  <c r="C219" i="14" s="1"/>
  <c r="C218" i="14"/>
  <c r="A218" i="14"/>
  <c r="A217" i="14"/>
  <c r="C217" i="14" s="1"/>
  <c r="C216" i="14"/>
  <c r="A216" i="14"/>
  <c r="A215" i="14"/>
  <c r="C215" i="14" s="1"/>
  <c r="A214" i="14"/>
  <c r="C214" i="14" s="1"/>
  <c r="A213" i="14"/>
  <c r="C213" i="14" s="1"/>
  <c r="A212" i="14"/>
  <c r="C212" i="14" s="1"/>
  <c r="A211" i="14"/>
  <c r="C211" i="14" s="1"/>
  <c r="C210" i="14"/>
  <c r="A210" i="14"/>
  <c r="A209" i="14"/>
  <c r="C209" i="14" s="1"/>
  <c r="C208" i="14"/>
  <c r="A208" i="14"/>
  <c r="A207" i="14"/>
  <c r="C207" i="14" s="1"/>
  <c r="A206" i="14"/>
  <c r="C206" i="14" s="1"/>
  <c r="A205" i="14"/>
  <c r="C205" i="14" s="1"/>
  <c r="A204" i="14"/>
  <c r="C204" i="14" s="1"/>
  <c r="A203" i="14"/>
  <c r="C203" i="14" s="1"/>
  <c r="C202" i="14"/>
  <c r="A202" i="14"/>
  <c r="A201" i="14"/>
  <c r="C201" i="14" s="1"/>
  <c r="C200" i="14"/>
  <c r="A200" i="14"/>
  <c r="A199" i="14"/>
  <c r="C199" i="14" s="1"/>
  <c r="A198" i="14"/>
  <c r="C198" i="14" s="1"/>
  <c r="A197" i="14"/>
  <c r="C197" i="14" s="1"/>
  <c r="A196" i="14"/>
  <c r="C196" i="14" s="1"/>
  <c r="A195" i="14"/>
  <c r="C195" i="14" s="1"/>
  <c r="C194" i="14"/>
  <c r="A194" i="14"/>
  <c r="A193" i="14"/>
  <c r="C193" i="14" s="1"/>
  <c r="C192" i="14"/>
  <c r="A192" i="14"/>
  <c r="A191" i="14"/>
  <c r="C191" i="14" s="1"/>
  <c r="A190" i="14"/>
  <c r="C190" i="14" s="1"/>
  <c r="A189" i="14"/>
  <c r="C189" i="14" s="1"/>
  <c r="A188" i="14"/>
  <c r="C188" i="14" s="1"/>
  <c r="A187" i="14"/>
  <c r="C187" i="14" s="1"/>
  <c r="C186" i="14"/>
  <c r="A186" i="14"/>
  <c r="A185" i="14"/>
  <c r="C185" i="14" s="1"/>
  <c r="C184" i="14"/>
  <c r="A184" i="14"/>
  <c r="A183" i="14"/>
  <c r="C183" i="14" s="1"/>
  <c r="A182" i="14"/>
  <c r="C182" i="14" s="1"/>
  <c r="A181" i="14"/>
  <c r="C181" i="14" s="1"/>
  <c r="A180" i="14"/>
  <c r="C180" i="14" s="1"/>
  <c r="A179" i="14"/>
  <c r="C179" i="14" s="1"/>
  <c r="C178" i="14"/>
  <c r="A178" i="14"/>
  <c r="A177" i="14"/>
  <c r="C177" i="14" s="1"/>
  <c r="C176" i="14"/>
  <c r="A176" i="14"/>
  <c r="A175" i="14"/>
  <c r="C175" i="14" s="1"/>
  <c r="A174" i="14"/>
  <c r="C174" i="14" s="1"/>
  <c r="A173" i="14"/>
  <c r="C173" i="14" s="1"/>
  <c r="A172" i="14"/>
  <c r="C172" i="14" s="1"/>
  <c r="A171" i="14"/>
  <c r="C171" i="14" s="1"/>
  <c r="C170" i="14"/>
  <c r="A170" i="14"/>
  <c r="A169" i="14"/>
  <c r="C169" i="14" s="1"/>
  <c r="C168" i="14"/>
  <c r="A168" i="14"/>
  <c r="A167" i="14"/>
  <c r="C167" i="14" s="1"/>
  <c r="A166" i="14"/>
  <c r="C166" i="14" s="1"/>
  <c r="A165" i="14"/>
  <c r="C165" i="14" s="1"/>
  <c r="A164" i="14"/>
  <c r="C164" i="14" s="1"/>
  <c r="A163" i="14"/>
  <c r="C163" i="14" s="1"/>
  <c r="C162" i="14"/>
  <c r="A162" i="14"/>
  <c r="A161" i="14"/>
  <c r="C161" i="14" s="1"/>
  <c r="C160" i="14"/>
  <c r="A160" i="14"/>
  <c r="A159" i="14"/>
  <c r="C159" i="14" s="1"/>
  <c r="A158" i="14"/>
  <c r="C158" i="14" s="1"/>
  <c r="A157" i="14"/>
  <c r="C157" i="14" s="1"/>
  <c r="A156" i="14"/>
  <c r="C156" i="14" s="1"/>
  <c r="A155" i="14"/>
  <c r="C155" i="14" s="1"/>
  <c r="C154" i="14"/>
  <c r="A154" i="14"/>
  <c r="A153" i="14"/>
  <c r="C153" i="14" s="1"/>
  <c r="C152" i="14"/>
  <c r="A152" i="14"/>
  <c r="A151" i="14"/>
  <c r="C151" i="14" s="1"/>
  <c r="A150" i="14"/>
  <c r="C150" i="14" s="1"/>
  <c r="A149" i="14"/>
  <c r="A148" i="14"/>
  <c r="C148" i="14" s="1"/>
  <c r="A147" i="14"/>
  <c r="C147" i="14" s="1"/>
  <c r="C146" i="14"/>
  <c r="A146" i="14"/>
  <c r="A145" i="14"/>
  <c r="C145" i="14" s="1"/>
  <c r="C144" i="14"/>
  <c r="A144" i="14"/>
  <c r="A143" i="14"/>
  <c r="C143" i="14" s="1"/>
  <c r="A142" i="14"/>
  <c r="C142" i="14" s="1"/>
  <c r="A141" i="14"/>
  <c r="C141" i="14" s="1"/>
  <c r="A140" i="14"/>
  <c r="C140" i="14" s="1"/>
  <c r="A139" i="14"/>
  <c r="C139" i="14" s="1"/>
  <c r="C138" i="14"/>
  <c r="A138" i="14"/>
  <c r="A137" i="14"/>
  <c r="C137" i="14" s="1"/>
  <c r="C136" i="14"/>
  <c r="A136" i="14"/>
  <c r="A135" i="14"/>
  <c r="C135" i="14" s="1"/>
  <c r="A134" i="14"/>
  <c r="C134" i="14" s="1"/>
  <c r="A133" i="14"/>
  <c r="C133" i="14" s="1"/>
  <c r="A132" i="14"/>
  <c r="C132" i="14" s="1"/>
  <c r="A131" i="14"/>
  <c r="C131" i="14" s="1"/>
  <c r="C130" i="14"/>
  <c r="A130" i="14"/>
  <c r="A129" i="14"/>
  <c r="C129" i="14" s="1"/>
  <c r="C128" i="14"/>
  <c r="A128" i="14"/>
  <c r="A127" i="14"/>
  <c r="C127" i="14" s="1"/>
  <c r="A126" i="14"/>
  <c r="C126" i="14" s="1"/>
  <c r="A125" i="14"/>
  <c r="C125" i="14" s="1"/>
  <c r="A124" i="14"/>
  <c r="C124" i="14" s="1"/>
  <c r="A123" i="14"/>
  <c r="C122" i="14"/>
  <c r="A122" i="14"/>
  <c r="A121" i="14"/>
  <c r="C121" i="14" s="1"/>
  <c r="C120" i="14"/>
  <c r="A120" i="14"/>
  <c r="A119" i="14"/>
  <c r="C119" i="14" s="1"/>
  <c r="A118" i="14"/>
  <c r="C118" i="14" s="1"/>
  <c r="A117" i="14"/>
  <c r="C117" i="14" s="1"/>
  <c r="A116" i="14"/>
  <c r="C116" i="14" s="1"/>
  <c r="A115" i="14"/>
  <c r="C115" i="14" s="1"/>
  <c r="C114" i="14"/>
  <c r="A114" i="14"/>
  <c r="A113" i="14"/>
  <c r="C113" i="14" s="1"/>
  <c r="C112" i="14"/>
  <c r="A112" i="14"/>
  <c r="A111" i="14"/>
  <c r="C111" i="14" s="1"/>
  <c r="A110" i="14"/>
  <c r="C110" i="14" s="1"/>
  <c r="A109" i="14"/>
  <c r="C109" i="14" s="1"/>
  <c r="A108" i="14"/>
  <c r="C108" i="14" s="1"/>
  <c r="A107" i="14"/>
  <c r="C107" i="14" s="1"/>
  <c r="C106" i="14"/>
  <c r="A106" i="14"/>
  <c r="A105" i="14"/>
  <c r="C105" i="14" s="1"/>
  <c r="C104" i="14"/>
  <c r="A104" i="14"/>
  <c r="A103" i="14"/>
  <c r="A102" i="14"/>
  <c r="C102" i="14" s="1"/>
  <c r="A101" i="14"/>
  <c r="C101" i="14" s="1"/>
  <c r="A100" i="14"/>
  <c r="C100" i="14" s="1"/>
  <c r="A99" i="14"/>
  <c r="C99" i="14" s="1"/>
  <c r="C98" i="14"/>
  <c r="A98" i="14"/>
  <c r="A97" i="14"/>
  <c r="C97" i="14" s="1"/>
  <c r="C96" i="14"/>
  <c r="A96" i="14"/>
  <c r="A95" i="14"/>
  <c r="C95" i="14" s="1"/>
  <c r="A94" i="14"/>
  <c r="C94" i="14" s="1"/>
  <c r="A93" i="14"/>
  <c r="C93" i="14" s="1"/>
  <c r="A92" i="14"/>
  <c r="C92" i="14" s="1"/>
  <c r="A91" i="14"/>
  <c r="C91" i="14" s="1"/>
  <c r="C90" i="14"/>
  <c r="A90" i="14"/>
  <c r="A89" i="14"/>
  <c r="C89" i="14" s="1"/>
  <c r="C88" i="14"/>
  <c r="A88" i="14"/>
  <c r="A87" i="14"/>
  <c r="C87" i="14" s="1"/>
  <c r="A86" i="14"/>
  <c r="C86" i="14" s="1"/>
  <c r="A85" i="14"/>
  <c r="C85" i="14" s="1"/>
  <c r="A84" i="14"/>
  <c r="C84" i="14" s="1"/>
  <c r="A83" i="14"/>
  <c r="C83" i="14" s="1"/>
  <c r="C82" i="14"/>
  <c r="A82" i="14"/>
  <c r="A81" i="14"/>
  <c r="C81" i="14" s="1"/>
  <c r="C80" i="14"/>
  <c r="A80" i="14"/>
  <c r="A79" i="14"/>
  <c r="C79" i="14" s="1"/>
  <c r="A78" i="14"/>
  <c r="C78" i="14" s="1"/>
  <c r="A77" i="14"/>
  <c r="C77" i="14" s="1"/>
  <c r="A76" i="14"/>
  <c r="C76" i="14" s="1"/>
  <c r="A75" i="14"/>
  <c r="C75" i="14" s="1"/>
  <c r="C74" i="14"/>
  <c r="A74" i="14"/>
  <c r="A73" i="14"/>
  <c r="C73" i="14" s="1"/>
  <c r="C72" i="14"/>
  <c r="A72" i="14"/>
  <c r="A71" i="14"/>
  <c r="C71" i="14" s="1"/>
  <c r="A70" i="14"/>
  <c r="C70" i="14" s="1"/>
  <c r="A69" i="14"/>
  <c r="C69" i="14" s="1"/>
  <c r="A68" i="14"/>
  <c r="C68" i="14" s="1"/>
  <c r="A67" i="14"/>
  <c r="C67" i="14" s="1"/>
  <c r="C66" i="14"/>
  <c r="A66" i="14"/>
  <c r="A65" i="14"/>
  <c r="C65" i="14" s="1"/>
  <c r="C64" i="14"/>
  <c r="A64" i="14"/>
  <c r="A63" i="14"/>
  <c r="C63" i="14" s="1"/>
  <c r="A62" i="14"/>
  <c r="C62" i="14" s="1"/>
  <c r="A61" i="14"/>
  <c r="C61" i="14" s="1"/>
  <c r="A60" i="14"/>
  <c r="C60" i="14" s="1"/>
  <c r="A59" i="14"/>
  <c r="C59" i="14" s="1"/>
  <c r="C58" i="14"/>
  <c r="A58" i="14"/>
  <c r="A57" i="14"/>
  <c r="C57" i="14" s="1"/>
  <c r="C56" i="14"/>
  <c r="A56" i="14"/>
  <c r="A55" i="14"/>
  <c r="C55" i="14" s="1"/>
  <c r="A54" i="14"/>
  <c r="C54" i="14" s="1"/>
  <c r="A53" i="14"/>
  <c r="C53" i="14" s="1"/>
  <c r="A52" i="14"/>
  <c r="C52" i="14" s="1"/>
  <c r="A51" i="14"/>
  <c r="C51" i="14" s="1"/>
  <c r="C50" i="14"/>
  <c r="A50" i="14"/>
  <c r="A49" i="14"/>
  <c r="C49" i="14" s="1"/>
  <c r="C48" i="14"/>
  <c r="A48" i="14"/>
  <c r="A47" i="14"/>
  <c r="A46" i="14"/>
  <c r="C46" i="14" s="1"/>
  <c r="A45" i="14"/>
  <c r="C45" i="14" s="1"/>
  <c r="A44" i="14"/>
  <c r="C44" i="14" s="1"/>
  <c r="A43" i="14"/>
  <c r="C43" i="14" s="1"/>
  <c r="C42" i="14"/>
  <c r="A42" i="14"/>
  <c r="A41" i="14"/>
  <c r="C41" i="14" s="1"/>
  <c r="C40" i="14"/>
  <c r="A40" i="14"/>
  <c r="A39" i="14"/>
  <c r="C39" i="14" s="1"/>
  <c r="A38" i="14"/>
  <c r="C38" i="14" s="1"/>
  <c r="A261" i="13"/>
  <c r="C261" i="13" s="1"/>
  <c r="A260" i="13"/>
  <c r="C260" i="13" s="1"/>
  <c r="A259" i="13"/>
  <c r="C259" i="13" s="1"/>
  <c r="A258" i="13"/>
  <c r="C258" i="13" s="1"/>
  <c r="A257" i="13"/>
  <c r="C257" i="13" s="1"/>
  <c r="A256" i="13"/>
  <c r="C256" i="13" s="1"/>
  <c r="A255" i="13"/>
  <c r="C255" i="13" s="1"/>
  <c r="A254" i="13"/>
  <c r="C254" i="13" s="1"/>
  <c r="A253" i="13"/>
  <c r="C253" i="13" s="1"/>
  <c r="A252" i="13"/>
  <c r="C252" i="13" s="1"/>
  <c r="A251" i="13"/>
  <c r="C251" i="13" s="1"/>
  <c r="A250" i="13"/>
  <c r="C250" i="13" s="1"/>
  <c r="A249" i="13"/>
  <c r="C249" i="13" s="1"/>
  <c r="A248" i="13"/>
  <c r="C248" i="13" s="1"/>
  <c r="A247" i="13"/>
  <c r="C247" i="13" s="1"/>
  <c r="A246" i="13"/>
  <c r="C246" i="13" s="1"/>
  <c r="A245" i="13"/>
  <c r="C245" i="13" s="1"/>
  <c r="A244" i="13"/>
  <c r="C244" i="13" s="1"/>
  <c r="A243" i="13"/>
  <c r="C243" i="13" s="1"/>
  <c r="A242" i="13"/>
  <c r="C242" i="13" s="1"/>
  <c r="A241" i="13"/>
  <c r="C241" i="13" s="1"/>
  <c r="A240" i="13"/>
  <c r="C240" i="13" s="1"/>
  <c r="A239" i="13"/>
  <c r="C239" i="13" s="1"/>
  <c r="A238" i="13"/>
  <c r="C238" i="13" s="1"/>
  <c r="A237" i="13"/>
  <c r="C237" i="13" s="1"/>
  <c r="A236" i="13"/>
  <c r="C236" i="13" s="1"/>
  <c r="A235" i="13"/>
  <c r="C235" i="13" s="1"/>
  <c r="A234" i="13"/>
  <c r="C234" i="13" s="1"/>
  <c r="A233" i="13"/>
  <c r="C233" i="13" s="1"/>
  <c r="A232" i="13"/>
  <c r="C232" i="13" s="1"/>
  <c r="A231" i="13"/>
  <c r="C231" i="13" s="1"/>
  <c r="A230" i="13"/>
  <c r="C230" i="13" s="1"/>
  <c r="A229" i="13"/>
  <c r="C229" i="13" s="1"/>
  <c r="A228" i="13"/>
  <c r="C228" i="13" s="1"/>
  <c r="A227" i="13"/>
  <c r="C227" i="13" s="1"/>
  <c r="A226" i="13"/>
  <c r="C226" i="13" s="1"/>
  <c r="A225" i="13"/>
  <c r="C225" i="13" s="1"/>
  <c r="A224" i="13"/>
  <c r="C224" i="13" s="1"/>
  <c r="A223" i="13"/>
  <c r="C223" i="13" s="1"/>
  <c r="A222" i="13"/>
  <c r="C222" i="13" s="1"/>
  <c r="A221" i="13"/>
  <c r="C221" i="13" s="1"/>
  <c r="A220" i="13"/>
  <c r="C220" i="13" s="1"/>
  <c r="A219" i="13"/>
  <c r="C219" i="13" s="1"/>
  <c r="A218" i="13"/>
  <c r="C218" i="13" s="1"/>
  <c r="A217" i="13"/>
  <c r="C217" i="13" s="1"/>
  <c r="A216" i="13"/>
  <c r="C216" i="13" s="1"/>
  <c r="A215" i="13"/>
  <c r="C215" i="13" s="1"/>
  <c r="A214" i="13"/>
  <c r="C214" i="13" s="1"/>
  <c r="A213" i="13"/>
  <c r="C213" i="13" s="1"/>
  <c r="A212" i="13"/>
  <c r="C212" i="13" s="1"/>
  <c r="A211" i="13"/>
  <c r="C211" i="13" s="1"/>
  <c r="A210" i="13"/>
  <c r="C210" i="13" s="1"/>
  <c r="A209" i="13"/>
  <c r="C209" i="13" s="1"/>
  <c r="A208" i="13"/>
  <c r="C208" i="13" s="1"/>
  <c r="A207" i="13"/>
  <c r="C207" i="13" s="1"/>
  <c r="A206" i="13"/>
  <c r="C206" i="13" s="1"/>
  <c r="A205" i="13"/>
  <c r="C205" i="13" s="1"/>
  <c r="A204" i="13"/>
  <c r="C204" i="13" s="1"/>
  <c r="A203" i="13"/>
  <c r="C203" i="13" s="1"/>
  <c r="A202" i="13"/>
  <c r="C202" i="13" s="1"/>
  <c r="A201" i="13"/>
  <c r="C201" i="13" s="1"/>
  <c r="A200" i="13"/>
  <c r="C200" i="13" s="1"/>
  <c r="A199" i="13"/>
  <c r="C199" i="13" s="1"/>
  <c r="A198" i="13"/>
  <c r="C198" i="13" s="1"/>
  <c r="A197" i="13"/>
  <c r="C197" i="13" s="1"/>
  <c r="A196" i="13"/>
  <c r="C196" i="13" s="1"/>
  <c r="A195" i="13"/>
  <c r="C195" i="13" s="1"/>
  <c r="A194" i="13"/>
  <c r="C194" i="13" s="1"/>
  <c r="A193" i="13"/>
  <c r="C193" i="13" s="1"/>
  <c r="A192" i="13"/>
  <c r="C192" i="13" s="1"/>
  <c r="A191" i="13"/>
  <c r="C191" i="13" s="1"/>
  <c r="A190" i="13"/>
  <c r="C190" i="13" s="1"/>
  <c r="A189" i="13"/>
  <c r="C189" i="13" s="1"/>
  <c r="A188" i="13"/>
  <c r="C188" i="13" s="1"/>
  <c r="A187" i="13"/>
  <c r="C187" i="13" s="1"/>
  <c r="A186" i="13"/>
  <c r="C186" i="13" s="1"/>
  <c r="A185" i="13"/>
  <c r="C185" i="13" s="1"/>
  <c r="A184" i="13"/>
  <c r="C184" i="13" s="1"/>
  <c r="A183" i="13"/>
  <c r="C183" i="13" s="1"/>
  <c r="A182" i="13"/>
  <c r="C182" i="13" s="1"/>
  <c r="A181" i="13"/>
  <c r="C181" i="13" s="1"/>
  <c r="A180" i="13"/>
  <c r="C180" i="13" s="1"/>
  <c r="A179" i="13"/>
  <c r="C179" i="13" s="1"/>
  <c r="A178" i="13"/>
  <c r="C178" i="13" s="1"/>
  <c r="A177" i="13"/>
  <c r="C177" i="13" s="1"/>
  <c r="A176" i="13"/>
  <c r="C176" i="13" s="1"/>
  <c r="A175" i="13"/>
  <c r="C175" i="13" s="1"/>
  <c r="A174" i="13"/>
  <c r="C174" i="13" s="1"/>
  <c r="A173" i="13"/>
  <c r="C173" i="13" s="1"/>
  <c r="A172" i="13"/>
  <c r="C172" i="13" s="1"/>
  <c r="A171" i="13"/>
  <c r="C171" i="13" s="1"/>
  <c r="A170" i="13"/>
  <c r="C170" i="13" s="1"/>
  <c r="A169" i="13"/>
  <c r="C169" i="13" s="1"/>
  <c r="A168" i="13"/>
  <c r="C168" i="13" s="1"/>
  <c r="A167" i="13"/>
  <c r="C167" i="13" s="1"/>
  <c r="A166" i="13"/>
  <c r="C166" i="13" s="1"/>
  <c r="A165" i="13"/>
  <c r="C165" i="13" s="1"/>
  <c r="A164" i="13"/>
  <c r="C164" i="13" s="1"/>
  <c r="A163" i="13"/>
  <c r="C163" i="13" s="1"/>
  <c r="A162" i="13"/>
  <c r="C162" i="13" s="1"/>
  <c r="A161" i="13"/>
  <c r="C161" i="13" s="1"/>
  <c r="A160" i="13"/>
  <c r="C160" i="13" s="1"/>
  <c r="A159" i="13"/>
  <c r="C159" i="13" s="1"/>
  <c r="A158" i="13"/>
  <c r="C158" i="13" s="1"/>
  <c r="A157" i="13"/>
  <c r="C157" i="13" s="1"/>
  <c r="A156" i="13"/>
  <c r="C156" i="13" s="1"/>
  <c r="A155" i="13"/>
  <c r="C155" i="13" s="1"/>
  <c r="A154" i="13"/>
  <c r="C154" i="13" s="1"/>
  <c r="A153" i="13"/>
  <c r="C153" i="13" s="1"/>
  <c r="A152" i="13"/>
  <c r="C152" i="13" s="1"/>
  <c r="A151" i="13"/>
  <c r="C151" i="13" s="1"/>
  <c r="A150" i="13"/>
  <c r="C150" i="13" s="1"/>
  <c r="A149" i="13"/>
  <c r="C149" i="13" s="1"/>
  <c r="A148" i="13"/>
  <c r="C148" i="13" s="1"/>
  <c r="A147" i="13"/>
  <c r="C147" i="13" s="1"/>
  <c r="A146" i="13"/>
  <c r="C146" i="13" s="1"/>
  <c r="A145" i="13"/>
  <c r="C145" i="13" s="1"/>
  <c r="A144" i="13"/>
  <c r="C144" i="13" s="1"/>
  <c r="A143" i="13"/>
  <c r="C143" i="13" s="1"/>
  <c r="A142" i="13"/>
  <c r="C142" i="13" s="1"/>
  <c r="A141" i="13"/>
  <c r="C141" i="13" s="1"/>
  <c r="A140" i="13"/>
  <c r="C140" i="13" s="1"/>
  <c r="A139" i="13"/>
  <c r="C139" i="13" s="1"/>
  <c r="A138" i="13"/>
  <c r="C138" i="13" s="1"/>
  <c r="A137" i="13"/>
  <c r="C137" i="13" s="1"/>
  <c r="A136" i="13"/>
  <c r="C136" i="13" s="1"/>
  <c r="A135" i="13"/>
  <c r="C135" i="13" s="1"/>
  <c r="A134" i="13"/>
  <c r="C134" i="13" s="1"/>
  <c r="A133" i="13"/>
  <c r="C133" i="13" s="1"/>
  <c r="A132" i="13"/>
  <c r="C132" i="13" s="1"/>
  <c r="A131" i="13"/>
  <c r="C131" i="13" s="1"/>
  <c r="A130" i="13"/>
  <c r="C130" i="13" s="1"/>
  <c r="A129" i="13"/>
  <c r="C129" i="13" s="1"/>
  <c r="A128" i="13"/>
  <c r="C128" i="13" s="1"/>
  <c r="A127" i="13"/>
  <c r="C127" i="13" s="1"/>
  <c r="A126" i="13"/>
  <c r="C126" i="13" s="1"/>
  <c r="A125" i="13"/>
  <c r="C125" i="13" s="1"/>
  <c r="A124" i="13"/>
  <c r="C124" i="13" s="1"/>
  <c r="A123" i="13"/>
  <c r="A122" i="13"/>
  <c r="C122" i="13" s="1"/>
  <c r="A121" i="13"/>
  <c r="C121" i="13" s="1"/>
  <c r="A120" i="13"/>
  <c r="C120" i="13" s="1"/>
  <c r="A119" i="13"/>
  <c r="C119" i="13" s="1"/>
  <c r="A118" i="13"/>
  <c r="C118" i="13" s="1"/>
  <c r="A117" i="13"/>
  <c r="C117" i="13" s="1"/>
  <c r="A116" i="13"/>
  <c r="C116" i="13" s="1"/>
  <c r="A115" i="13"/>
  <c r="C115" i="13" s="1"/>
  <c r="A114" i="13"/>
  <c r="C114" i="13" s="1"/>
  <c r="A113" i="13"/>
  <c r="C113" i="13" s="1"/>
  <c r="A112" i="13"/>
  <c r="C112" i="13" s="1"/>
  <c r="A111" i="13"/>
  <c r="C111" i="13" s="1"/>
  <c r="A110" i="13"/>
  <c r="C110" i="13" s="1"/>
  <c r="A109" i="13"/>
  <c r="C109" i="13" s="1"/>
  <c r="A108" i="13"/>
  <c r="C108" i="13" s="1"/>
  <c r="A107" i="13"/>
  <c r="C107" i="13" s="1"/>
  <c r="A106" i="13"/>
  <c r="C106" i="13" s="1"/>
  <c r="A105" i="13"/>
  <c r="C105" i="13" s="1"/>
  <c r="C104" i="13"/>
  <c r="A104" i="13"/>
  <c r="A103" i="13"/>
  <c r="A102" i="13"/>
  <c r="C102" i="13" s="1"/>
  <c r="A101" i="13"/>
  <c r="C101" i="13" s="1"/>
  <c r="C100" i="13"/>
  <c r="A100" i="13"/>
  <c r="A99" i="13"/>
  <c r="C99" i="13" s="1"/>
  <c r="A98" i="13"/>
  <c r="C98" i="13" s="1"/>
  <c r="A97" i="13"/>
  <c r="C97" i="13" s="1"/>
  <c r="C96" i="13"/>
  <c r="A96" i="13"/>
  <c r="A95" i="13"/>
  <c r="C95" i="13" s="1"/>
  <c r="A94" i="13"/>
  <c r="C94" i="13" s="1"/>
  <c r="A93" i="13"/>
  <c r="C93" i="13" s="1"/>
  <c r="C92" i="13"/>
  <c r="A92" i="13"/>
  <c r="C91" i="13"/>
  <c r="A91" i="13"/>
  <c r="C90" i="13"/>
  <c r="A90" i="13"/>
  <c r="C89" i="13"/>
  <c r="A89" i="13"/>
  <c r="C88" i="13"/>
  <c r="A88" i="13"/>
  <c r="C87" i="13"/>
  <c r="A87" i="13"/>
  <c r="C86" i="13"/>
  <c r="A86" i="13"/>
  <c r="C85" i="13"/>
  <c r="A85" i="13"/>
  <c r="C84" i="13"/>
  <c r="A84" i="13"/>
  <c r="C83" i="13"/>
  <c r="A83" i="13"/>
  <c r="C82" i="13"/>
  <c r="A82" i="13"/>
  <c r="C81" i="13"/>
  <c r="A81" i="13"/>
  <c r="C80" i="13"/>
  <c r="A80" i="13"/>
  <c r="C79" i="13"/>
  <c r="A79" i="13"/>
  <c r="C78" i="13"/>
  <c r="A78" i="13"/>
  <c r="C77" i="13"/>
  <c r="A77" i="13"/>
  <c r="C76" i="13"/>
  <c r="A76" i="13"/>
  <c r="C75" i="13"/>
  <c r="A75" i="13"/>
  <c r="C74" i="13"/>
  <c r="A74" i="13"/>
  <c r="C73" i="13"/>
  <c r="A73" i="13"/>
  <c r="C72" i="13"/>
  <c r="A72" i="13"/>
  <c r="C71" i="13"/>
  <c r="A71" i="13"/>
  <c r="C70" i="13"/>
  <c r="A70" i="13"/>
  <c r="C69" i="13"/>
  <c r="A69" i="13"/>
  <c r="C68" i="13"/>
  <c r="A68" i="13"/>
  <c r="C67" i="13"/>
  <c r="A67" i="13"/>
  <c r="C66" i="13"/>
  <c r="A66" i="13"/>
  <c r="C65" i="13"/>
  <c r="A65" i="13"/>
  <c r="C64" i="13"/>
  <c r="A64" i="13"/>
  <c r="C63" i="13"/>
  <c r="A63" i="13"/>
  <c r="C62" i="13"/>
  <c r="A62" i="13"/>
  <c r="C61" i="13"/>
  <c r="A61" i="13"/>
  <c r="C60" i="13"/>
  <c r="A60" i="13"/>
  <c r="C59" i="13"/>
  <c r="A59" i="13"/>
  <c r="C58" i="13"/>
  <c r="A58" i="13"/>
  <c r="C57" i="13"/>
  <c r="A57" i="13"/>
  <c r="C56" i="13"/>
  <c r="A56" i="13"/>
  <c r="C55" i="13"/>
  <c r="A55" i="13"/>
  <c r="C54" i="13"/>
  <c r="A54" i="13"/>
  <c r="C53" i="13"/>
  <c r="A53" i="13"/>
  <c r="C52" i="13"/>
  <c r="A52" i="13"/>
  <c r="C51" i="13"/>
  <c r="A51" i="13"/>
  <c r="C50" i="13"/>
  <c r="A50" i="13"/>
  <c r="C49" i="13"/>
  <c r="A49" i="13"/>
  <c r="C48" i="13"/>
  <c r="A48" i="13"/>
  <c r="A47" i="13"/>
  <c r="C46" i="13"/>
  <c r="A46" i="13"/>
  <c r="C45" i="13"/>
  <c r="A45" i="13"/>
  <c r="C44" i="13"/>
  <c r="A44" i="13"/>
  <c r="C43" i="13"/>
  <c r="A43" i="13"/>
  <c r="C42" i="13"/>
  <c r="A42" i="13"/>
  <c r="C41" i="13"/>
  <c r="A41" i="13"/>
  <c r="C40" i="13"/>
  <c r="A40" i="13"/>
  <c r="A39" i="13"/>
  <c r="C39" i="13" s="1"/>
  <c r="A38" i="13"/>
  <c r="C38" i="13" s="1"/>
  <c r="A261" i="12"/>
  <c r="A260" i="12"/>
  <c r="A259" i="12"/>
  <c r="A258" i="12"/>
  <c r="A257" i="12"/>
  <c r="A256" i="12"/>
  <c r="A255" i="12"/>
  <c r="A254" i="12"/>
  <c r="A253" i="12"/>
  <c r="A252" i="12"/>
  <c r="A251" i="12"/>
  <c r="A250" i="12"/>
  <c r="A249" i="12"/>
  <c r="A248" i="12"/>
  <c r="A247" i="12"/>
  <c r="A246" i="12"/>
  <c r="A245" i="12"/>
  <c r="A244" i="12"/>
  <c r="A243" i="12"/>
  <c r="A242" i="12"/>
  <c r="A241" i="12"/>
  <c r="A240" i="12"/>
  <c r="A239" i="12"/>
  <c r="A238" i="12"/>
  <c r="A237" i="12"/>
  <c r="A236" i="12"/>
  <c r="A235" i="12"/>
  <c r="A234" i="12"/>
  <c r="A233" i="12"/>
  <c r="A232" i="12"/>
  <c r="A231" i="12"/>
  <c r="A230" i="12"/>
  <c r="A229" i="12"/>
  <c r="A228" i="12"/>
  <c r="A227" i="12"/>
  <c r="A226" i="12"/>
  <c r="A225" i="12"/>
  <c r="A224" i="12"/>
  <c r="A223" i="12"/>
  <c r="A222" i="12"/>
  <c r="A221" i="12"/>
  <c r="A220" i="12"/>
  <c r="A219" i="12"/>
  <c r="A218" i="12"/>
  <c r="A217" i="12"/>
  <c r="A216" i="12"/>
  <c r="A215" i="12"/>
  <c r="A214" i="12"/>
  <c r="A213" i="12"/>
  <c r="A212" i="12"/>
  <c r="A211" i="12"/>
  <c r="A210" i="12"/>
  <c r="A209" i="12"/>
  <c r="A208" i="12"/>
  <c r="A207" i="12"/>
  <c r="A206" i="12"/>
  <c r="A205" i="12"/>
  <c r="A204" i="12"/>
  <c r="A203" i="12"/>
  <c r="A202" i="12"/>
  <c r="A201" i="12"/>
  <c r="A200" i="12"/>
  <c r="A199" i="12"/>
  <c r="A198" i="12"/>
  <c r="A197" i="12"/>
  <c r="A196" i="12"/>
  <c r="A195" i="12"/>
  <c r="A194" i="12"/>
  <c r="A193" i="12"/>
  <c r="A192" i="12"/>
  <c r="A191" i="12"/>
  <c r="A190" i="12"/>
  <c r="A189" i="12"/>
  <c r="A188" i="12"/>
  <c r="A187" i="12"/>
  <c r="A186" i="12"/>
  <c r="A185" i="12"/>
  <c r="A184" i="12"/>
  <c r="A183" i="12"/>
  <c r="A182" i="12"/>
  <c r="A181" i="12"/>
  <c r="A180" i="12"/>
  <c r="A179" i="12"/>
  <c r="A178" i="12"/>
  <c r="A177" i="12"/>
  <c r="A176" i="12"/>
  <c r="A175" i="12"/>
  <c r="A174" i="12"/>
  <c r="A173" i="12"/>
  <c r="A172" i="12"/>
  <c r="A171" i="12"/>
  <c r="A170" i="12"/>
  <c r="A169" i="12"/>
  <c r="A168" i="12"/>
  <c r="A167" i="12"/>
  <c r="A166" i="12"/>
  <c r="A165" i="12"/>
  <c r="A164" i="12"/>
  <c r="A163" i="12"/>
  <c r="A162" i="12"/>
  <c r="A161" i="12"/>
  <c r="A160" i="12"/>
  <c r="A159" i="12"/>
  <c r="A158" i="12"/>
  <c r="A157" i="12"/>
  <c r="A156" i="12"/>
  <c r="A155" i="12"/>
  <c r="A154" i="12"/>
  <c r="A153" i="12"/>
  <c r="A152" i="12"/>
  <c r="A151" i="12"/>
  <c r="A150" i="12"/>
  <c r="A149" i="12"/>
  <c r="A148" i="12"/>
  <c r="A147" i="12"/>
  <c r="A146" i="12"/>
  <c r="A145" i="12"/>
  <c r="A144" i="12"/>
  <c r="A143" i="12"/>
  <c r="A142" i="12"/>
  <c r="A141" i="12"/>
  <c r="A140" i="12"/>
  <c r="A139" i="12"/>
  <c r="A138" i="12"/>
  <c r="A137" i="12"/>
  <c r="A136" i="12"/>
  <c r="A135" i="12"/>
  <c r="A134" i="12"/>
  <c r="A133" i="12"/>
  <c r="A132" i="12"/>
  <c r="A131" i="12"/>
  <c r="A130" i="12"/>
  <c r="A129" i="12"/>
  <c r="A128" i="12"/>
  <c r="A127" i="12"/>
  <c r="A126" i="12"/>
  <c r="A125" i="12"/>
  <c r="A124" i="12"/>
  <c r="A123" i="12"/>
  <c r="A122" i="12"/>
  <c r="A121" i="12"/>
  <c r="A120" i="12"/>
  <c r="A119" i="12"/>
  <c r="A118" i="12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C38" i="12" s="1"/>
  <c r="A261" i="11"/>
  <c r="C261" i="11" s="1"/>
  <c r="A260" i="11"/>
  <c r="C260" i="11" s="1"/>
  <c r="A259" i="11"/>
  <c r="C259" i="11" s="1"/>
  <c r="A258" i="11"/>
  <c r="C258" i="11" s="1"/>
  <c r="A257" i="11"/>
  <c r="C257" i="11" s="1"/>
  <c r="A256" i="11"/>
  <c r="C256" i="11" s="1"/>
  <c r="A255" i="11"/>
  <c r="C255" i="11" s="1"/>
  <c r="A254" i="11"/>
  <c r="C254" i="11" s="1"/>
  <c r="A253" i="11"/>
  <c r="C253" i="11" s="1"/>
  <c r="A252" i="11"/>
  <c r="C252" i="11" s="1"/>
  <c r="C251" i="11"/>
  <c r="A251" i="11"/>
  <c r="A250" i="11"/>
  <c r="C250" i="11" s="1"/>
  <c r="A249" i="11"/>
  <c r="C249" i="11" s="1"/>
  <c r="A248" i="11"/>
  <c r="C248" i="11" s="1"/>
  <c r="A247" i="11"/>
  <c r="C247" i="11" s="1"/>
  <c r="A246" i="11"/>
  <c r="C246" i="11" s="1"/>
  <c r="A245" i="11"/>
  <c r="C245" i="11" s="1"/>
  <c r="A244" i="11"/>
  <c r="C244" i="11" s="1"/>
  <c r="A243" i="11"/>
  <c r="C243" i="11" s="1"/>
  <c r="A242" i="11"/>
  <c r="C242" i="11" s="1"/>
  <c r="A241" i="11"/>
  <c r="C241" i="11" s="1"/>
  <c r="A240" i="11"/>
  <c r="C240" i="11" s="1"/>
  <c r="A239" i="11"/>
  <c r="C239" i="11" s="1"/>
  <c r="A238" i="11"/>
  <c r="C238" i="11" s="1"/>
  <c r="C237" i="11"/>
  <c r="A237" i="11"/>
  <c r="A236" i="11"/>
  <c r="C236" i="11" s="1"/>
  <c r="A235" i="11"/>
  <c r="C235" i="11" s="1"/>
  <c r="A234" i="11"/>
  <c r="C234" i="11" s="1"/>
  <c r="A233" i="11"/>
  <c r="C233" i="11" s="1"/>
  <c r="A232" i="11"/>
  <c r="C232" i="11" s="1"/>
  <c r="A231" i="11"/>
  <c r="C231" i="11" s="1"/>
  <c r="A230" i="11"/>
  <c r="C230" i="11" s="1"/>
  <c r="C229" i="11"/>
  <c r="A229" i="11"/>
  <c r="A228" i="11"/>
  <c r="C228" i="11" s="1"/>
  <c r="A227" i="11"/>
  <c r="C227" i="11" s="1"/>
  <c r="A226" i="11"/>
  <c r="C226" i="11" s="1"/>
  <c r="A225" i="11"/>
  <c r="C225" i="11" s="1"/>
  <c r="A224" i="11"/>
  <c r="C224" i="11" s="1"/>
  <c r="A223" i="11"/>
  <c r="C223" i="11" s="1"/>
  <c r="A222" i="11"/>
  <c r="C222" i="11" s="1"/>
  <c r="C221" i="11"/>
  <c r="A221" i="11"/>
  <c r="A220" i="11"/>
  <c r="C220" i="11" s="1"/>
  <c r="A219" i="11"/>
  <c r="C219" i="11" s="1"/>
  <c r="A218" i="11"/>
  <c r="C218" i="11" s="1"/>
  <c r="A217" i="11"/>
  <c r="C217" i="11" s="1"/>
  <c r="A216" i="11"/>
  <c r="C216" i="11" s="1"/>
  <c r="A215" i="11"/>
  <c r="C215" i="11" s="1"/>
  <c r="A214" i="11"/>
  <c r="C214" i="11" s="1"/>
  <c r="C213" i="11"/>
  <c r="A213" i="11"/>
  <c r="A212" i="11"/>
  <c r="C212" i="11" s="1"/>
  <c r="A211" i="11"/>
  <c r="C211" i="11" s="1"/>
  <c r="A210" i="11"/>
  <c r="C210" i="11" s="1"/>
  <c r="A209" i="11"/>
  <c r="C209" i="11" s="1"/>
  <c r="A208" i="11"/>
  <c r="C208" i="11" s="1"/>
  <c r="A207" i="11"/>
  <c r="C207" i="11" s="1"/>
  <c r="A206" i="11"/>
  <c r="C206" i="11" s="1"/>
  <c r="C205" i="11"/>
  <c r="A205" i="11"/>
  <c r="A204" i="11"/>
  <c r="C204" i="11" s="1"/>
  <c r="A203" i="11"/>
  <c r="C203" i="11" s="1"/>
  <c r="A202" i="11"/>
  <c r="C202" i="11" s="1"/>
  <c r="A201" i="11"/>
  <c r="C201" i="11" s="1"/>
  <c r="A200" i="11"/>
  <c r="C200" i="11" s="1"/>
  <c r="A199" i="11"/>
  <c r="C199" i="11" s="1"/>
  <c r="A198" i="11"/>
  <c r="C198" i="11" s="1"/>
  <c r="C197" i="11"/>
  <c r="A197" i="11"/>
  <c r="A196" i="11"/>
  <c r="C196" i="11" s="1"/>
  <c r="A195" i="11"/>
  <c r="C195" i="11" s="1"/>
  <c r="A194" i="11"/>
  <c r="C194" i="11" s="1"/>
  <c r="A193" i="11"/>
  <c r="C193" i="11" s="1"/>
  <c r="A192" i="11"/>
  <c r="C192" i="11" s="1"/>
  <c r="A191" i="11"/>
  <c r="C191" i="11" s="1"/>
  <c r="A190" i="11"/>
  <c r="C190" i="11" s="1"/>
  <c r="C189" i="11"/>
  <c r="A189" i="11"/>
  <c r="A188" i="11"/>
  <c r="C188" i="11" s="1"/>
  <c r="A187" i="11"/>
  <c r="C187" i="11" s="1"/>
  <c r="A186" i="11"/>
  <c r="C186" i="11" s="1"/>
  <c r="A185" i="11"/>
  <c r="C185" i="11" s="1"/>
  <c r="A184" i="11"/>
  <c r="C184" i="11" s="1"/>
  <c r="A183" i="11"/>
  <c r="C183" i="11" s="1"/>
  <c r="A182" i="11"/>
  <c r="C182" i="11" s="1"/>
  <c r="C181" i="11"/>
  <c r="A181" i="11"/>
  <c r="A180" i="11"/>
  <c r="C180" i="11" s="1"/>
  <c r="A179" i="11"/>
  <c r="C179" i="11" s="1"/>
  <c r="A178" i="11"/>
  <c r="C178" i="11" s="1"/>
  <c r="A177" i="11"/>
  <c r="C177" i="11" s="1"/>
  <c r="A176" i="11"/>
  <c r="C176" i="11" s="1"/>
  <c r="A175" i="11"/>
  <c r="C175" i="11" s="1"/>
  <c r="A174" i="11"/>
  <c r="C174" i="11" s="1"/>
  <c r="C173" i="11"/>
  <c r="A173" i="11"/>
  <c r="A172" i="11"/>
  <c r="C172" i="11" s="1"/>
  <c r="A171" i="11"/>
  <c r="C171" i="11" s="1"/>
  <c r="A170" i="11"/>
  <c r="C170" i="11" s="1"/>
  <c r="A169" i="11"/>
  <c r="C169" i="11" s="1"/>
  <c r="A168" i="11"/>
  <c r="C168" i="11" s="1"/>
  <c r="A167" i="11"/>
  <c r="C167" i="11" s="1"/>
  <c r="A166" i="11"/>
  <c r="C166" i="11" s="1"/>
  <c r="C165" i="11"/>
  <c r="A165" i="11"/>
  <c r="A164" i="11"/>
  <c r="C164" i="11" s="1"/>
  <c r="A163" i="11"/>
  <c r="C163" i="11" s="1"/>
  <c r="A162" i="11"/>
  <c r="C162" i="11" s="1"/>
  <c r="A161" i="11"/>
  <c r="C161" i="11" s="1"/>
  <c r="A160" i="11"/>
  <c r="C160" i="11" s="1"/>
  <c r="A159" i="11"/>
  <c r="C159" i="11" s="1"/>
  <c r="A158" i="11"/>
  <c r="C158" i="11" s="1"/>
  <c r="C157" i="11"/>
  <c r="A157" i="11"/>
  <c r="A156" i="11"/>
  <c r="C156" i="11" s="1"/>
  <c r="A155" i="11"/>
  <c r="C155" i="11" s="1"/>
  <c r="A154" i="11"/>
  <c r="C154" i="11" s="1"/>
  <c r="A153" i="11"/>
  <c r="C153" i="11" s="1"/>
  <c r="A152" i="11"/>
  <c r="C152" i="11" s="1"/>
  <c r="A151" i="11"/>
  <c r="C151" i="11" s="1"/>
  <c r="A150" i="11"/>
  <c r="C150" i="11" s="1"/>
  <c r="C149" i="11"/>
  <c r="A149" i="11"/>
  <c r="A148" i="11"/>
  <c r="C148" i="11" s="1"/>
  <c r="A147" i="11"/>
  <c r="C147" i="11" s="1"/>
  <c r="A146" i="11"/>
  <c r="C146" i="11" s="1"/>
  <c r="A145" i="11"/>
  <c r="C145" i="11" s="1"/>
  <c r="A144" i="11"/>
  <c r="C144" i="11" s="1"/>
  <c r="A143" i="11"/>
  <c r="C143" i="11" s="1"/>
  <c r="A142" i="11"/>
  <c r="C142" i="11" s="1"/>
  <c r="C141" i="11"/>
  <c r="A141" i="11"/>
  <c r="A140" i="11"/>
  <c r="C140" i="11" s="1"/>
  <c r="A139" i="11"/>
  <c r="C139" i="11" s="1"/>
  <c r="A138" i="11"/>
  <c r="C138" i="11" s="1"/>
  <c r="A137" i="11"/>
  <c r="C137" i="11" s="1"/>
  <c r="A136" i="11"/>
  <c r="C136" i="11" s="1"/>
  <c r="A135" i="11"/>
  <c r="C135" i="11" s="1"/>
  <c r="A134" i="11"/>
  <c r="C134" i="11" s="1"/>
  <c r="C133" i="11"/>
  <c r="A133" i="11"/>
  <c r="A132" i="11"/>
  <c r="C132" i="11" s="1"/>
  <c r="A131" i="11"/>
  <c r="C131" i="11" s="1"/>
  <c r="A130" i="11"/>
  <c r="C130" i="11" s="1"/>
  <c r="A129" i="11"/>
  <c r="C129" i="11" s="1"/>
  <c r="A128" i="11"/>
  <c r="C128" i="11" s="1"/>
  <c r="A127" i="11"/>
  <c r="C127" i="11" s="1"/>
  <c r="A126" i="11"/>
  <c r="C126" i="11" s="1"/>
  <c r="C125" i="11"/>
  <c r="A125" i="11"/>
  <c r="A124" i="11"/>
  <c r="C124" i="11" s="1"/>
  <c r="A123" i="11"/>
  <c r="C123" i="11" s="1"/>
  <c r="A122" i="11"/>
  <c r="C122" i="11" s="1"/>
  <c r="A121" i="11"/>
  <c r="C121" i="11" s="1"/>
  <c r="A120" i="11"/>
  <c r="C120" i="11" s="1"/>
  <c r="A119" i="11"/>
  <c r="C119" i="11" s="1"/>
  <c r="A118" i="11"/>
  <c r="C118" i="11" s="1"/>
  <c r="C117" i="11"/>
  <c r="A117" i="11"/>
  <c r="A116" i="11"/>
  <c r="C116" i="11" s="1"/>
  <c r="A115" i="11"/>
  <c r="C115" i="11" s="1"/>
  <c r="A114" i="11"/>
  <c r="C114" i="11" s="1"/>
  <c r="A113" i="11"/>
  <c r="C113" i="11" s="1"/>
  <c r="A112" i="11"/>
  <c r="C112" i="11" s="1"/>
  <c r="A111" i="11"/>
  <c r="C111" i="11" s="1"/>
  <c r="A110" i="11"/>
  <c r="C110" i="11" s="1"/>
  <c r="C109" i="11"/>
  <c r="A109" i="11"/>
  <c r="A108" i="11"/>
  <c r="C108" i="11" s="1"/>
  <c r="A107" i="11"/>
  <c r="C107" i="11" s="1"/>
  <c r="A106" i="11"/>
  <c r="C106" i="11" s="1"/>
  <c r="A105" i="11"/>
  <c r="C105" i="11" s="1"/>
  <c r="A104" i="11"/>
  <c r="C104" i="11" s="1"/>
  <c r="A103" i="11"/>
  <c r="C103" i="11" s="1"/>
  <c r="A102" i="11"/>
  <c r="C102" i="11" s="1"/>
  <c r="C101" i="11"/>
  <c r="A101" i="11"/>
  <c r="A100" i="11"/>
  <c r="C100" i="11" s="1"/>
  <c r="A99" i="11"/>
  <c r="C99" i="11" s="1"/>
  <c r="A98" i="11"/>
  <c r="C98" i="11" s="1"/>
  <c r="A97" i="11"/>
  <c r="C97" i="11" s="1"/>
  <c r="A96" i="11"/>
  <c r="C96" i="11" s="1"/>
  <c r="A95" i="11"/>
  <c r="C95" i="11" s="1"/>
  <c r="A94" i="11"/>
  <c r="C94" i="11" s="1"/>
  <c r="C93" i="11"/>
  <c r="A93" i="11"/>
  <c r="A92" i="11"/>
  <c r="C92" i="11" s="1"/>
  <c r="A91" i="11"/>
  <c r="C91" i="11" s="1"/>
  <c r="A90" i="11"/>
  <c r="C90" i="11" s="1"/>
  <c r="C89" i="11"/>
  <c r="A89" i="11"/>
  <c r="A88" i="11"/>
  <c r="C88" i="11" s="1"/>
  <c r="A87" i="11"/>
  <c r="C87" i="11" s="1"/>
  <c r="A86" i="11"/>
  <c r="C86" i="11" s="1"/>
  <c r="C85" i="11"/>
  <c r="A85" i="11"/>
  <c r="A84" i="11"/>
  <c r="C84" i="11" s="1"/>
  <c r="A83" i="11"/>
  <c r="C83" i="11" s="1"/>
  <c r="A82" i="11"/>
  <c r="C82" i="11" s="1"/>
  <c r="C81" i="11"/>
  <c r="A81" i="11"/>
  <c r="A80" i="11"/>
  <c r="C80" i="11" s="1"/>
  <c r="A79" i="11"/>
  <c r="C79" i="11" s="1"/>
  <c r="A78" i="11"/>
  <c r="C78" i="11" s="1"/>
  <c r="C77" i="11"/>
  <c r="A77" i="11"/>
  <c r="A76" i="11"/>
  <c r="C76" i="11" s="1"/>
  <c r="A75" i="11"/>
  <c r="C75" i="11" s="1"/>
  <c r="A74" i="11"/>
  <c r="C74" i="11" s="1"/>
  <c r="C73" i="11"/>
  <c r="A73" i="11"/>
  <c r="A72" i="11"/>
  <c r="C72" i="11" s="1"/>
  <c r="A71" i="11"/>
  <c r="C71" i="11" s="1"/>
  <c r="A70" i="11"/>
  <c r="C70" i="11" s="1"/>
  <c r="C69" i="11"/>
  <c r="A69" i="11"/>
  <c r="A68" i="11"/>
  <c r="C68" i="11" s="1"/>
  <c r="A67" i="11"/>
  <c r="C67" i="11" s="1"/>
  <c r="A66" i="11"/>
  <c r="C66" i="11" s="1"/>
  <c r="C65" i="11"/>
  <c r="A65" i="11"/>
  <c r="A64" i="11"/>
  <c r="C64" i="11" s="1"/>
  <c r="A63" i="11"/>
  <c r="C63" i="11" s="1"/>
  <c r="A62" i="11"/>
  <c r="C62" i="11" s="1"/>
  <c r="C61" i="11"/>
  <c r="A61" i="11"/>
  <c r="A60" i="11"/>
  <c r="C60" i="11" s="1"/>
  <c r="A59" i="11"/>
  <c r="C59" i="11" s="1"/>
  <c r="A58" i="11"/>
  <c r="C58" i="11" s="1"/>
  <c r="C57" i="11"/>
  <c r="A57" i="11"/>
  <c r="A56" i="11"/>
  <c r="C56" i="11" s="1"/>
  <c r="A55" i="11"/>
  <c r="C55" i="11" s="1"/>
  <c r="A54" i="11"/>
  <c r="C54" i="11" s="1"/>
  <c r="C53" i="11"/>
  <c r="A53" i="11"/>
  <c r="A52" i="11"/>
  <c r="C52" i="11" s="1"/>
  <c r="A51" i="11"/>
  <c r="C51" i="11" s="1"/>
  <c r="A50" i="11"/>
  <c r="C50" i="11" s="1"/>
  <c r="C49" i="11"/>
  <c r="A49" i="11"/>
  <c r="A48" i="11"/>
  <c r="C48" i="11" s="1"/>
  <c r="A47" i="11"/>
  <c r="C47" i="11" s="1"/>
  <c r="A46" i="11"/>
  <c r="C46" i="11" s="1"/>
  <c r="C45" i="11"/>
  <c r="A45" i="11"/>
  <c r="A44" i="11"/>
  <c r="C44" i="11" s="1"/>
  <c r="A43" i="11"/>
  <c r="C43" i="11" s="1"/>
  <c r="A42" i="11"/>
  <c r="C42" i="11" s="1"/>
  <c r="C41" i="11"/>
  <c r="A41" i="11"/>
  <c r="A40" i="11"/>
  <c r="C40" i="11" s="1"/>
  <c r="A39" i="11"/>
  <c r="C39" i="11" s="1"/>
  <c r="A38" i="11"/>
  <c r="C38" i="11" s="1"/>
  <c r="S38" i="10"/>
  <c r="S39" i="10" s="1"/>
  <c r="R38" i="10"/>
  <c r="R39" i="10" s="1"/>
  <c r="C38" i="10"/>
  <c r="S38" i="9"/>
  <c r="R38" i="9"/>
  <c r="C39" i="9"/>
  <c r="C40" i="9"/>
  <c r="C41" i="9"/>
  <c r="C42" i="9"/>
  <c r="C43" i="9"/>
  <c r="C44" i="9"/>
  <c r="C45" i="9"/>
  <c r="C46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38" i="9"/>
  <c r="A167" i="9"/>
  <c r="A168" i="9"/>
  <c r="A169" i="9"/>
  <c r="A170" i="9"/>
  <c r="A171" i="9"/>
  <c r="A172" i="9"/>
  <c r="A173" i="9"/>
  <c r="A174" i="9"/>
  <c r="A175" i="9"/>
  <c r="A176" i="9"/>
  <c r="A177" i="9"/>
  <c r="A178" i="9"/>
  <c r="A179" i="9"/>
  <c r="A180" i="9"/>
  <c r="A181" i="9"/>
  <c r="A182" i="9"/>
  <c r="A183" i="9"/>
  <c r="A184" i="9"/>
  <c r="A185" i="9"/>
  <c r="A186" i="9"/>
  <c r="A187" i="9"/>
  <c r="A188" i="9"/>
  <c r="A189" i="9"/>
  <c r="A190" i="9"/>
  <c r="A191" i="9"/>
  <c r="A192" i="9"/>
  <c r="A193" i="9"/>
  <c r="A194" i="9"/>
  <c r="A195" i="9"/>
  <c r="A196" i="9"/>
  <c r="A197" i="9"/>
  <c r="A198" i="9"/>
  <c r="A199" i="9"/>
  <c r="A200" i="9"/>
  <c r="A201" i="9"/>
  <c r="A202" i="9"/>
  <c r="A203" i="9"/>
  <c r="A204" i="9"/>
  <c r="A205" i="9"/>
  <c r="A206" i="9"/>
  <c r="A207" i="9"/>
  <c r="A208" i="9"/>
  <c r="A209" i="9"/>
  <c r="A210" i="9"/>
  <c r="A211" i="9"/>
  <c r="A212" i="9"/>
  <c r="A213" i="9"/>
  <c r="A214" i="9"/>
  <c r="A215" i="9"/>
  <c r="A216" i="9"/>
  <c r="A217" i="9"/>
  <c r="A218" i="9"/>
  <c r="A219" i="9"/>
  <c r="A220" i="9"/>
  <c r="A221" i="9"/>
  <c r="A222" i="9"/>
  <c r="A223" i="9"/>
  <c r="A224" i="9"/>
  <c r="A225" i="9"/>
  <c r="A226" i="9"/>
  <c r="A227" i="9"/>
  <c r="A228" i="9"/>
  <c r="A229" i="9"/>
  <c r="A230" i="9"/>
  <c r="A231" i="9"/>
  <c r="A232" i="9"/>
  <c r="A233" i="9"/>
  <c r="A234" i="9"/>
  <c r="A235" i="9"/>
  <c r="A236" i="9"/>
  <c r="A237" i="9"/>
  <c r="A238" i="9"/>
  <c r="A239" i="9"/>
  <c r="A240" i="9"/>
  <c r="A241" i="9"/>
  <c r="A242" i="9"/>
  <c r="A243" i="9"/>
  <c r="A244" i="9"/>
  <c r="A245" i="9"/>
  <c r="A246" i="9"/>
  <c r="A247" i="9"/>
  <c r="A248" i="9"/>
  <c r="A249" i="9"/>
  <c r="A250" i="9"/>
  <c r="A251" i="9"/>
  <c r="A252" i="9"/>
  <c r="A253" i="9"/>
  <c r="A254" i="9"/>
  <c r="A255" i="9"/>
  <c r="A256" i="9"/>
  <c r="A257" i="9"/>
  <c r="A258" i="9"/>
  <c r="A259" i="9"/>
  <c r="A260" i="9"/>
  <c r="A261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50" i="9"/>
  <c r="A151" i="9"/>
  <c r="A152" i="9"/>
  <c r="A153" i="9"/>
  <c r="A154" i="9"/>
  <c r="A155" i="9"/>
  <c r="A156" i="9"/>
  <c r="A157" i="9"/>
  <c r="A158" i="9"/>
  <c r="A159" i="9"/>
  <c r="A160" i="9"/>
  <c r="A161" i="9"/>
  <c r="A162" i="9"/>
  <c r="A163" i="9"/>
  <c r="A164" i="9"/>
  <c r="A165" i="9"/>
  <c r="A166" i="9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R38" i="15" l="1"/>
  <c r="R39" i="15" s="1"/>
  <c r="S38" i="15"/>
  <c r="S39" i="15" s="1"/>
  <c r="S38" i="14"/>
  <c r="S39" i="14" s="1"/>
  <c r="R38" i="14"/>
  <c r="R39" i="14" s="1"/>
  <c r="S38" i="13"/>
  <c r="S39" i="13" s="1"/>
  <c r="R38" i="13"/>
  <c r="R39" i="13" s="1"/>
  <c r="S38" i="12"/>
  <c r="S39" i="12" s="1"/>
  <c r="R38" i="12"/>
  <c r="R39" i="12" s="1"/>
  <c r="T39" i="12" s="1"/>
  <c r="S38" i="11"/>
  <c r="S39" i="11" s="1"/>
  <c r="R38" i="11"/>
  <c r="R39" i="11" s="1"/>
  <c r="T39" i="10"/>
  <c r="A166" i="10"/>
  <c r="A165" i="10"/>
  <c r="A164" i="10"/>
  <c r="A163" i="10"/>
  <c r="A162" i="10"/>
  <c r="A161" i="10"/>
  <c r="A160" i="10"/>
  <c r="A159" i="10"/>
  <c r="A158" i="10"/>
  <c r="A157" i="10"/>
  <c r="A156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8" i="9"/>
  <c r="T39" i="15" l="1"/>
  <c r="T39" i="14"/>
  <c r="T39" i="13"/>
  <c r="T39" i="11"/>
  <c r="R39" i="9"/>
  <c r="H219" i="3"/>
  <c r="N34" i="3"/>
  <c r="C34" i="3"/>
  <c r="N33" i="3"/>
  <c r="C33" i="3"/>
  <c r="M32" i="3"/>
  <c r="C32" i="3"/>
  <c r="M31" i="3"/>
  <c r="C31" i="3"/>
  <c r="M30" i="3"/>
  <c r="C30" i="3"/>
  <c r="K29" i="3"/>
  <c r="C29" i="3"/>
  <c r="K28" i="3"/>
  <c r="C28" i="3"/>
  <c r="K27" i="3"/>
  <c r="C27" i="3"/>
  <c r="K26" i="3"/>
  <c r="C26" i="3"/>
  <c r="K25" i="3"/>
  <c r="C25" i="3"/>
  <c r="L24" i="3"/>
  <c r="C24" i="3"/>
  <c r="L23" i="3"/>
  <c r="C23" i="3"/>
  <c r="L22" i="3"/>
  <c r="C22" i="3"/>
  <c r="I21" i="3"/>
  <c r="C21" i="3"/>
  <c r="I20" i="3"/>
  <c r="C20" i="3"/>
  <c r="I19" i="3"/>
  <c r="C19" i="3"/>
  <c r="I18" i="3"/>
  <c r="C18" i="3"/>
  <c r="I17" i="3"/>
  <c r="C17" i="3"/>
  <c r="H16" i="3"/>
  <c r="C16" i="3"/>
  <c r="H15" i="3"/>
  <c r="C15" i="3"/>
  <c r="H14" i="3"/>
  <c r="C14" i="3"/>
  <c r="H13" i="3"/>
  <c r="C13" i="3"/>
  <c r="H12" i="3"/>
  <c r="C12" i="3"/>
  <c r="J11" i="3"/>
  <c r="D11" i="3"/>
  <c r="C11" i="3"/>
  <c r="J10" i="3"/>
  <c r="D10" i="3"/>
  <c r="C10" i="3"/>
  <c r="J9" i="3"/>
  <c r="D9" i="3"/>
  <c r="C9" i="3"/>
  <c r="J8" i="3"/>
  <c r="D8" i="3"/>
  <c r="C8" i="3"/>
  <c r="G7" i="3"/>
  <c r="D7" i="3"/>
  <c r="C7" i="3"/>
  <c r="G6" i="3"/>
  <c r="D6" i="3"/>
  <c r="C6" i="3"/>
  <c r="G5" i="3"/>
  <c r="D5" i="3"/>
  <c r="C5" i="3"/>
  <c r="G4" i="3"/>
  <c r="D4" i="3"/>
  <c r="C4" i="3"/>
  <c r="G3" i="3"/>
  <c r="D3" i="3"/>
  <c r="C3" i="3"/>
  <c r="S39" i="9" l="1"/>
  <c r="T39" i="9" s="1"/>
</calcChain>
</file>

<file path=xl/sharedStrings.xml><?xml version="1.0" encoding="utf-8"?>
<sst xmlns="http://schemas.openxmlformats.org/spreadsheetml/2006/main" count="1137" uniqueCount="74">
  <si>
    <t>testing</t>
    <phoneticPr fontId="1" type="noConversion"/>
  </si>
  <si>
    <t>lower zone D</t>
    <phoneticPr fontId="1" type="noConversion"/>
  </si>
  <si>
    <t>lower zone E</t>
    <phoneticPr fontId="1" type="noConversion"/>
  </si>
  <si>
    <t>YSI</t>
    <phoneticPr fontId="1" type="noConversion"/>
  </si>
  <si>
    <t>x-axis</t>
    <phoneticPr fontId="1" type="noConversion"/>
  </si>
  <si>
    <t>y-axis</t>
    <phoneticPr fontId="1" type="noConversion"/>
  </si>
  <si>
    <t>reference</t>
    <phoneticPr fontId="1" type="noConversion"/>
  </si>
  <si>
    <t>upper zone A</t>
    <phoneticPr fontId="1" type="noConversion"/>
  </si>
  <si>
    <t>lower zone A</t>
    <phoneticPr fontId="1" type="noConversion"/>
  </si>
  <si>
    <t>testing</t>
    <phoneticPr fontId="1" type="noConversion"/>
  </si>
  <si>
    <t>upper zone B</t>
    <phoneticPr fontId="1" type="noConversion"/>
  </si>
  <si>
    <t>lower zone B</t>
    <phoneticPr fontId="1" type="noConversion"/>
  </si>
  <si>
    <t>upper zone C</t>
    <phoneticPr fontId="1" type="noConversion"/>
  </si>
  <si>
    <t>lower zone C</t>
    <phoneticPr fontId="1" type="noConversion"/>
  </si>
  <si>
    <t>upper zone D</t>
    <phoneticPr fontId="1" type="noConversion"/>
  </si>
  <si>
    <t>lower zone D</t>
    <phoneticPr fontId="1" type="noConversion"/>
  </si>
  <si>
    <t>upper zone E</t>
    <phoneticPr fontId="1" type="noConversion"/>
  </si>
  <si>
    <t>lower zone E</t>
    <phoneticPr fontId="1" type="noConversion"/>
  </si>
  <si>
    <t>YSI</t>
    <phoneticPr fontId="1" type="noConversion"/>
  </si>
  <si>
    <t>x-axis</t>
    <phoneticPr fontId="1" type="noConversion"/>
  </si>
  <si>
    <t>y-axis</t>
    <phoneticPr fontId="1" type="noConversion"/>
  </si>
  <si>
    <t>reference</t>
    <phoneticPr fontId="1" type="noConversion"/>
  </si>
  <si>
    <t>upper zone A</t>
    <phoneticPr fontId="1" type="noConversion"/>
  </si>
  <si>
    <t>lower zone A</t>
    <phoneticPr fontId="1" type="noConversion"/>
  </si>
  <si>
    <t>testing</t>
    <phoneticPr fontId="1" type="noConversion"/>
  </si>
  <si>
    <t>upper zone B</t>
    <phoneticPr fontId="1" type="noConversion"/>
  </si>
  <si>
    <t>lower zone B</t>
    <phoneticPr fontId="1" type="noConversion"/>
  </si>
  <si>
    <t>upper zone C</t>
    <phoneticPr fontId="1" type="noConversion"/>
  </si>
  <si>
    <t>lower zone C</t>
    <phoneticPr fontId="1" type="noConversion"/>
  </si>
  <si>
    <t>upper zone D</t>
    <phoneticPr fontId="1" type="noConversion"/>
  </si>
  <si>
    <t>upper zone E</t>
    <phoneticPr fontId="1" type="noConversion"/>
  </si>
  <si>
    <t>ZoneB</t>
    <phoneticPr fontId="1" type="noConversion"/>
  </si>
  <si>
    <t>Glucose solution</t>
    <phoneticPr fontId="1" type="noConversion"/>
  </si>
  <si>
    <t>plasma</t>
    <phoneticPr fontId="1" type="noConversion"/>
  </si>
  <si>
    <t>(2)</t>
    <phoneticPr fontId="1" type="noConversion"/>
  </si>
  <si>
    <t>(3)</t>
    <phoneticPr fontId="1" type="noConversion"/>
  </si>
  <si>
    <t>RW</t>
  </si>
  <si>
    <t>RW</t>
    <phoneticPr fontId="1" type="noConversion"/>
  </si>
  <si>
    <t>(2)</t>
    <phoneticPr fontId="1" type="noConversion"/>
  </si>
  <si>
    <t>(3)</t>
    <phoneticPr fontId="1" type="noConversion"/>
  </si>
  <si>
    <t>(4)</t>
    <phoneticPr fontId="1" type="noConversion"/>
  </si>
  <si>
    <t>(5)</t>
    <phoneticPr fontId="1" type="noConversion"/>
  </si>
  <si>
    <t>(1)</t>
    <phoneticPr fontId="1" type="noConversion"/>
  </si>
  <si>
    <t>Ryan</t>
  </si>
  <si>
    <t>Silver</t>
  </si>
  <si>
    <t>Tester B</t>
  </si>
  <si>
    <t>Roger</t>
  </si>
  <si>
    <t>Tester A</t>
  </si>
  <si>
    <t>Redick</t>
  </si>
  <si>
    <t>Nick</t>
  </si>
  <si>
    <t>Alex</t>
  </si>
  <si>
    <t>Gary</t>
  </si>
  <si>
    <t>Tester E</t>
  </si>
  <si>
    <t>Tester D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</si>
  <si>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</si>
  <si>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</si>
  <si>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</si>
  <si>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</si>
  <si>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</si>
  <si>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</si>
  <si>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</si>
  <si>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</si>
  <si>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</si>
  <si>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Center</t>
    <phoneticPr fontId="1" type="noConversion"/>
  </si>
  <si>
    <t>A</t>
    <phoneticPr fontId="1" type="noConversion"/>
  </si>
  <si>
    <t>B</t>
    <phoneticPr fontId="1" type="noConversion"/>
  </si>
  <si>
    <t>total</t>
    <phoneticPr fontId="1" type="noConversion"/>
  </si>
  <si>
    <t>Count</t>
    <phoneticPr fontId="1" type="noConversion"/>
  </si>
  <si>
    <t>Percentage</t>
    <phoneticPr fontId="1" type="noConversion"/>
  </si>
  <si>
    <t>C</t>
    <phoneticPr fontId="1" type="noConversion"/>
  </si>
  <si>
    <t>C</t>
    <phoneticPr fontId="1" type="noConversion"/>
  </si>
  <si>
    <t>C</t>
    <phoneticPr fontId="1" type="noConversion"/>
  </si>
  <si>
    <t>C</t>
    <phoneticPr fontId="1" type="noConversion"/>
  </si>
  <si>
    <t>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</si>
</sst>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0_);[Red]\(0\)"/>
    <numFmt numFmtId="183" formatCode="0.0%"/>
  </numFmts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0"/>
      <name val="Arial Unicode MS"/>
      <family val="2"/>
      <charset val="136"/>
    </font>
    <font>
      <sz val="12"/>
      <name val="Arial Unicode MS"/>
      <family val="2"/>
      <charset val="136"/>
    </font>
    <font>
      <sz val="12"/>
      <color theme="4" tint="-0.249977111117893"/>
      <name val="Arial Unicode MS"/>
      <family val="2"/>
      <charset val="136"/>
    </font>
    <font>
      <sz val="12"/>
      <color rgb="FFFF0000"/>
      <name val="Arial Unicode MS"/>
      <family val="2"/>
      <charset val="136"/>
    </font>
    <font>
      <sz val="12"/>
      <color theme="1"/>
      <name val="新細明體"/>
      <family val="3"/>
      <charset val="136"/>
      <scheme val="minor"/>
    </font>
    <font>
      <sz val="12"/>
      <color theme="1"/>
      <name val="新細明體"/>
      <family val="2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7" fillId="0" borderId="0" applyFon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6" fillId="0" borderId="0" xfId="0" quotePrefix="1" applyFont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2" fillId="2" borderId="2" xfId="0" quotePrefix="1" applyFont="1" applyFill="1" applyBorder="1" applyAlignment="1">
      <alignment horizontal="center" vertical="center"/>
    </xf>
    <xf numFmtId="182" fontId="0" fillId="0" borderId="1" xfId="1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82" fontId="0" fillId="0" borderId="7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83" fontId="0" fillId="0" borderId="10" xfId="0" applyNumberFormat="1" applyBorder="1" applyAlignment="1">
      <alignment horizontal="center" vertical="center"/>
    </xf>
    <xf numFmtId="183" fontId="0" fillId="0" borderId="9" xfId="1" applyNumberFormat="1" applyFont="1" applyBorder="1" applyAlignment="1">
      <alignment horizontal="center"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17413387810992"/>
          <c:y val="2.3096714792892357E-2"/>
          <c:w val="0.74767346830669956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103-4146-9706-8D5423975E04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F103-4146-9706-8D5423975E04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F103-4146-9706-8D5423975E04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103-4146-9706-8D5423975E04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09-F103-4146-9706-8D5423975E04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0B-F103-4146-9706-8D5423975E04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0D-F103-4146-9706-8D5423975E04}"/>
              </c:ext>
            </c:extLst>
          </c:dPt>
          <c:dPt>
            <c:idx val="9"/>
            <c:bubble3D val="0"/>
            <c:spPr/>
            <c:extLst>
              <c:ext xmlns:c16="http://schemas.microsoft.com/office/drawing/2014/chart" uri="{C3380CC4-5D6E-409C-BE32-E72D297353CC}">
                <c16:uniqueId val="{0000000F-F103-4146-9706-8D5423975E04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103-4146-9706-8D5423975E04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F103-4146-9706-8D5423975E04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F103-4146-9706-8D5423975E04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F103-4146-9706-8D5423975E04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F103-4146-9706-8D5423975E04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F103-4146-9706-8D5423975E04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F103-4146-9706-8D5423975E04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F103-4146-9706-8D5423975E04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F103-4146-9706-8D5423975E04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F103-4146-9706-8D5423975E04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F103-4146-9706-8D5423975E04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F103-4146-9706-8D5423975E04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F103-4146-9706-8D5423975E04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F103-4146-9706-8D5423975E04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F103-4146-9706-8D5423975E04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F103-4146-9706-8D5423975E04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F103-4146-9706-8D5423975E04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F103-4146-9706-8D5423975E04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F103-4146-9706-8D5423975E04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F103-4146-9706-8D5423975E04}"/>
            </c:ext>
          </c:extLst>
        </c:ser>
        <c:ser>
          <c:idx val="6"/>
          <c:order val="5"/>
          <c:tx>
            <c:strRef>
              <c:f>'tester C'!$D$37</c:f>
              <c:strCache>
                <c:ptCount val="1"/>
                <c:pt idx="0">
                  <c:v>940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  <c:spPr>
              <a:solidFill>
                <a:srgbClr val="00B0F0"/>
              </a:solidFill>
            </c:spPr>
          </c:marker>
          <c:xVal>
            <c:numRef>
              <c:f>'tester C'!$C$38:$C$126</c:f>
              <c:numCache>
                <c:formatCode>General</c:formatCode>
                <c:ptCount val="89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C'!$D$38:$D$126</c:f>
              <c:numCache>
                <c:formatCode>0</c:formatCode>
                <c:ptCount val="89"/>
                <c:pt idx="0">
                  <c:v>97.542586447888254</c:v>
                </c:pt>
                <c:pt idx="1">
                  <c:v>80.216154219028553</c:v>
                </c:pt>
                <c:pt idx="2">
                  <c:v>101.03360470245325</c:v>
                </c:pt>
                <c:pt idx="3">
                  <c:v>128.19218932468868</c:v>
                </c:pt>
                <c:pt idx="4">
                  <c:v>294.53088370790732</c:v>
                </c:pt>
                <c:pt idx="5">
                  <c:v>243.39230700401467</c:v>
                </c:pt>
                <c:pt idx="6">
                  <c:v>323.60259368330111</c:v>
                </c:pt>
                <c:pt idx="7">
                  <c:v>120.06624451983592</c:v>
                </c:pt>
                <c:pt idx="8">
                  <c:v>172.48670090030546</c:v>
                </c:pt>
                <c:pt idx="9">
                  <c:v>254.52432416268061</c:v>
                </c:pt>
                <c:pt idx="10">
                  <c:v>278.79584430214737</c:v>
                </c:pt>
                <c:pt idx="11">
                  <c:v>131.61656702574894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F103-4146-9706-8D5423975E04}"/>
            </c:ext>
          </c:extLst>
        </c:ser>
        <c:ser>
          <c:idx val="7"/>
          <c:order val="6"/>
          <c:tx>
            <c:strRef>
              <c:f>'tester C'!$E$37</c:f>
              <c:strCache>
                <c:ptCount val="1"/>
                <c:pt idx="0">
                  <c:v>970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'tester C'!$C$38:$C$126</c:f>
              <c:numCache>
                <c:formatCode>General</c:formatCode>
                <c:ptCount val="89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C'!$E$38:$E$126</c:f>
              <c:numCache>
                <c:formatCode>0</c:formatCode>
                <c:ptCount val="89"/>
                <c:pt idx="0">
                  <c:v>146.70110524616558</c:v>
                </c:pt>
                <c:pt idx="1">
                  <c:v>139.4385631113976</c:v>
                </c:pt>
                <c:pt idx="2">
                  <c:v>156.34908625410122</c:v>
                </c:pt>
                <c:pt idx="3">
                  <c:v>175.81002746920865</c:v>
                </c:pt>
                <c:pt idx="4">
                  <c:v>238.46230284929933</c:v>
                </c:pt>
                <c:pt idx="5">
                  <c:v>254.29530314583786</c:v>
                </c:pt>
                <c:pt idx="6">
                  <c:v>309.68618678276022</c:v>
                </c:pt>
                <c:pt idx="7">
                  <c:v>145.35481708956473</c:v>
                </c:pt>
                <c:pt idx="8">
                  <c:v>201.02049400645421</c:v>
                </c:pt>
                <c:pt idx="9">
                  <c:v>91.35400070672685</c:v>
                </c:pt>
                <c:pt idx="10">
                  <c:v>208.9394286461532</c:v>
                </c:pt>
                <c:pt idx="11">
                  <c:v>158.58868469233022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F103-4146-9706-8D5423975E04}"/>
            </c:ext>
          </c:extLst>
        </c:ser>
        <c:ser>
          <c:idx val="8"/>
          <c:order val="7"/>
          <c:tx>
            <c:strRef>
              <c:f>'tester C'!$F$37</c:f>
              <c:strCache>
                <c:ptCount val="1"/>
                <c:pt idx="0">
                  <c:v>1200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'tester C'!$C$38:$C$126</c:f>
              <c:numCache>
                <c:formatCode>General</c:formatCode>
                <c:ptCount val="89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C'!$F$38:$F$126</c:f>
              <c:numCache>
                <c:formatCode>0</c:formatCode>
                <c:ptCount val="89"/>
                <c:pt idx="0">
                  <c:v>136.7205246595058</c:v>
                </c:pt>
                <c:pt idx="1">
                  <c:v>126.51375415024908</c:v>
                </c:pt>
                <c:pt idx="2">
                  <c:v>165.03237410164971</c:v>
                </c:pt>
                <c:pt idx="3">
                  <c:v>171.6993622389711</c:v>
                </c:pt>
                <c:pt idx="4">
                  <c:v>207.58170071634368</c:v>
                </c:pt>
                <c:pt idx="5">
                  <c:v>206.46361799220816</c:v>
                </c:pt>
                <c:pt idx="6">
                  <c:v>272.64855920714461</c:v>
                </c:pt>
                <c:pt idx="7">
                  <c:v>170.01794480548577</c:v>
                </c:pt>
                <c:pt idx="8">
                  <c:v>253.80226791349517</c:v>
                </c:pt>
                <c:pt idx="9">
                  <c:v>34.951711311823644</c:v>
                </c:pt>
                <c:pt idx="10">
                  <c:v>276.86477435937587</c:v>
                </c:pt>
                <c:pt idx="11">
                  <c:v>172.30448095169911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F103-4146-9706-8D5423975E04}"/>
            </c:ext>
          </c:extLst>
        </c:ser>
        <c:ser>
          <c:idx val="9"/>
          <c:order val="8"/>
          <c:tx>
            <c:strRef>
              <c:f>'tester C'!$G$37</c:f>
              <c:strCache>
                <c:ptCount val="1"/>
                <c:pt idx="0">
                  <c:v>1300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C'!$C$38:$C$74</c:f>
              <c:numCache>
                <c:formatCode>General</c:formatCode>
                <c:ptCount val="37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C'!$G$38:$G$63</c:f>
              <c:numCache>
                <c:formatCode>0</c:formatCode>
                <c:ptCount val="26"/>
                <c:pt idx="0">
                  <c:v>188.16364883389284</c:v>
                </c:pt>
                <c:pt idx="1">
                  <c:v>77.261502506903867</c:v>
                </c:pt>
                <c:pt idx="2">
                  <c:v>113.32341464615784</c:v>
                </c:pt>
                <c:pt idx="3">
                  <c:v>129.75137071600807</c:v>
                </c:pt>
                <c:pt idx="4">
                  <c:v>179.57189012189639</c:v>
                </c:pt>
                <c:pt idx="5">
                  <c:v>377.16890617229751</c:v>
                </c:pt>
                <c:pt idx="6">
                  <c:v>377.16890617229751</c:v>
                </c:pt>
                <c:pt idx="7">
                  <c:v>209.83190308659121</c:v>
                </c:pt>
                <c:pt idx="8">
                  <c:v>189.02210283087845</c:v>
                </c:pt>
                <c:pt idx="9">
                  <c:v>28.55429716967889</c:v>
                </c:pt>
                <c:pt idx="10">
                  <c:v>188.01483366301554</c:v>
                </c:pt>
                <c:pt idx="11">
                  <c:v>168.16722408038203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F103-4146-9706-8D5423975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Roche</a:t>
                </a: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 performa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overlay val="0"/>
      <c:txPr>
        <a:bodyPr/>
        <a:lstStyle/>
        <a:p>
          <a:pPr>
            <a:defRPr sz="1600" b="1">
              <a:latin typeface="Arial" panose="020B0604020202020204" pitchFamily="34" charset="0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17413387810992"/>
          <c:y val="2.3096714792892357E-2"/>
          <c:w val="0.74767346830669956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661-48D3-A111-11615B3CA978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7661-48D3-A111-11615B3CA978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7661-48D3-A111-11615B3CA978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661-48D3-A111-11615B3CA978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09-7661-48D3-A111-11615B3CA978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0B-7661-48D3-A111-11615B3CA978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0D-7661-48D3-A111-11615B3CA978}"/>
              </c:ext>
            </c:extLst>
          </c:dPt>
          <c:dPt>
            <c:idx val="9"/>
            <c:bubble3D val="0"/>
            <c:spPr/>
            <c:extLst>
              <c:ext xmlns:c16="http://schemas.microsoft.com/office/drawing/2014/chart" uri="{C3380CC4-5D6E-409C-BE32-E72D297353CC}">
                <c16:uniqueId val="{0000000F-7661-48D3-A111-11615B3CA978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661-48D3-A111-11615B3CA978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7661-48D3-A111-11615B3CA978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7661-48D3-A111-11615B3CA978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7661-48D3-A111-11615B3CA978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7661-48D3-A111-11615B3CA978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7661-48D3-A111-11615B3CA978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7661-48D3-A111-11615B3CA978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7661-48D3-A111-11615B3CA978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7661-48D3-A111-11615B3CA978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7661-48D3-A111-11615B3CA978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7661-48D3-A111-11615B3CA978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7661-48D3-A111-11615B3CA978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7661-48D3-A111-11615B3CA978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7661-48D3-A111-11615B3CA978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7661-48D3-A111-11615B3CA978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7661-48D3-A111-11615B3CA978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7661-48D3-A111-11615B3CA978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7661-48D3-A111-11615B3CA978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7661-48D3-A111-11615B3CA978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7661-48D3-A111-11615B3CA978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xVal>
            <c:numRef>
              <c:f>[1]mgdL!$E$3</c:f>
              <c:numCache>
                <c:formatCode>General</c:formatCode>
                <c:ptCount val="1"/>
              </c:numCache>
            </c:numRef>
          </c:xVal>
          <c:yVal>
            <c:numRef>
              <c:f>[1]mgdL!$N$3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7661-48D3-A111-11615B3CA978}"/>
            </c:ext>
          </c:extLst>
        </c:ser>
        <c:ser>
          <c:idx val="6"/>
          <c:order val="6"/>
          <c:tx>
            <c:strRef>
              <c:f>'tester C'!$D$37</c:f>
              <c:strCache>
                <c:ptCount val="1"/>
                <c:pt idx="0">
                  <c:v>940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4F81BD"/>
              </a:solidFill>
            </c:spPr>
          </c:marker>
          <c:xVal>
            <c:numRef>
              <c:f>'tester C'!$C$38:$C$126</c:f>
              <c:numCache>
                <c:formatCode>General</c:formatCode>
                <c:ptCount val="89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C'!$D$38:$D$126</c:f>
              <c:numCache>
                <c:formatCode>0</c:formatCode>
                <c:ptCount val="89"/>
                <c:pt idx="0">
                  <c:v>97.542586447888254</c:v>
                </c:pt>
                <c:pt idx="1">
                  <c:v>80.216154219028553</c:v>
                </c:pt>
                <c:pt idx="2">
                  <c:v>101.03360470245325</c:v>
                </c:pt>
                <c:pt idx="3">
                  <c:v>128.19218932468868</c:v>
                </c:pt>
                <c:pt idx="4">
                  <c:v>294.53088370790732</c:v>
                </c:pt>
                <c:pt idx="5">
                  <c:v>243.39230700401467</c:v>
                </c:pt>
                <c:pt idx="6">
                  <c:v>323.60259368330111</c:v>
                </c:pt>
                <c:pt idx="7">
                  <c:v>120.06624451983592</c:v>
                </c:pt>
                <c:pt idx="8">
                  <c:v>172.48670090030546</c:v>
                </c:pt>
                <c:pt idx="9">
                  <c:v>254.52432416268061</c:v>
                </c:pt>
                <c:pt idx="10">
                  <c:v>278.79584430214737</c:v>
                </c:pt>
                <c:pt idx="11">
                  <c:v>131.61656702574894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7661-48D3-A111-11615B3CA978}"/>
            </c:ext>
          </c:extLst>
        </c:ser>
        <c:ser>
          <c:idx val="7"/>
          <c:order val="7"/>
          <c:tx>
            <c:strRef>
              <c:f>'tester C'!$E$37</c:f>
              <c:strCache>
                <c:ptCount val="1"/>
                <c:pt idx="0">
                  <c:v>970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'tester C'!$C$38:$C$126</c:f>
              <c:numCache>
                <c:formatCode>General</c:formatCode>
                <c:ptCount val="89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C'!$E$38:$E$126</c:f>
              <c:numCache>
                <c:formatCode>0</c:formatCode>
                <c:ptCount val="89"/>
                <c:pt idx="0">
                  <c:v>146.70110524616558</c:v>
                </c:pt>
                <c:pt idx="1">
                  <c:v>139.4385631113976</c:v>
                </c:pt>
                <c:pt idx="2">
                  <c:v>156.34908625410122</c:v>
                </c:pt>
                <c:pt idx="3">
                  <c:v>175.81002746920865</c:v>
                </c:pt>
                <c:pt idx="4">
                  <c:v>238.46230284929933</c:v>
                </c:pt>
                <c:pt idx="5">
                  <c:v>254.29530314583786</c:v>
                </c:pt>
                <c:pt idx="6">
                  <c:v>309.68618678276022</c:v>
                </c:pt>
                <c:pt idx="7">
                  <c:v>145.35481708956473</c:v>
                </c:pt>
                <c:pt idx="8">
                  <c:v>201.02049400645421</c:v>
                </c:pt>
                <c:pt idx="9">
                  <c:v>91.35400070672685</c:v>
                </c:pt>
                <c:pt idx="10">
                  <c:v>208.9394286461532</c:v>
                </c:pt>
                <c:pt idx="11">
                  <c:v>158.58868469233022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7661-48D3-A111-11615B3CA978}"/>
            </c:ext>
          </c:extLst>
        </c:ser>
        <c:ser>
          <c:idx val="8"/>
          <c:order val="8"/>
          <c:tx>
            <c:strRef>
              <c:f>'tester C'!$F$37</c:f>
              <c:strCache>
                <c:ptCount val="1"/>
                <c:pt idx="0">
                  <c:v>1200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C'!$C$38:$C$126</c:f>
              <c:numCache>
                <c:formatCode>General</c:formatCode>
                <c:ptCount val="89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C'!$F$38:$F$126</c:f>
              <c:numCache>
                <c:formatCode>0</c:formatCode>
                <c:ptCount val="89"/>
                <c:pt idx="0">
                  <c:v>136.7205246595058</c:v>
                </c:pt>
                <c:pt idx="1">
                  <c:v>126.51375415024908</c:v>
                </c:pt>
                <c:pt idx="2">
                  <c:v>165.03237410164971</c:v>
                </c:pt>
                <c:pt idx="3">
                  <c:v>171.6993622389711</c:v>
                </c:pt>
                <c:pt idx="4">
                  <c:v>207.58170071634368</c:v>
                </c:pt>
                <c:pt idx="5">
                  <c:v>206.46361799220816</c:v>
                </c:pt>
                <c:pt idx="6">
                  <c:v>272.64855920714461</c:v>
                </c:pt>
                <c:pt idx="7">
                  <c:v>170.01794480548577</c:v>
                </c:pt>
                <c:pt idx="8">
                  <c:v>253.80226791349517</c:v>
                </c:pt>
                <c:pt idx="9">
                  <c:v>34.951711311823644</c:v>
                </c:pt>
                <c:pt idx="10">
                  <c:v>276.86477435937587</c:v>
                </c:pt>
                <c:pt idx="11">
                  <c:v>172.30448095169911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7661-48D3-A111-11615B3CA978}"/>
            </c:ext>
          </c:extLst>
        </c:ser>
        <c:ser>
          <c:idx val="9"/>
          <c:order val="9"/>
          <c:tx>
            <c:strRef>
              <c:f>'tester C'!$G$37</c:f>
              <c:strCache>
                <c:ptCount val="1"/>
                <c:pt idx="0">
                  <c:v>1300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C'!$C$38:$C$74</c:f>
              <c:numCache>
                <c:formatCode>General</c:formatCode>
                <c:ptCount val="37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C'!$G$38:$G$63</c:f>
              <c:numCache>
                <c:formatCode>0</c:formatCode>
                <c:ptCount val="26"/>
                <c:pt idx="0">
                  <c:v>188.16364883389284</c:v>
                </c:pt>
                <c:pt idx="1">
                  <c:v>77.261502506903867</c:v>
                </c:pt>
                <c:pt idx="2">
                  <c:v>113.32341464615784</c:v>
                </c:pt>
                <c:pt idx="3">
                  <c:v>129.75137071600807</c:v>
                </c:pt>
                <c:pt idx="4">
                  <c:v>179.57189012189639</c:v>
                </c:pt>
                <c:pt idx="5">
                  <c:v>377.16890617229751</c:v>
                </c:pt>
                <c:pt idx="6">
                  <c:v>377.16890617229751</c:v>
                </c:pt>
                <c:pt idx="7">
                  <c:v>209.83190308659121</c:v>
                </c:pt>
                <c:pt idx="8">
                  <c:v>189.02210283087845</c:v>
                </c:pt>
                <c:pt idx="9">
                  <c:v>28.55429716967889</c:v>
                </c:pt>
                <c:pt idx="10">
                  <c:v>188.01483366301554</c:v>
                </c:pt>
                <c:pt idx="11">
                  <c:v>168.16722408038203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7661-48D3-A111-11615B3CA978}"/>
            </c:ext>
          </c:extLst>
        </c:ser>
        <c:ser>
          <c:idx val="10"/>
          <c:order val="10"/>
          <c:tx>
            <c:strRef>
              <c:f>'tester C'!$H$37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C'!$C$38:$C$74</c:f>
              <c:numCache>
                <c:formatCode>General</c:formatCode>
                <c:ptCount val="37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C'!$H$38:$H$63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7661-48D3-A111-11615B3CA978}"/>
            </c:ext>
          </c:extLst>
        </c:ser>
        <c:ser>
          <c:idx val="11"/>
          <c:order val="11"/>
          <c:tx>
            <c:strRef>
              <c:f>'tester C'!$I$37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C'!$C$38:$C$74</c:f>
              <c:numCache>
                <c:formatCode>General</c:formatCode>
                <c:ptCount val="37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C'!$I$38:$I$63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7661-48D3-A111-11615B3CA978}"/>
            </c:ext>
          </c:extLst>
        </c:ser>
        <c:ser>
          <c:idx val="12"/>
          <c:order val="12"/>
          <c:tx>
            <c:strRef>
              <c:f>'tester C'!$J$37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C'!$C$38:$C$74</c:f>
              <c:numCache>
                <c:formatCode>General</c:formatCode>
                <c:ptCount val="37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C'!$J$38:$J$63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7661-48D3-A111-11615B3CA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Roche</a:t>
                </a: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 performa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17413387810992"/>
          <c:y val="2.3096714792892357E-2"/>
          <c:w val="0.74767346830669956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2EE-4A38-9355-B159D92ABA4B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52EE-4A38-9355-B159D92ABA4B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52EE-4A38-9355-B159D92ABA4B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2EE-4A38-9355-B159D92ABA4B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09-52EE-4A38-9355-B159D92ABA4B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0B-52EE-4A38-9355-B159D92ABA4B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0D-52EE-4A38-9355-B159D92ABA4B}"/>
              </c:ext>
            </c:extLst>
          </c:dPt>
          <c:dPt>
            <c:idx val="9"/>
            <c:bubble3D val="0"/>
            <c:spPr/>
            <c:extLst>
              <c:ext xmlns:c16="http://schemas.microsoft.com/office/drawing/2014/chart" uri="{C3380CC4-5D6E-409C-BE32-E72D297353CC}">
                <c16:uniqueId val="{0000000F-52EE-4A38-9355-B159D92ABA4B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2EE-4A38-9355-B159D92ABA4B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52EE-4A38-9355-B159D92ABA4B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52EE-4A38-9355-B159D92ABA4B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52EE-4A38-9355-B159D92ABA4B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52EE-4A38-9355-B159D92ABA4B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52EE-4A38-9355-B159D92ABA4B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52EE-4A38-9355-B159D92ABA4B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52EE-4A38-9355-B159D92ABA4B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52EE-4A38-9355-B159D92ABA4B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52EE-4A38-9355-B159D92ABA4B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52EE-4A38-9355-B159D92ABA4B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52EE-4A38-9355-B159D92ABA4B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52EE-4A38-9355-B159D92ABA4B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52EE-4A38-9355-B159D92ABA4B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52EE-4A38-9355-B159D92ABA4B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52EE-4A38-9355-B159D92ABA4B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52EE-4A38-9355-B159D92ABA4B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52EE-4A38-9355-B159D92ABA4B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52EE-4A38-9355-B159D92ABA4B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52EE-4A38-9355-B159D92ABA4B}"/>
            </c:ext>
          </c:extLst>
        </c:ser>
        <c:ser>
          <c:idx val="6"/>
          <c:order val="5"/>
          <c:tx>
            <c:strRef>
              <c:f>'tester A'!$D$37</c:f>
              <c:strCache>
                <c:ptCount val="1"/>
                <c:pt idx="0">
                  <c:v>940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  <c:spPr>
              <a:solidFill>
                <a:srgbClr val="00B0F0"/>
              </a:solidFill>
            </c:spPr>
          </c:marker>
          <c:xVal>
            <c:numRef>
              <c:f>'tester A'!$C$38:$C$126</c:f>
              <c:numCache>
                <c:formatCode>General</c:formatCode>
                <c:ptCount val="89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A'!$D$38:$D$126</c:f>
              <c:numCache>
                <c:formatCode>0</c:formatCode>
                <c:ptCount val="89"/>
                <c:pt idx="0">
                  <c:v>157.14254588727411</c:v>
                </c:pt>
                <c:pt idx="1">
                  <c:v>128.86005310609346</c:v>
                </c:pt>
                <c:pt idx="2">
                  <c:v>246.298594510805</c:v>
                </c:pt>
                <c:pt idx="3">
                  <c:v>303.16295261169091</c:v>
                </c:pt>
                <c:pt idx="4">
                  <c:v>160.53585388413663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52EE-4A38-9355-B159D92ABA4B}"/>
            </c:ext>
          </c:extLst>
        </c:ser>
        <c:ser>
          <c:idx val="7"/>
          <c:order val="6"/>
          <c:tx>
            <c:strRef>
              <c:f>'tester A'!$E$37</c:f>
              <c:strCache>
                <c:ptCount val="1"/>
                <c:pt idx="0">
                  <c:v>970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'tester A'!$C$38:$C$126</c:f>
              <c:numCache>
                <c:formatCode>General</c:formatCode>
                <c:ptCount val="89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A'!$E$38:$E$126</c:f>
              <c:numCache>
                <c:formatCode>0</c:formatCode>
                <c:ptCount val="89"/>
                <c:pt idx="0">
                  <c:v>135.72288734538432</c:v>
                </c:pt>
                <c:pt idx="1">
                  <c:v>137.93052064908017</c:v>
                </c:pt>
                <c:pt idx="2">
                  <c:v>155.29926167316012</c:v>
                </c:pt>
                <c:pt idx="3">
                  <c:v>279.96422934639804</c:v>
                </c:pt>
                <c:pt idx="4">
                  <c:v>287.08310098597735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52EE-4A38-9355-B159D92ABA4B}"/>
            </c:ext>
          </c:extLst>
        </c:ser>
        <c:ser>
          <c:idx val="8"/>
          <c:order val="7"/>
          <c:tx>
            <c:strRef>
              <c:f>'tester A'!$F$37</c:f>
              <c:strCache>
                <c:ptCount val="1"/>
                <c:pt idx="0">
                  <c:v>1200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'tester A'!$C$38:$C$126</c:f>
              <c:numCache>
                <c:formatCode>General</c:formatCode>
                <c:ptCount val="89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A'!$F$38:$F$126</c:f>
              <c:numCache>
                <c:formatCode>0</c:formatCode>
                <c:ptCount val="89"/>
                <c:pt idx="0">
                  <c:v>12.944642702932633</c:v>
                </c:pt>
                <c:pt idx="1">
                  <c:v>58.607024568448594</c:v>
                </c:pt>
                <c:pt idx="2">
                  <c:v>109.79792226473732</c:v>
                </c:pt>
                <c:pt idx="3">
                  <c:v>105.74635428557421</c:v>
                </c:pt>
                <c:pt idx="4">
                  <c:v>708.90405617830743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52EE-4A38-9355-B159D92ABA4B}"/>
            </c:ext>
          </c:extLst>
        </c:ser>
        <c:ser>
          <c:idx val="9"/>
          <c:order val="8"/>
          <c:tx>
            <c:strRef>
              <c:f>'tester A'!$G$37</c:f>
              <c:strCache>
                <c:ptCount val="1"/>
                <c:pt idx="0">
                  <c:v>1300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A'!$C$38:$C$74</c:f>
              <c:numCache>
                <c:formatCode>General</c:formatCode>
                <c:ptCount val="37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A'!$G$38:$G$63</c:f>
              <c:numCache>
                <c:formatCode>0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52EE-4A38-9355-B159D92AB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Roche</a:t>
                </a: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 performa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overlay val="0"/>
      <c:txPr>
        <a:bodyPr/>
        <a:lstStyle/>
        <a:p>
          <a:pPr>
            <a:defRPr sz="1600" b="1">
              <a:latin typeface="Arial" panose="020B0604020202020204" pitchFamily="34" charset="0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17413387810992"/>
          <c:y val="2.3096714792892357E-2"/>
          <c:w val="0.74767346830669956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120-4934-8DDD-0CD0DEC3654E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0120-4934-8DDD-0CD0DEC3654E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0120-4934-8DDD-0CD0DEC3654E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120-4934-8DDD-0CD0DEC3654E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09-0120-4934-8DDD-0CD0DEC3654E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0B-0120-4934-8DDD-0CD0DEC3654E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0D-0120-4934-8DDD-0CD0DEC3654E}"/>
              </c:ext>
            </c:extLst>
          </c:dPt>
          <c:dPt>
            <c:idx val="9"/>
            <c:bubble3D val="0"/>
            <c:spPr/>
            <c:extLst>
              <c:ext xmlns:c16="http://schemas.microsoft.com/office/drawing/2014/chart" uri="{C3380CC4-5D6E-409C-BE32-E72D297353CC}">
                <c16:uniqueId val="{0000000F-0120-4934-8DDD-0CD0DEC3654E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0120-4934-8DDD-0CD0DEC3654E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0120-4934-8DDD-0CD0DEC3654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0120-4934-8DDD-0CD0DEC3654E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0120-4934-8DDD-0CD0DEC3654E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0120-4934-8DDD-0CD0DEC3654E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0120-4934-8DDD-0CD0DEC3654E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0120-4934-8DDD-0CD0DEC3654E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0120-4934-8DDD-0CD0DEC3654E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0120-4934-8DDD-0CD0DEC3654E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0120-4934-8DDD-0CD0DEC3654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0120-4934-8DDD-0CD0DEC3654E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0120-4934-8DDD-0CD0DEC3654E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0120-4934-8DDD-0CD0DEC3654E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0120-4934-8DDD-0CD0DEC3654E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0120-4934-8DDD-0CD0DEC3654E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0120-4934-8DDD-0CD0DEC3654E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0120-4934-8DDD-0CD0DEC3654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0120-4934-8DDD-0CD0DEC3654E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0120-4934-8DDD-0CD0DEC3654E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0120-4934-8DDD-0CD0DEC3654E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xVal>
            <c:numRef>
              <c:f>[1]mgdL!$E$3</c:f>
              <c:numCache>
                <c:formatCode>General</c:formatCode>
                <c:ptCount val="1"/>
              </c:numCache>
            </c:numRef>
          </c:xVal>
          <c:yVal>
            <c:numRef>
              <c:f>[1]mgdL!$N$3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0120-4934-8DDD-0CD0DEC3654E}"/>
            </c:ext>
          </c:extLst>
        </c:ser>
        <c:ser>
          <c:idx val="6"/>
          <c:order val="6"/>
          <c:tx>
            <c:strRef>
              <c:f>'tester A'!$D$37</c:f>
              <c:strCache>
                <c:ptCount val="1"/>
                <c:pt idx="0">
                  <c:v>940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4F81BD"/>
              </a:solidFill>
            </c:spPr>
          </c:marker>
          <c:xVal>
            <c:numRef>
              <c:f>'tester A'!$C$38:$C$126</c:f>
              <c:numCache>
                <c:formatCode>General</c:formatCode>
                <c:ptCount val="89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A'!$D$38:$D$126</c:f>
              <c:numCache>
                <c:formatCode>0</c:formatCode>
                <c:ptCount val="89"/>
                <c:pt idx="0">
                  <c:v>157.14254588727411</c:v>
                </c:pt>
                <c:pt idx="1">
                  <c:v>128.86005310609346</c:v>
                </c:pt>
                <c:pt idx="2">
                  <c:v>246.298594510805</c:v>
                </c:pt>
                <c:pt idx="3">
                  <c:v>303.16295261169091</c:v>
                </c:pt>
                <c:pt idx="4">
                  <c:v>160.53585388413663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0120-4934-8DDD-0CD0DEC3654E}"/>
            </c:ext>
          </c:extLst>
        </c:ser>
        <c:ser>
          <c:idx val="7"/>
          <c:order val="7"/>
          <c:tx>
            <c:strRef>
              <c:f>'tester A'!$E$37</c:f>
              <c:strCache>
                <c:ptCount val="1"/>
                <c:pt idx="0">
                  <c:v>970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'tester A'!$C$38:$C$126</c:f>
              <c:numCache>
                <c:formatCode>General</c:formatCode>
                <c:ptCount val="89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A'!$E$38:$E$126</c:f>
              <c:numCache>
                <c:formatCode>0</c:formatCode>
                <c:ptCount val="89"/>
                <c:pt idx="0">
                  <c:v>135.72288734538432</c:v>
                </c:pt>
                <c:pt idx="1">
                  <c:v>137.93052064908017</c:v>
                </c:pt>
                <c:pt idx="2">
                  <c:v>155.29926167316012</c:v>
                </c:pt>
                <c:pt idx="3">
                  <c:v>279.96422934639804</c:v>
                </c:pt>
                <c:pt idx="4">
                  <c:v>287.08310098597735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0120-4934-8DDD-0CD0DEC3654E}"/>
            </c:ext>
          </c:extLst>
        </c:ser>
        <c:ser>
          <c:idx val="8"/>
          <c:order val="8"/>
          <c:tx>
            <c:strRef>
              <c:f>'tester A'!$F$37</c:f>
              <c:strCache>
                <c:ptCount val="1"/>
                <c:pt idx="0">
                  <c:v>1200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A'!$C$38:$C$126</c:f>
              <c:numCache>
                <c:formatCode>General</c:formatCode>
                <c:ptCount val="89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A'!$F$38:$F$126</c:f>
              <c:numCache>
                <c:formatCode>0</c:formatCode>
                <c:ptCount val="89"/>
                <c:pt idx="0">
                  <c:v>12.944642702932633</c:v>
                </c:pt>
                <c:pt idx="1">
                  <c:v>58.607024568448594</c:v>
                </c:pt>
                <c:pt idx="2">
                  <c:v>109.79792226473732</c:v>
                </c:pt>
                <c:pt idx="3">
                  <c:v>105.74635428557421</c:v>
                </c:pt>
                <c:pt idx="4">
                  <c:v>708.90405617830743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0120-4934-8DDD-0CD0DEC3654E}"/>
            </c:ext>
          </c:extLst>
        </c:ser>
        <c:ser>
          <c:idx val="9"/>
          <c:order val="9"/>
          <c:tx>
            <c:strRef>
              <c:f>'tester A'!$G$37</c:f>
              <c:strCache>
                <c:ptCount val="1"/>
                <c:pt idx="0">
                  <c:v>1300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A'!$C$38:$C$74</c:f>
              <c:numCache>
                <c:formatCode>General</c:formatCode>
                <c:ptCount val="37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A'!$G$38:$G$63</c:f>
              <c:numCache>
                <c:formatCode>0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0120-4934-8DDD-0CD0DEC3654E}"/>
            </c:ext>
          </c:extLst>
        </c:ser>
        <c:ser>
          <c:idx val="10"/>
          <c:order val="10"/>
          <c:tx>
            <c:strRef>
              <c:f>'tester A'!$H$37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A'!$C$38:$C$74</c:f>
              <c:numCache>
                <c:formatCode>General</c:formatCode>
                <c:ptCount val="37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A'!$H$38:$H$63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0120-4934-8DDD-0CD0DEC3654E}"/>
            </c:ext>
          </c:extLst>
        </c:ser>
        <c:ser>
          <c:idx val="11"/>
          <c:order val="11"/>
          <c:tx>
            <c:strRef>
              <c:f>'tester A'!$I$37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A'!$C$38:$C$74</c:f>
              <c:numCache>
                <c:formatCode>General</c:formatCode>
                <c:ptCount val="37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A'!$I$38:$I$63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0120-4934-8DDD-0CD0DEC3654E}"/>
            </c:ext>
          </c:extLst>
        </c:ser>
        <c:ser>
          <c:idx val="12"/>
          <c:order val="12"/>
          <c:tx>
            <c:strRef>
              <c:f>'tester A'!$J$37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A'!$C$38:$C$74</c:f>
              <c:numCache>
                <c:formatCode>General</c:formatCode>
                <c:ptCount val="37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A'!$J$38:$J$63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0120-4934-8DDD-0CD0DEC36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Roche</a:t>
                </a: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 performa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17413387810992"/>
          <c:y val="2.3096714792892357E-2"/>
          <c:w val="0.74767346830669956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8D6-4DFE-96C5-9F55BE11C071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E8D6-4DFE-96C5-9F55BE11C071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E8D6-4DFE-96C5-9F55BE11C071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8D6-4DFE-96C5-9F55BE11C071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09-E8D6-4DFE-96C5-9F55BE11C071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0B-E8D6-4DFE-96C5-9F55BE11C071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0D-E8D6-4DFE-96C5-9F55BE11C071}"/>
              </c:ext>
            </c:extLst>
          </c:dPt>
          <c:dPt>
            <c:idx val="9"/>
            <c:bubble3D val="0"/>
            <c:spPr/>
            <c:extLst>
              <c:ext xmlns:c16="http://schemas.microsoft.com/office/drawing/2014/chart" uri="{C3380CC4-5D6E-409C-BE32-E72D297353CC}">
                <c16:uniqueId val="{0000000F-E8D6-4DFE-96C5-9F55BE11C071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8D6-4DFE-96C5-9F55BE11C071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E8D6-4DFE-96C5-9F55BE11C071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E8D6-4DFE-96C5-9F55BE11C071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E8D6-4DFE-96C5-9F55BE11C071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E8D6-4DFE-96C5-9F55BE11C071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E8D6-4DFE-96C5-9F55BE11C071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E8D6-4DFE-96C5-9F55BE11C071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E8D6-4DFE-96C5-9F55BE11C071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E8D6-4DFE-96C5-9F55BE11C071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E8D6-4DFE-96C5-9F55BE11C071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E8D6-4DFE-96C5-9F55BE11C071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E8D6-4DFE-96C5-9F55BE11C071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E8D6-4DFE-96C5-9F55BE11C071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E8D6-4DFE-96C5-9F55BE11C071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E8D6-4DFE-96C5-9F55BE11C071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E8D6-4DFE-96C5-9F55BE11C071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E8D6-4DFE-96C5-9F55BE11C071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E8D6-4DFE-96C5-9F55BE11C071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E8D6-4DFE-96C5-9F55BE11C071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E8D6-4DFE-96C5-9F55BE11C071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xVal>
            <c:numRef>
              <c:f>[1]mgdL!$E$3</c:f>
              <c:numCache>
                <c:formatCode>General</c:formatCode>
                <c:ptCount val="1"/>
              </c:numCache>
            </c:numRef>
          </c:xVal>
          <c:yVal>
            <c:numRef>
              <c:f>[1]mgdL!$N$3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E8D6-4DFE-96C5-9F55BE11C071}"/>
            </c:ext>
          </c:extLst>
        </c:ser>
        <c:ser>
          <c:idx val="6"/>
          <c:order val="6"/>
          <c:tx>
            <c:strRef>
              <c:f>乘DC!$D$37</c:f>
              <c:strCache>
                <c:ptCount val="1"/>
                <c:pt idx="0">
                  <c:v>RW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4F81BD"/>
              </a:solidFill>
            </c:spPr>
          </c:marker>
          <c:xVal>
            <c:numRef>
              <c:f>乘DC!$C$38:$C$126</c:f>
              <c:numCache>
                <c:formatCode>General</c:formatCode>
                <c:ptCount val="89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乘DC!$D$38:$D$126</c:f>
              <c:numCache>
                <c:formatCode>General</c:formatCode>
                <c:ptCount val="89"/>
                <c:pt idx="0">
                  <c:v>103.62552746723463</c:v>
                </c:pt>
                <c:pt idx="1">
                  <c:v>96.496752710613691</c:v>
                </c:pt>
                <c:pt idx="2">
                  <c:v>132.71487627033957</c:v>
                </c:pt>
                <c:pt idx="3">
                  <c:v>78.467246865961442</c:v>
                </c:pt>
                <c:pt idx="4">
                  <c:v>102.3843406965733</c:v>
                </c:pt>
                <c:pt idx="5">
                  <c:v>91.57375257353624</c:v>
                </c:pt>
                <c:pt idx="6">
                  <c:v>130.31613771205684</c:v>
                </c:pt>
                <c:pt idx="7">
                  <c:v>124.11543829585776</c:v>
                </c:pt>
                <c:pt idx="8">
                  <c:v>114.96226594755763</c:v>
                </c:pt>
                <c:pt idx="9">
                  <c:v>108.99415964159812</c:v>
                </c:pt>
                <c:pt idx="10">
                  <c:v>150.75892375369995</c:v>
                </c:pt>
                <c:pt idx="11">
                  <c:v>86.13156525958982</c:v>
                </c:pt>
                <c:pt idx="12">
                  <c:v>136.63575905499124</c:v>
                </c:pt>
                <c:pt idx="13">
                  <c:v>90.946563200401442</c:v>
                </c:pt>
                <c:pt idx="14">
                  <c:v>311.73858647308225</c:v>
                </c:pt>
                <c:pt idx="15">
                  <c:v>261.32102521709726</c:v>
                </c:pt>
                <c:pt idx="16">
                  <c:v>156.15034738026293</c:v>
                </c:pt>
                <c:pt idx="17">
                  <c:v>200.84675827762817</c:v>
                </c:pt>
                <c:pt idx="18">
                  <c:v>100.81997320194341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E8D6-4DFE-96C5-9F55BE11C071}"/>
            </c:ext>
          </c:extLst>
        </c:ser>
        <c:ser>
          <c:idx val="7"/>
          <c:order val="7"/>
          <c:tx>
            <c:strRef>
              <c:f>乘DC!$E$37</c:f>
              <c:strCache>
                <c:ptCount val="1"/>
                <c:pt idx="0">
                  <c:v>(2)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乘DC!$C$38:$C$126</c:f>
              <c:numCache>
                <c:formatCode>General</c:formatCode>
                <c:ptCount val="89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乘DC!$E$38:$E$126</c:f>
              <c:numCache>
                <c:formatCode>General</c:formatCode>
                <c:ptCount val="89"/>
                <c:pt idx="0">
                  <c:v>103.85252522607593</c:v>
                </c:pt>
                <c:pt idx="1">
                  <c:v>97.645975060457971</c:v>
                </c:pt>
                <c:pt idx="2">
                  <c:v>138.52061277644015</c:v>
                </c:pt>
                <c:pt idx="3">
                  <c:v>108.91302480270809</c:v>
                </c:pt>
                <c:pt idx="4">
                  <c:v>141.5465431058968</c:v>
                </c:pt>
                <c:pt idx="5">
                  <c:v>93.339969311346962</c:v>
                </c:pt>
                <c:pt idx="6">
                  <c:v>133.02904326984111</c:v>
                </c:pt>
                <c:pt idx="7">
                  <c:v>140.97345010552499</c:v>
                </c:pt>
                <c:pt idx="8">
                  <c:v>126.81410064327511</c:v>
                </c:pt>
                <c:pt idx="9">
                  <c:v>108.89224636429086</c:v>
                </c:pt>
                <c:pt idx="10">
                  <c:v>126.33112764212643</c:v>
                </c:pt>
                <c:pt idx="11">
                  <c:v>80.400404686198982</c:v>
                </c:pt>
                <c:pt idx="12">
                  <c:v>117.85249162413695</c:v>
                </c:pt>
                <c:pt idx="13">
                  <c:v>101.4551800178341</c:v>
                </c:pt>
                <c:pt idx="14">
                  <c:v>300.49112527370249</c:v>
                </c:pt>
                <c:pt idx="15">
                  <c:v>276.60607557556267</c:v>
                </c:pt>
                <c:pt idx="16">
                  <c:v>139.21540379417658</c:v>
                </c:pt>
                <c:pt idx="17">
                  <c:v>160.65358464858161</c:v>
                </c:pt>
                <c:pt idx="18">
                  <c:v>82.467116071813507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E8D6-4DFE-96C5-9F55BE11C071}"/>
            </c:ext>
          </c:extLst>
        </c:ser>
        <c:ser>
          <c:idx val="8"/>
          <c:order val="8"/>
          <c:tx>
            <c:strRef>
              <c:f>乘DC!$F$37</c:f>
              <c:strCache>
                <c:ptCount val="1"/>
                <c:pt idx="0">
                  <c:v>(3)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乘DC!$C$38:$C$126</c:f>
              <c:numCache>
                <c:formatCode>General</c:formatCode>
                <c:ptCount val="89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乘DC!$F$38:$F$126</c:f>
              <c:numCache>
                <c:formatCode>General</c:formatCode>
                <c:ptCount val="89"/>
                <c:pt idx="0">
                  <c:v>137.74952203399241</c:v>
                </c:pt>
                <c:pt idx="1">
                  <c:v>106.8767088640931</c:v>
                </c:pt>
                <c:pt idx="2">
                  <c:v>101.76462175728506</c:v>
                </c:pt>
                <c:pt idx="3">
                  <c:v>82.503246879678855</c:v>
                </c:pt>
                <c:pt idx="4">
                  <c:v>91.849667022084603</c:v>
                </c:pt>
                <c:pt idx="5">
                  <c:v>98.599322623768671</c:v>
                </c:pt>
                <c:pt idx="6">
                  <c:v>148.92937976894333</c:v>
                </c:pt>
                <c:pt idx="7">
                  <c:v>143.67858450438862</c:v>
                </c:pt>
                <c:pt idx="8">
                  <c:v>144.3543213490569</c:v>
                </c:pt>
                <c:pt idx="9">
                  <c:v>115.92820008645519</c:v>
                </c:pt>
                <c:pt idx="10">
                  <c:v>104.84908482868771</c:v>
                </c:pt>
                <c:pt idx="11">
                  <c:v>82.584267043693998</c:v>
                </c:pt>
                <c:pt idx="12">
                  <c:v>129.17812340742674</c:v>
                </c:pt>
                <c:pt idx="13">
                  <c:v>91.426830317230952</c:v>
                </c:pt>
                <c:pt idx="14">
                  <c:v>289.20608524226964</c:v>
                </c:pt>
                <c:pt idx="15">
                  <c:v>242.7817414665823</c:v>
                </c:pt>
                <c:pt idx="16">
                  <c:v>140.37530348814155</c:v>
                </c:pt>
                <c:pt idx="17">
                  <c:v>227.74484928201059</c:v>
                </c:pt>
                <c:pt idx="18">
                  <c:v>98.620140034202706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E8D6-4DFE-96C5-9F55BE11C071}"/>
            </c:ext>
          </c:extLst>
        </c:ser>
        <c:ser>
          <c:idx val="9"/>
          <c:order val="9"/>
          <c:tx>
            <c:strRef>
              <c:f>乘DC!$G$37</c:f>
              <c:strCache>
                <c:ptCount val="1"/>
                <c:pt idx="0">
                  <c:v>(4)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乘DC!$C$38:$C$74</c:f>
              <c:numCache>
                <c:formatCode>General</c:formatCode>
                <c:ptCount val="37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乘DC!$G$38:$G$63</c:f>
              <c:numCache>
                <c:formatCode>General</c:formatCode>
                <c:ptCount val="26"/>
                <c:pt idx="0">
                  <c:v>95.519755925093847</c:v>
                </c:pt>
                <c:pt idx="1">
                  <c:v>89.266612852490653</c:v>
                </c:pt>
                <c:pt idx="2">
                  <c:v>162.66026555923236</c:v>
                </c:pt>
                <c:pt idx="3">
                  <c:v>72.122645636206698</c:v>
                </c:pt>
                <c:pt idx="4">
                  <c:v>145.56805314864278</c:v>
                </c:pt>
                <c:pt idx="5">
                  <c:v>117.07021638666356</c:v>
                </c:pt>
                <c:pt idx="6">
                  <c:v>127.46181924146815</c:v>
                </c:pt>
                <c:pt idx="7">
                  <c:v>143.57895627580592</c:v>
                </c:pt>
                <c:pt idx="8">
                  <c:v>131.41132724357294</c:v>
                </c:pt>
                <c:pt idx="9">
                  <c:v>101.24844077034913</c:v>
                </c:pt>
                <c:pt idx="10">
                  <c:v>136.11793376748074</c:v>
                </c:pt>
                <c:pt idx="11">
                  <c:v>98.422590112757348</c:v>
                </c:pt>
                <c:pt idx="12">
                  <c:v>102.01859501454612</c:v>
                </c:pt>
                <c:pt idx="13">
                  <c:v>94.4485736108212</c:v>
                </c:pt>
                <c:pt idx="14">
                  <c:v>313.25778764405339</c:v>
                </c:pt>
                <c:pt idx="15">
                  <c:v>234.92543886369731</c:v>
                </c:pt>
                <c:pt idx="16">
                  <c:v>147.61478249331321</c:v>
                </c:pt>
                <c:pt idx="17">
                  <c:v>141.73121872212005</c:v>
                </c:pt>
                <c:pt idx="18">
                  <c:v>124.55498673170609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E8D6-4DFE-96C5-9F55BE11C071}"/>
            </c:ext>
          </c:extLst>
        </c:ser>
        <c:ser>
          <c:idx val="10"/>
          <c:order val="10"/>
          <c:tx>
            <c:strRef>
              <c:f>乘DC!$H$37</c:f>
              <c:strCache>
                <c:ptCount val="1"/>
                <c:pt idx="0">
                  <c:v>(5)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乘DC!$C$38:$C$74</c:f>
              <c:numCache>
                <c:formatCode>General</c:formatCode>
                <c:ptCount val="37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乘DC!$H$38:$H$63</c:f>
              <c:numCache>
                <c:formatCode>General</c:formatCode>
                <c:ptCount val="26"/>
                <c:pt idx="0">
                  <c:v>103.31927768920575</c:v>
                </c:pt>
                <c:pt idx="1">
                  <c:v>114.51120685574824</c:v>
                </c:pt>
                <c:pt idx="2">
                  <c:v>118.7760699647564</c:v>
                </c:pt>
                <c:pt idx="3">
                  <c:v>145.1540588550547</c:v>
                </c:pt>
                <c:pt idx="4">
                  <c:v>133.94796361183967</c:v>
                </c:pt>
                <c:pt idx="5">
                  <c:v>97.259237405316981</c:v>
                </c:pt>
                <c:pt idx="6">
                  <c:v>123.06469254930369</c:v>
                </c:pt>
                <c:pt idx="7">
                  <c:v>107.03799207953682</c:v>
                </c:pt>
                <c:pt idx="8">
                  <c:v>125.89660838587383</c:v>
                </c:pt>
                <c:pt idx="9">
                  <c:v>104.07590204351754</c:v>
                </c:pt>
                <c:pt idx="10">
                  <c:v>122.36809244153062</c:v>
                </c:pt>
                <c:pt idx="11">
                  <c:v>77.714594351920766</c:v>
                </c:pt>
                <c:pt idx="12">
                  <c:v>129.0544027499372</c:v>
                </c:pt>
                <c:pt idx="13">
                  <c:v>93.813345778329278</c:v>
                </c:pt>
                <c:pt idx="14">
                  <c:v>293.2736932403327</c:v>
                </c:pt>
                <c:pt idx="15">
                  <c:v>260.52603872008694</c:v>
                </c:pt>
                <c:pt idx="16">
                  <c:v>120.38788552892174</c:v>
                </c:pt>
                <c:pt idx="17">
                  <c:v>209.14333957430063</c:v>
                </c:pt>
                <c:pt idx="18">
                  <c:v>99.675598174476818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E8D6-4DFE-96C5-9F55BE11C071}"/>
            </c:ext>
          </c:extLst>
        </c:ser>
        <c:ser>
          <c:idx val="11"/>
          <c:order val="11"/>
          <c:tx>
            <c:strRef>
              <c:f>乘DC!$I$37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乘DC!$C$38:$C$74</c:f>
              <c:numCache>
                <c:formatCode>General</c:formatCode>
                <c:ptCount val="37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乘DC!$I$38:$I$63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E8D6-4DFE-96C5-9F55BE11C071}"/>
            </c:ext>
          </c:extLst>
        </c:ser>
        <c:ser>
          <c:idx val="12"/>
          <c:order val="12"/>
          <c:tx>
            <c:strRef>
              <c:f>乘DC!$J$37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乘DC!$C$38:$C$74</c:f>
              <c:numCache>
                <c:formatCode>General</c:formatCode>
                <c:ptCount val="37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乘DC!$J$38:$J$63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E8D6-4DFE-96C5-9F55BE11C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Roche</a:t>
                </a: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 performa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11"/>
        <c:delete val="1"/>
      </c:legendEntry>
      <c:legendEntry>
        <c:idx val="12"/>
        <c:delete val="1"/>
      </c:legendEntry>
      <c:layout/>
      <c:overlay val="0"/>
      <c:txPr>
        <a:bodyPr/>
        <a:lstStyle/>
        <a:p>
          <a:pPr>
            <a:defRPr sz="1600" b="1">
              <a:latin typeface="Arial" panose="020B0604020202020204" pitchFamily="34" charset="0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17413387810992"/>
          <c:y val="2.3096714792892357E-2"/>
          <c:w val="0.74767346830669956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653-4362-A760-ED29AB49F73E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9653-4362-A760-ED29AB49F73E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9653-4362-A760-ED29AB49F73E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653-4362-A760-ED29AB49F73E}"/>
              </c:ext>
            </c:extLst>
          </c:dPt>
          <c:dPt>
            <c:idx val="6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9653-4362-A760-ED29AB49F73E}"/>
              </c:ext>
            </c:extLst>
          </c:dPt>
          <c:dPt>
            <c:idx val="7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9653-4362-A760-ED29AB49F73E}"/>
              </c:ext>
            </c:extLst>
          </c:dPt>
          <c:dPt>
            <c:idx val="8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9653-4362-A760-ED29AB49F73E}"/>
              </c:ext>
            </c:extLst>
          </c:dPt>
          <c:dPt>
            <c:idx val="9"/>
            <c:bubble3D val="0"/>
            <c:spPr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9653-4362-A760-ED29AB49F73E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9653-4362-A760-ED29AB49F73E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9653-4362-A760-ED29AB49F73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9653-4362-A760-ED29AB49F73E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9653-4362-A760-ED29AB49F73E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9653-4362-A760-ED29AB49F73E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9653-4362-A760-ED29AB49F73E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9653-4362-A760-ED29AB49F73E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9653-4362-A760-ED29AB49F73E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9653-4362-A760-ED29AB49F73E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9653-4362-A760-ED29AB49F73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9653-4362-A760-ED29AB49F73E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9653-4362-A760-ED29AB49F73E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9653-4362-A760-ED29AB49F73E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9653-4362-A760-ED29AB49F73E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9653-4362-A760-ED29AB49F73E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9653-4362-A760-ED29AB49F73E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9653-4362-A760-ED29AB49F73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9653-4362-A760-ED29AB49F73E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9653-4362-A760-ED29AB49F73E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9653-4362-A760-ED29AB49F73E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xVal>
            <c:numRef>
              <c:f>[1]mgdL!$E$3</c:f>
              <c:numCache>
                <c:formatCode>General</c:formatCode>
                <c:ptCount val="1"/>
              </c:numCache>
            </c:numRef>
          </c:xVal>
          <c:yVal>
            <c:numRef>
              <c:f>[1]mgdL!$N$3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9653-4362-A760-ED29AB49F73E}"/>
            </c:ext>
          </c:extLst>
        </c:ser>
        <c:ser>
          <c:idx val="6"/>
          <c:order val="6"/>
          <c:tx>
            <c:strRef>
              <c:f>'28  feature'!$E$37</c:f>
              <c:strCache>
                <c:ptCount val="1"/>
                <c:pt idx="0">
                  <c:v>(1)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4F81BD"/>
              </a:solidFill>
            </c:spPr>
          </c:marker>
          <c:xVal>
            <c:numRef>
              <c:f>'28  feature'!$D$38:$D$500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'28  feature'!$E$38:$E$500</c:f>
              <c:numCache>
                <c:formatCode>General</c:formatCode>
                <c:ptCount val="463"/>
                <c:pt idx="0">
                  <c:v>125.019901119038</c:v>
                </c:pt>
                <c:pt idx="1">
                  <c:v>179.845190681145</c:v>
                </c:pt>
                <c:pt idx="2">
                  <c:v>171.283784954467</c:v>
                </c:pt>
                <c:pt idx="3">
                  <c:v>155.880117055358</c:v>
                </c:pt>
                <c:pt idx="4">
                  <c:v>153.29802039390901</c:v>
                </c:pt>
                <c:pt idx="5">
                  <c:v>167.85979969394799</c:v>
                </c:pt>
                <c:pt idx="6">
                  <c:v>115.684884770595</c:v>
                </c:pt>
                <c:pt idx="7">
                  <c:v>163.74426819586699</c:v>
                </c:pt>
                <c:pt idx="8">
                  <c:v>177.65472623417</c:v>
                </c:pt>
                <c:pt idx="9">
                  <c:v>179.164665138201</c:v>
                </c:pt>
                <c:pt idx="10">
                  <c:v>128.33885423077899</c:v>
                </c:pt>
                <c:pt idx="11">
                  <c:v>101.756163620355</c:v>
                </c:pt>
                <c:pt idx="12">
                  <c:v>114.467688971342</c:v>
                </c:pt>
                <c:pt idx="13">
                  <c:v>134.56503499894001</c:v>
                </c:pt>
                <c:pt idx="14">
                  <c:v>128.05882246550701</c:v>
                </c:pt>
                <c:pt idx="15">
                  <c:v>134.666053352414</c:v>
                </c:pt>
                <c:pt idx="16">
                  <c:v>116.75878439085</c:v>
                </c:pt>
                <c:pt idx="17">
                  <c:v>163.97553377467801</c:v>
                </c:pt>
                <c:pt idx="18">
                  <c:v>139.63304710586701</c:v>
                </c:pt>
                <c:pt idx="19">
                  <c:v>138.49634401968399</c:v>
                </c:pt>
                <c:pt idx="20">
                  <c:v>116.025054159127</c:v>
                </c:pt>
                <c:pt idx="21">
                  <c:v>131.64426807873599</c:v>
                </c:pt>
                <c:pt idx="22">
                  <c:v>112.35177019094</c:v>
                </c:pt>
                <c:pt idx="23">
                  <c:v>110.106148580319</c:v>
                </c:pt>
                <c:pt idx="24">
                  <c:v>218.016212851239</c:v>
                </c:pt>
                <c:pt idx="25">
                  <c:v>259.23760372539402</c:v>
                </c:pt>
                <c:pt idx="26">
                  <c:v>333.66632154713301</c:v>
                </c:pt>
                <c:pt idx="27">
                  <c:v>237.218569243742</c:v>
                </c:pt>
                <c:pt idx="28">
                  <c:v>406.71263008276497</c:v>
                </c:pt>
                <c:pt idx="29">
                  <c:v>95.127297366106703</c:v>
                </c:pt>
                <c:pt idx="30">
                  <c:v>153.81531478595301</c:v>
                </c:pt>
                <c:pt idx="31">
                  <c:v>135.888917008535</c:v>
                </c:pt>
                <c:pt idx="32">
                  <c:v>138.686933194544</c:v>
                </c:pt>
                <c:pt idx="33">
                  <c:v>115.899408463901</c:v>
                </c:pt>
                <c:pt idx="34">
                  <c:v>147.327304369606</c:v>
                </c:pt>
                <c:pt idx="35">
                  <c:v>157.159365408404</c:v>
                </c:pt>
                <c:pt idx="36">
                  <c:v>139.038034967345</c:v>
                </c:pt>
                <c:pt idx="37">
                  <c:v>121.101709967522</c:v>
                </c:pt>
                <c:pt idx="38">
                  <c:v>166.23051171312699</c:v>
                </c:pt>
                <c:pt idx="39">
                  <c:v>166.81490669356899</c:v>
                </c:pt>
                <c:pt idx="40">
                  <c:v>192.03967857900699</c:v>
                </c:pt>
                <c:pt idx="41">
                  <c:v>223.521603344829</c:v>
                </c:pt>
                <c:pt idx="42">
                  <c:v>229.64228661112</c:v>
                </c:pt>
                <c:pt idx="43">
                  <c:v>231.61359416803899</c:v>
                </c:pt>
                <c:pt idx="44">
                  <c:v>240.11531555075101</c:v>
                </c:pt>
                <c:pt idx="45">
                  <c:v>213.626514002931</c:v>
                </c:pt>
                <c:pt idx="46">
                  <c:v>211.40376723511201</c:v>
                </c:pt>
                <c:pt idx="47">
                  <c:v>218.079285827349</c:v>
                </c:pt>
                <c:pt idx="48">
                  <c:v>115.167173632122</c:v>
                </c:pt>
                <c:pt idx="49">
                  <c:v>176.98253943107699</c:v>
                </c:pt>
                <c:pt idx="50">
                  <c:v>181.49816639440601</c:v>
                </c:pt>
                <c:pt idx="51">
                  <c:v>153.95737268919399</c:v>
                </c:pt>
                <c:pt idx="52">
                  <c:v>117.327557915037</c:v>
                </c:pt>
                <c:pt idx="53">
                  <c:v>156.55752655513601</c:v>
                </c:pt>
                <c:pt idx="54">
                  <c:v>188.59426004750301</c:v>
                </c:pt>
                <c:pt idx="55">
                  <c:v>134.99669161972301</c:v>
                </c:pt>
                <c:pt idx="56">
                  <c:v>101.724806004312</c:v>
                </c:pt>
                <c:pt idx="57">
                  <c:v>146.64678405072601</c:v>
                </c:pt>
                <c:pt idx="58">
                  <c:v>156.559091320682</c:v>
                </c:pt>
                <c:pt idx="59">
                  <c:v>131.00117360912699</c:v>
                </c:pt>
                <c:pt idx="60">
                  <c:v>117.537157079134</c:v>
                </c:pt>
                <c:pt idx="61">
                  <c:v>126.483716428866</c:v>
                </c:pt>
                <c:pt idx="62">
                  <c:v>156.02211496713801</c:v>
                </c:pt>
                <c:pt idx="63">
                  <c:v>157.68728685964501</c:v>
                </c:pt>
                <c:pt idx="64">
                  <c:v>229.877680676598</c:v>
                </c:pt>
                <c:pt idx="65">
                  <c:v>224.054896472743</c:v>
                </c:pt>
                <c:pt idx="66">
                  <c:v>225.72285448510499</c:v>
                </c:pt>
                <c:pt idx="67">
                  <c:v>194.316817022598</c:v>
                </c:pt>
                <c:pt idx="68">
                  <c:v>188.23508264068599</c:v>
                </c:pt>
                <c:pt idx="69">
                  <c:v>205.521535505651</c:v>
                </c:pt>
                <c:pt idx="70">
                  <c:v>226.074942323643</c:v>
                </c:pt>
                <c:pt idx="71">
                  <c:v>239.19952612812801</c:v>
                </c:pt>
                <c:pt idx="72">
                  <c:v>216.82185618526199</c:v>
                </c:pt>
                <c:pt idx="73">
                  <c:v>214.316922447488</c:v>
                </c:pt>
                <c:pt idx="74">
                  <c:v>289.52737851584402</c:v>
                </c:pt>
                <c:pt idx="75">
                  <c:v>252.049970748243</c:v>
                </c:pt>
                <c:pt idx="76">
                  <c:v>275.03411533235698</c:v>
                </c:pt>
                <c:pt idx="77">
                  <c:v>207.977204189969</c:v>
                </c:pt>
                <c:pt idx="78">
                  <c:v>206.338653529505</c:v>
                </c:pt>
                <c:pt idx="79">
                  <c:v>223.88043611789601</c:v>
                </c:pt>
                <c:pt idx="80">
                  <c:v>239.123365106042</c:v>
                </c:pt>
                <c:pt idx="81">
                  <c:v>243.12407430700699</c:v>
                </c:pt>
                <c:pt idx="82">
                  <c:v>227.68099179573301</c:v>
                </c:pt>
                <c:pt idx="83">
                  <c:v>247.475134662903</c:v>
                </c:pt>
                <c:pt idx="84">
                  <c:v>238.93168171728399</c:v>
                </c:pt>
                <c:pt idx="85">
                  <c:v>115.266180529655</c:v>
                </c:pt>
                <c:pt idx="86">
                  <c:v>121.442803412309</c:v>
                </c:pt>
                <c:pt idx="87">
                  <c:v>130.37930097387201</c:v>
                </c:pt>
                <c:pt idx="88">
                  <c:v>107.628763195932</c:v>
                </c:pt>
                <c:pt idx="89">
                  <c:v>180.65299029373799</c:v>
                </c:pt>
                <c:pt idx="90">
                  <c:v>126.648521408674</c:v>
                </c:pt>
                <c:pt idx="91">
                  <c:v>145.06600287739201</c:v>
                </c:pt>
                <c:pt idx="92">
                  <c:v>236.58286771351001</c:v>
                </c:pt>
                <c:pt idx="93">
                  <c:v>225.232028351823</c:v>
                </c:pt>
                <c:pt idx="94">
                  <c:v>216.10443343844301</c:v>
                </c:pt>
                <c:pt idx="95">
                  <c:v>241.761285682759</c:v>
                </c:pt>
                <c:pt idx="96">
                  <c:v>227.3149025916</c:v>
                </c:pt>
                <c:pt idx="97">
                  <c:v>233.60312779461299</c:v>
                </c:pt>
                <c:pt idx="98">
                  <c:v>148.18922154158901</c:v>
                </c:pt>
                <c:pt idx="99">
                  <c:v>153.16984658301899</c:v>
                </c:pt>
                <c:pt idx="100">
                  <c:v>146.06592604162199</c:v>
                </c:pt>
                <c:pt idx="101">
                  <c:v>183.28330825181001</c:v>
                </c:pt>
                <c:pt idx="102">
                  <c:v>116.865725514853</c:v>
                </c:pt>
                <c:pt idx="103">
                  <c:v>174.121556945766</c:v>
                </c:pt>
                <c:pt idx="104">
                  <c:v>171.30930988783899</c:v>
                </c:pt>
                <c:pt idx="105">
                  <c:v>115.54053530208699</c:v>
                </c:pt>
                <c:pt idx="106">
                  <c:v>151.77143049118001</c:v>
                </c:pt>
                <c:pt idx="107">
                  <c:v>173.71561581001299</c:v>
                </c:pt>
                <c:pt idx="108">
                  <c:v>174.77314274661299</c:v>
                </c:pt>
                <c:pt idx="109">
                  <c:v>171.376953307717</c:v>
                </c:pt>
                <c:pt idx="110">
                  <c:v>200.13751513677701</c:v>
                </c:pt>
                <c:pt idx="111">
                  <c:v>205.73077097588799</c:v>
                </c:pt>
                <c:pt idx="112">
                  <c:v>152.90610236843699</c:v>
                </c:pt>
                <c:pt idx="113">
                  <c:v>143.53344657268801</c:v>
                </c:pt>
                <c:pt idx="114">
                  <c:v>169.518658902591</c:v>
                </c:pt>
                <c:pt idx="115">
                  <c:v>188.610861319089</c:v>
                </c:pt>
                <c:pt idx="116">
                  <c:v>165.827739367162</c:v>
                </c:pt>
                <c:pt idx="117">
                  <c:v>125.18717238497899</c:v>
                </c:pt>
                <c:pt idx="118">
                  <c:v>170.808277095173</c:v>
                </c:pt>
                <c:pt idx="119">
                  <c:v>121.761981242885</c:v>
                </c:pt>
                <c:pt idx="120">
                  <c:v>106.759737156431</c:v>
                </c:pt>
                <c:pt idx="121">
                  <c:v>117.30156754205601</c:v>
                </c:pt>
                <c:pt idx="122">
                  <c:v>110.211936092564</c:v>
                </c:pt>
                <c:pt idx="123">
                  <c:v>116.185992436185</c:v>
                </c:pt>
                <c:pt idx="124">
                  <c:v>141.105002375498</c:v>
                </c:pt>
                <c:pt idx="125">
                  <c:v>108.778304980792</c:v>
                </c:pt>
                <c:pt idx="126">
                  <c:v>194.45770117035499</c:v>
                </c:pt>
                <c:pt idx="127">
                  <c:v>179.938496797444</c:v>
                </c:pt>
                <c:pt idx="128">
                  <c:v>173.423582852506</c:v>
                </c:pt>
                <c:pt idx="129">
                  <c:v>99.754515481319601</c:v>
                </c:pt>
                <c:pt idx="130">
                  <c:v>170.15435766770401</c:v>
                </c:pt>
                <c:pt idx="131">
                  <c:v>124.362601728077</c:v>
                </c:pt>
                <c:pt idx="132">
                  <c:v>130.762940374256</c:v>
                </c:pt>
                <c:pt idx="133">
                  <c:v>125.626495727771</c:v>
                </c:pt>
                <c:pt idx="134">
                  <c:v>126.57132996980999</c:v>
                </c:pt>
                <c:pt idx="135">
                  <c:v>129.83592722433499</c:v>
                </c:pt>
                <c:pt idx="136">
                  <c:v>99.2710917631683</c:v>
                </c:pt>
                <c:pt idx="137">
                  <c:v>102.16939245660301</c:v>
                </c:pt>
                <c:pt idx="138">
                  <c:v>90.108438498490599</c:v>
                </c:pt>
                <c:pt idx="139">
                  <c:v>104.735284312367</c:v>
                </c:pt>
                <c:pt idx="140">
                  <c:v>113.472704591758</c:v>
                </c:pt>
                <c:pt idx="141">
                  <c:v>115.099637245255</c:v>
                </c:pt>
                <c:pt idx="142">
                  <c:v>110.861988560051</c:v>
                </c:pt>
                <c:pt idx="143">
                  <c:v>118.797849304712</c:v>
                </c:pt>
                <c:pt idx="144">
                  <c:v>121.508244389271</c:v>
                </c:pt>
                <c:pt idx="145">
                  <c:v>109.68093645612301</c:v>
                </c:pt>
                <c:pt idx="146">
                  <c:v>121.47372451375399</c:v>
                </c:pt>
                <c:pt idx="147">
                  <c:v>114.635902141499</c:v>
                </c:pt>
                <c:pt idx="148">
                  <c:v>118.62609775660999</c:v>
                </c:pt>
                <c:pt idx="149">
                  <c:v>107.505001416158</c:v>
                </c:pt>
                <c:pt idx="150">
                  <c:v>108.939428740723</c:v>
                </c:pt>
                <c:pt idx="151">
                  <c:v>139.285420626476</c:v>
                </c:pt>
                <c:pt idx="152">
                  <c:v>129.38254686459999</c:v>
                </c:pt>
                <c:pt idx="153">
                  <c:v>109.882259873276</c:v>
                </c:pt>
                <c:pt idx="154">
                  <c:v>165.73590513960599</c:v>
                </c:pt>
                <c:pt idx="155">
                  <c:v>128.85518092190401</c:v>
                </c:pt>
                <c:pt idx="156">
                  <c:v>115.275112585101</c:v>
                </c:pt>
                <c:pt idx="157">
                  <c:v>107.74130791552</c:v>
                </c:pt>
                <c:pt idx="158">
                  <c:v>111.414688350809</c:v>
                </c:pt>
                <c:pt idx="159">
                  <c:v>118.121553375918</c:v>
                </c:pt>
                <c:pt idx="160">
                  <c:v>110.910984558013</c:v>
                </c:pt>
                <c:pt idx="161">
                  <c:v>112.337640368097</c:v>
                </c:pt>
                <c:pt idx="162">
                  <c:v>112.989554038604</c:v>
                </c:pt>
                <c:pt idx="163">
                  <c:v>121.515197169285</c:v>
                </c:pt>
                <c:pt idx="164">
                  <c:v>125.531736494002</c:v>
                </c:pt>
                <c:pt idx="165">
                  <c:v>118.62420327004401</c:v>
                </c:pt>
                <c:pt idx="166">
                  <c:v>88.5850238197701</c:v>
                </c:pt>
                <c:pt idx="167">
                  <c:v>107.719868591538</c:v>
                </c:pt>
                <c:pt idx="168">
                  <c:v>122.482277391823</c:v>
                </c:pt>
                <c:pt idx="169">
                  <c:v>124.69763421787</c:v>
                </c:pt>
                <c:pt idx="170">
                  <c:v>116.537873071359</c:v>
                </c:pt>
                <c:pt idx="171">
                  <c:v>121.74305428174</c:v>
                </c:pt>
                <c:pt idx="172">
                  <c:v>110.569757801655</c:v>
                </c:pt>
                <c:pt idx="173">
                  <c:v>136.237177845801</c:v>
                </c:pt>
                <c:pt idx="174">
                  <c:v>113.241612719144</c:v>
                </c:pt>
                <c:pt idx="175">
                  <c:v>132.110681163295</c:v>
                </c:pt>
                <c:pt idx="176">
                  <c:v>136.835404711416</c:v>
                </c:pt>
                <c:pt idx="177">
                  <c:v>105.287691921107</c:v>
                </c:pt>
                <c:pt idx="178">
                  <c:v>101.4243081131</c:v>
                </c:pt>
                <c:pt idx="179">
                  <c:v>116.762759070139</c:v>
                </c:pt>
                <c:pt idx="180">
                  <c:v>129.99057477966701</c:v>
                </c:pt>
                <c:pt idx="181">
                  <c:v>104.299642770825</c:v>
                </c:pt>
                <c:pt idx="182">
                  <c:v>111.935804948669</c:v>
                </c:pt>
                <c:pt idx="183">
                  <c:v>158.65423182383699</c:v>
                </c:pt>
                <c:pt idx="184">
                  <c:v>166.769832852836</c:v>
                </c:pt>
                <c:pt idx="185">
                  <c:v>119.82780350101</c:v>
                </c:pt>
                <c:pt idx="186">
                  <c:v>105.609839743892</c:v>
                </c:pt>
                <c:pt idx="187">
                  <c:v>120.41237919151401</c:v>
                </c:pt>
                <c:pt idx="188">
                  <c:v>114.87298720990201</c:v>
                </c:pt>
                <c:pt idx="189">
                  <c:v>88.583567852773299</c:v>
                </c:pt>
                <c:pt idx="190">
                  <c:v>127.447396252077</c:v>
                </c:pt>
                <c:pt idx="191">
                  <c:v>129.02374818082001</c:v>
                </c:pt>
                <c:pt idx="192">
                  <c:v>123.587910565898</c:v>
                </c:pt>
                <c:pt idx="193">
                  <c:v>115.613327720672</c:v>
                </c:pt>
                <c:pt idx="194">
                  <c:v>166.97061373911299</c:v>
                </c:pt>
                <c:pt idx="195">
                  <c:v>122.757921021776</c:v>
                </c:pt>
                <c:pt idx="196">
                  <c:v>155.66025150469</c:v>
                </c:pt>
                <c:pt idx="197">
                  <c:v>116.797043388562</c:v>
                </c:pt>
                <c:pt idx="198">
                  <c:v>113.88753495747</c:v>
                </c:pt>
                <c:pt idx="199">
                  <c:v>117.644234269156</c:v>
                </c:pt>
                <c:pt idx="200">
                  <c:v>101.218075138286</c:v>
                </c:pt>
                <c:pt idx="201">
                  <c:v>103.783672584219</c:v>
                </c:pt>
                <c:pt idx="202">
                  <c:v>105.089202612585</c:v>
                </c:pt>
                <c:pt idx="203">
                  <c:v>103.326355560965</c:v>
                </c:pt>
                <c:pt idx="204">
                  <c:v>94.542674539923198</c:v>
                </c:pt>
                <c:pt idx="205">
                  <c:v>111.028677366526</c:v>
                </c:pt>
                <c:pt idx="206">
                  <c:v>117.949158926336</c:v>
                </c:pt>
                <c:pt idx="207">
                  <c:v>97.142993261424706</c:v>
                </c:pt>
                <c:pt idx="208">
                  <c:v>111.256852731451</c:v>
                </c:pt>
                <c:pt idx="209">
                  <c:v>114.766663982284</c:v>
                </c:pt>
                <c:pt idx="210">
                  <c:v>118.598483435343</c:v>
                </c:pt>
                <c:pt idx="211">
                  <c:v>109.455024630555</c:v>
                </c:pt>
                <c:pt idx="212">
                  <c:v>105.138472177564</c:v>
                </c:pt>
                <c:pt idx="213">
                  <c:v>113.930955337272</c:v>
                </c:pt>
                <c:pt idx="214">
                  <c:v>119.45796106205199</c:v>
                </c:pt>
                <c:pt idx="215">
                  <c:v>107.972634596121</c:v>
                </c:pt>
                <c:pt idx="216">
                  <c:v>102.100520238379</c:v>
                </c:pt>
                <c:pt idx="217">
                  <c:v>112.515524548825</c:v>
                </c:pt>
                <c:pt idx="218">
                  <c:v>128.96873094384199</c:v>
                </c:pt>
                <c:pt idx="219">
                  <c:v>116.908820941564</c:v>
                </c:pt>
                <c:pt idx="220">
                  <c:v>103.167301387728</c:v>
                </c:pt>
                <c:pt idx="221">
                  <c:v>148.26105591450801</c:v>
                </c:pt>
                <c:pt idx="222">
                  <c:v>140.30726253922401</c:v>
                </c:pt>
                <c:pt idx="223">
                  <c:v>108.965767822831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9653-4362-A760-ED29AB49F73E}"/>
            </c:ext>
          </c:extLst>
        </c:ser>
        <c:ser>
          <c:idx val="7"/>
          <c:order val="7"/>
          <c:tx>
            <c:strRef>
              <c:f>'28  feature'!$F$37</c:f>
              <c:strCache>
                <c:ptCount val="1"/>
                <c:pt idx="0">
                  <c:v>(2)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'28  feature'!$D$38:$D$500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'28  feature'!$F$38:$F$500</c:f>
              <c:numCache>
                <c:formatCode>General</c:formatCode>
                <c:ptCount val="463"/>
                <c:pt idx="1">
                  <c:v>179.845190681145</c:v>
                </c:pt>
                <c:pt idx="2">
                  <c:v>171.283784954467</c:v>
                </c:pt>
                <c:pt idx="4">
                  <c:v>153.29802039390901</c:v>
                </c:pt>
                <c:pt idx="7">
                  <c:v>163.74426819586699</c:v>
                </c:pt>
                <c:pt idx="8">
                  <c:v>177.65472623417</c:v>
                </c:pt>
                <c:pt idx="11">
                  <c:v>101.756163620355</c:v>
                </c:pt>
                <c:pt idx="12">
                  <c:v>114.467688971342</c:v>
                </c:pt>
                <c:pt idx="17">
                  <c:v>163.97553377467801</c:v>
                </c:pt>
                <c:pt idx="18">
                  <c:v>139.63304710586701</c:v>
                </c:pt>
                <c:pt idx="21">
                  <c:v>131.64426807873599</c:v>
                </c:pt>
                <c:pt idx="22">
                  <c:v>112.35177019094</c:v>
                </c:pt>
                <c:pt idx="23">
                  <c:v>110.106148580319</c:v>
                </c:pt>
                <c:pt idx="24">
                  <c:v>218.016212851239</c:v>
                </c:pt>
                <c:pt idx="25">
                  <c:v>259.23760372539402</c:v>
                </c:pt>
                <c:pt idx="27">
                  <c:v>237.218569243742</c:v>
                </c:pt>
                <c:pt idx="28">
                  <c:v>406.71263008276497</c:v>
                </c:pt>
                <c:pt idx="29">
                  <c:v>95.127297366106703</c:v>
                </c:pt>
                <c:pt idx="30">
                  <c:v>153.81531478595301</c:v>
                </c:pt>
                <c:pt idx="31">
                  <c:v>135.888917008535</c:v>
                </c:pt>
                <c:pt idx="32">
                  <c:v>138.686933194544</c:v>
                </c:pt>
                <c:pt idx="33">
                  <c:v>115.899408463901</c:v>
                </c:pt>
                <c:pt idx="34">
                  <c:v>147.327304369606</c:v>
                </c:pt>
                <c:pt idx="38">
                  <c:v>166.23051171312699</c:v>
                </c:pt>
                <c:pt idx="42">
                  <c:v>229.64228661112</c:v>
                </c:pt>
                <c:pt idx="43">
                  <c:v>231.61359416803899</c:v>
                </c:pt>
                <c:pt idx="44">
                  <c:v>240.11531555075101</c:v>
                </c:pt>
                <c:pt idx="46">
                  <c:v>211.40376723511201</c:v>
                </c:pt>
                <c:pt idx="48">
                  <c:v>115.167173632122</c:v>
                </c:pt>
                <c:pt idx="53">
                  <c:v>156.55752655513601</c:v>
                </c:pt>
                <c:pt idx="54">
                  <c:v>188.59426004750301</c:v>
                </c:pt>
                <c:pt idx="55">
                  <c:v>134.99669161972301</c:v>
                </c:pt>
                <c:pt idx="57">
                  <c:v>146.64678405072601</c:v>
                </c:pt>
                <c:pt idx="61">
                  <c:v>126.483716428866</c:v>
                </c:pt>
                <c:pt idx="62">
                  <c:v>156.02211496713801</c:v>
                </c:pt>
                <c:pt idx="68">
                  <c:v>188.23508264068599</c:v>
                </c:pt>
                <c:pt idx="69">
                  <c:v>205.521535505651</c:v>
                </c:pt>
                <c:pt idx="70">
                  <c:v>226.074942323643</c:v>
                </c:pt>
                <c:pt idx="71">
                  <c:v>239.19952612812801</c:v>
                </c:pt>
                <c:pt idx="72">
                  <c:v>216.82185618526199</c:v>
                </c:pt>
                <c:pt idx="73">
                  <c:v>214.316922447488</c:v>
                </c:pt>
                <c:pt idx="74">
                  <c:v>289.52737851584402</c:v>
                </c:pt>
                <c:pt idx="75">
                  <c:v>252.049970748243</c:v>
                </c:pt>
                <c:pt idx="76">
                  <c:v>275.03411533235698</c:v>
                </c:pt>
                <c:pt idx="77">
                  <c:v>207.977204189969</c:v>
                </c:pt>
                <c:pt idx="79">
                  <c:v>223.88043611789601</c:v>
                </c:pt>
                <c:pt idx="80">
                  <c:v>239.123365106042</c:v>
                </c:pt>
                <c:pt idx="82">
                  <c:v>227.68099179573301</c:v>
                </c:pt>
                <c:pt idx="83">
                  <c:v>247.475134662903</c:v>
                </c:pt>
                <c:pt idx="86">
                  <c:v>121.442803412309</c:v>
                </c:pt>
                <c:pt idx="90">
                  <c:v>126.648521408674</c:v>
                </c:pt>
                <c:pt idx="92">
                  <c:v>236.58286771351001</c:v>
                </c:pt>
                <c:pt idx="93">
                  <c:v>225.232028351823</c:v>
                </c:pt>
                <c:pt idx="95">
                  <c:v>241.761285682759</c:v>
                </c:pt>
                <c:pt idx="96">
                  <c:v>227.3149025916</c:v>
                </c:pt>
                <c:pt idx="98">
                  <c:v>148.18922154158901</c:v>
                </c:pt>
                <c:pt idx="99">
                  <c:v>153.16984658301899</c:v>
                </c:pt>
                <c:pt idx="100">
                  <c:v>146.06592604162199</c:v>
                </c:pt>
                <c:pt idx="101">
                  <c:v>183.28330825181001</c:v>
                </c:pt>
                <c:pt idx="103">
                  <c:v>174.121556945766</c:v>
                </c:pt>
                <c:pt idx="104">
                  <c:v>171.30930988783899</c:v>
                </c:pt>
                <c:pt idx="105">
                  <c:v>115.54053530208699</c:v>
                </c:pt>
                <c:pt idx="107">
                  <c:v>173.71561581001299</c:v>
                </c:pt>
                <c:pt idx="109">
                  <c:v>171.376953307717</c:v>
                </c:pt>
                <c:pt idx="114">
                  <c:v>169.518658902591</c:v>
                </c:pt>
                <c:pt idx="117">
                  <c:v>125.18717238497899</c:v>
                </c:pt>
                <c:pt idx="118">
                  <c:v>170.808277095173</c:v>
                </c:pt>
                <c:pt idx="120">
                  <c:v>106.759737156431</c:v>
                </c:pt>
                <c:pt idx="122">
                  <c:v>110.211936092564</c:v>
                </c:pt>
                <c:pt idx="123">
                  <c:v>116.185992436185</c:v>
                </c:pt>
                <c:pt idx="125">
                  <c:v>108.778304980792</c:v>
                </c:pt>
                <c:pt idx="126">
                  <c:v>194.45770117035499</c:v>
                </c:pt>
                <c:pt idx="127">
                  <c:v>179.938496797444</c:v>
                </c:pt>
                <c:pt idx="128">
                  <c:v>173.423582852506</c:v>
                </c:pt>
                <c:pt idx="129">
                  <c:v>99.754515481319601</c:v>
                </c:pt>
                <c:pt idx="130">
                  <c:v>170.15435766770401</c:v>
                </c:pt>
                <c:pt idx="131">
                  <c:v>124.362601728077</c:v>
                </c:pt>
                <c:pt idx="133">
                  <c:v>125.626495727771</c:v>
                </c:pt>
                <c:pt idx="135">
                  <c:v>129.83592722433499</c:v>
                </c:pt>
                <c:pt idx="136">
                  <c:v>99.2710917631683</c:v>
                </c:pt>
                <c:pt idx="137">
                  <c:v>102.16939245660301</c:v>
                </c:pt>
                <c:pt idx="138">
                  <c:v>90.108438498490599</c:v>
                </c:pt>
                <c:pt idx="139">
                  <c:v>104.735284312367</c:v>
                </c:pt>
                <c:pt idx="140">
                  <c:v>113.472704591758</c:v>
                </c:pt>
                <c:pt idx="143">
                  <c:v>118.797849304712</c:v>
                </c:pt>
                <c:pt idx="146">
                  <c:v>121.47372451375399</c:v>
                </c:pt>
                <c:pt idx="147">
                  <c:v>114.635902141499</c:v>
                </c:pt>
                <c:pt idx="148">
                  <c:v>118.62609775660999</c:v>
                </c:pt>
                <c:pt idx="154">
                  <c:v>165.73590513960599</c:v>
                </c:pt>
                <c:pt idx="155">
                  <c:v>128.85518092190401</c:v>
                </c:pt>
                <c:pt idx="156">
                  <c:v>115.275112585101</c:v>
                </c:pt>
                <c:pt idx="159">
                  <c:v>118.121553375918</c:v>
                </c:pt>
                <c:pt idx="160">
                  <c:v>110.910984558013</c:v>
                </c:pt>
                <c:pt idx="161">
                  <c:v>112.337640368097</c:v>
                </c:pt>
                <c:pt idx="163">
                  <c:v>121.515197169285</c:v>
                </c:pt>
                <c:pt idx="164">
                  <c:v>125.531736494002</c:v>
                </c:pt>
                <c:pt idx="165">
                  <c:v>118.62420327004401</c:v>
                </c:pt>
                <c:pt idx="166">
                  <c:v>88.5850238197701</c:v>
                </c:pt>
                <c:pt idx="168">
                  <c:v>122.482277391823</c:v>
                </c:pt>
                <c:pt idx="169">
                  <c:v>124.69763421787</c:v>
                </c:pt>
                <c:pt idx="170">
                  <c:v>116.537873071359</c:v>
                </c:pt>
                <c:pt idx="172">
                  <c:v>110.569757801655</c:v>
                </c:pt>
                <c:pt idx="173">
                  <c:v>136.237177845801</c:v>
                </c:pt>
                <c:pt idx="174">
                  <c:v>113.241612719144</c:v>
                </c:pt>
                <c:pt idx="175">
                  <c:v>132.110681163295</c:v>
                </c:pt>
                <c:pt idx="176">
                  <c:v>136.835404711416</c:v>
                </c:pt>
                <c:pt idx="177">
                  <c:v>105.287691921107</c:v>
                </c:pt>
                <c:pt idx="178">
                  <c:v>101.4243081131</c:v>
                </c:pt>
                <c:pt idx="179">
                  <c:v>116.762759070139</c:v>
                </c:pt>
                <c:pt idx="180">
                  <c:v>129.99057477966701</c:v>
                </c:pt>
                <c:pt idx="181">
                  <c:v>104.299642770825</c:v>
                </c:pt>
                <c:pt idx="185">
                  <c:v>119.82780350101</c:v>
                </c:pt>
                <c:pt idx="186">
                  <c:v>105.609839743892</c:v>
                </c:pt>
                <c:pt idx="189">
                  <c:v>88.583567852773299</c:v>
                </c:pt>
                <c:pt idx="190">
                  <c:v>127.447396252077</c:v>
                </c:pt>
                <c:pt idx="191">
                  <c:v>129.02374818082001</c:v>
                </c:pt>
                <c:pt idx="192">
                  <c:v>123.587910565898</c:v>
                </c:pt>
                <c:pt idx="195">
                  <c:v>122.757921021776</c:v>
                </c:pt>
                <c:pt idx="198">
                  <c:v>113.88753495747</c:v>
                </c:pt>
                <c:pt idx="200">
                  <c:v>101.218075138286</c:v>
                </c:pt>
                <c:pt idx="202">
                  <c:v>105.089202612585</c:v>
                </c:pt>
                <c:pt idx="204">
                  <c:v>94.542674539923198</c:v>
                </c:pt>
                <c:pt idx="205">
                  <c:v>111.028677366526</c:v>
                </c:pt>
                <c:pt idx="206">
                  <c:v>117.949158926336</c:v>
                </c:pt>
                <c:pt idx="207">
                  <c:v>97.142993261424706</c:v>
                </c:pt>
                <c:pt idx="210">
                  <c:v>118.598483435343</c:v>
                </c:pt>
                <c:pt idx="211">
                  <c:v>109.455024630555</c:v>
                </c:pt>
                <c:pt idx="213">
                  <c:v>113.930955337272</c:v>
                </c:pt>
                <c:pt idx="214">
                  <c:v>119.45796106205199</c:v>
                </c:pt>
                <c:pt idx="215">
                  <c:v>107.972634596121</c:v>
                </c:pt>
                <c:pt idx="217">
                  <c:v>112.515524548825</c:v>
                </c:pt>
                <c:pt idx="218">
                  <c:v>128.96873094384199</c:v>
                </c:pt>
                <c:pt idx="219">
                  <c:v>116.908820941564</c:v>
                </c:pt>
                <c:pt idx="220">
                  <c:v>103.167301387728</c:v>
                </c:pt>
                <c:pt idx="221">
                  <c:v>148.26105591450801</c:v>
                </c:pt>
                <c:pt idx="222">
                  <c:v>140.30726253922401</c:v>
                </c:pt>
                <c:pt idx="223">
                  <c:v>108.965767822831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9653-4362-A760-ED29AB49F73E}"/>
            </c:ext>
          </c:extLst>
        </c:ser>
        <c:ser>
          <c:idx val="8"/>
          <c:order val="8"/>
          <c:tx>
            <c:strRef>
              <c:f>'28  feature'!$G$37</c:f>
              <c:strCache>
                <c:ptCount val="1"/>
                <c:pt idx="0">
                  <c:v>(3)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'28  feature'!$D$38:$D$500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'28  feature'!$G$38:$G$500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9653-4362-A760-ED29AB49F73E}"/>
            </c:ext>
          </c:extLst>
        </c:ser>
        <c:ser>
          <c:idx val="9"/>
          <c:order val="9"/>
          <c:tx>
            <c:strRef>
              <c:f>'28  feature'!$H$37</c:f>
              <c:strCache>
                <c:ptCount val="1"/>
                <c:pt idx="0">
                  <c:v>(4)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'28  feature'!$D$38:$D$500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'28  feature'!$H$38:$H$500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9653-4362-A760-ED29AB49F73E}"/>
            </c:ext>
          </c:extLst>
        </c:ser>
        <c:ser>
          <c:idx val="10"/>
          <c:order val="10"/>
          <c:tx>
            <c:strRef>
              <c:f>'28  feature'!$I$37</c:f>
              <c:strCache>
                <c:ptCount val="1"/>
                <c:pt idx="0">
                  <c:v>(5)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'28  feature'!$D$38:$D$500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'28  feature'!$I$38:$I$500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9653-4362-A760-ED29AB49F73E}"/>
            </c:ext>
          </c:extLst>
        </c:ser>
        <c:ser>
          <c:idx val="11"/>
          <c:order val="11"/>
          <c:tx>
            <c:strRef>
              <c:f>'28  feature'!$J$37</c:f>
              <c:strCache>
                <c:ptCount val="1"/>
                <c:pt idx="0">
                  <c:v>(6)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'28  feature'!$D$38:$D$500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'28  feature'!$J$38:$J$500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9653-4362-A760-ED29AB49F73E}"/>
            </c:ext>
          </c:extLst>
        </c:ser>
        <c:ser>
          <c:idx val="12"/>
          <c:order val="12"/>
          <c:tx>
            <c:strRef>
              <c:f>'28  feature'!$K$37</c:f>
              <c:strCache>
                <c:ptCount val="1"/>
                <c:pt idx="0">
                  <c:v>(7)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'28  feature'!$D$38:$D$500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'28  feature'!$K$38:$K$500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9653-4362-A760-ED29AB49F73E}"/>
            </c:ext>
          </c:extLst>
        </c:ser>
        <c:ser>
          <c:idx val="13"/>
          <c:order val="13"/>
          <c:tx>
            <c:strRef>
              <c:f>'28  feature'!$L$37</c:f>
              <c:strCache>
                <c:ptCount val="1"/>
                <c:pt idx="0">
                  <c:v>(8)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'28  feature'!$D$38:$D$500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'28  feature'!$L$38:$L$500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9653-4362-A760-ED29AB49F73E}"/>
            </c:ext>
          </c:extLst>
        </c:ser>
        <c:ser>
          <c:idx val="14"/>
          <c:order val="14"/>
          <c:tx>
            <c:strRef>
              <c:f>'28  feature'!$M$37</c:f>
              <c:strCache>
                <c:ptCount val="1"/>
                <c:pt idx="0">
                  <c:v>(9)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'28  feature'!$D$38:$D$500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'28  feature'!$M$38:$M$500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9653-4362-A760-ED29AB49F73E}"/>
            </c:ext>
          </c:extLst>
        </c:ser>
        <c:ser>
          <c:idx val="15"/>
          <c:order val="15"/>
          <c:tx>
            <c:strRef>
              <c:f>'28  feature'!$N$37</c:f>
              <c:strCache>
                <c:ptCount val="1"/>
                <c:pt idx="0">
                  <c:v>(10)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'28  feature'!$D$38:$D$500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'28  feature'!$N$38:$N$500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9653-4362-A760-ED29AB49F73E}"/>
            </c:ext>
          </c:extLst>
        </c:ser>
        <c:ser>
          <c:idx val="16"/>
          <c:order val="16"/>
          <c:tx>
            <c:strRef>
              <c:f>'28  feature'!$O$37</c:f>
              <c:strCache>
                <c:ptCount val="1"/>
                <c:pt idx="0">
                  <c:v>(11)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'28  feature'!$D$38:$D$500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'28  feature'!$O$38:$O$500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9653-4362-A760-ED29AB49F73E}"/>
            </c:ext>
          </c:extLst>
        </c:ser>
        <c:ser>
          <c:idx val="17"/>
          <c:order val="17"/>
          <c:tx>
            <c:strRef>
              <c:f>'28  feature'!$P$37</c:f>
              <c:strCache>
                <c:ptCount val="1"/>
                <c:pt idx="0">
                  <c:v>(12)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'28  feature'!$D$38:$D$500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'28  feature'!$P$38:$P$500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9653-4362-A760-ED29AB49F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Commercial Glucose Meter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17413387810992"/>
          <c:y val="2.3096714792892357E-2"/>
          <c:w val="0.74767346830669956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EC5-4A45-8106-C967FE50C14F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0EC5-4A45-8106-C967FE50C14F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0EC5-4A45-8106-C967FE50C14F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EC5-4A45-8106-C967FE50C14F}"/>
              </c:ext>
            </c:extLst>
          </c:dPt>
          <c:dPt>
            <c:idx val="6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0EC5-4A45-8106-C967FE50C14F}"/>
              </c:ext>
            </c:extLst>
          </c:dPt>
          <c:dPt>
            <c:idx val="7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0EC5-4A45-8106-C967FE50C14F}"/>
              </c:ext>
            </c:extLst>
          </c:dPt>
          <c:dPt>
            <c:idx val="8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0EC5-4A45-8106-C967FE50C14F}"/>
              </c:ext>
            </c:extLst>
          </c:dPt>
          <c:dPt>
            <c:idx val="9"/>
            <c:bubble3D val="0"/>
            <c:spPr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0EC5-4A45-8106-C967FE50C14F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0EC5-4A45-8106-C967FE50C14F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0EC5-4A45-8106-C967FE50C14F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0EC5-4A45-8106-C967FE50C14F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0EC5-4A45-8106-C967FE50C14F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0EC5-4A45-8106-C967FE50C14F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0EC5-4A45-8106-C967FE50C14F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0EC5-4A45-8106-C967FE50C14F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0EC5-4A45-8106-C967FE50C14F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0EC5-4A45-8106-C967FE50C14F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0EC5-4A45-8106-C967FE50C14F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0EC5-4A45-8106-C967FE50C14F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0EC5-4A45-8106-C967FE50C14F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0EC5-4A45-8106-C967FE50C14F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0EC5-4A45-8106-C967FE50C14F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0EC5-4A45-8106-C967FE50C14F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0EC5-4A45-8106-C967FE50C14F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0EC5-4A45-8106-C967FE50C14F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0EC5-4A45-8106-C967FE50C14F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0EC5-4A45-8106-C967FE50C14F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0EC5-4A45-8106-C967FE50C14F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xVal>
            <c:numRef>
              <c:f>[1]mgdL!$E$3</c:f>
              <c:numCache>
                <c:formatCode>General</c:formatCode>
                <c:ptCount val="1"/>
              </c:numCache>
            </c:numRef>
          </c:xVal>
          <c:yVal>
            <c:numRef>
              <c:f>[1]mgdL!$N$3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0EC5-4A45-8106-C967FE50C14F}"/>
            </c:ext>
          </c:extLst>
        </c:ser>
        <c:ser>
          <c:idx val="6"/>
          <c:order val="6"/>
          <c:tx>
            <c:strRef>
              <c:f>'24  feature'!$E$37</c:f>
              <c:strCache>
                <c:ptCount val="1"/>
                <c:pt idx="0">
                  <c:v>(1)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4F81BD"/>
              </a:solidFill>
            </c:spPr>
          </c:marker>
          <c:xVal>
            <c:numRef>
              <c:f>'24  feature'!$D$38:$D$500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'24  feature'!$E$38:$E$500</c:f>
              <c:numCache>
                <c:formatCode>General</c:formatCode>
                <c:ptCount val="463"/>
                <c:pt idx="0">
                  <c:v>87.880569669737298</c:v>
                </c:pt>
                <c:pt idx="1">
                  <c:v>122.47586132001</c:v>
                </c:pt>
                <c:pt idx="2">
                  <c:v>120.065214838739</c:v>
                </c:pt>
                <c:pt idx="3">
                  <c:v>109.639368438837</c:v>
                </c:pt>
                <c:pt idx="4">
                  <c:v>118.678545967497</c:v>
                </c:pt>
                <c:pt idx="5">
                  <c:v>110.72226477243601</c:v>
                </c:pt>
                <c:pt idx="6">
                  <c:v>86.899589617131497</c:v>
                </c:pt>
                <c:pt idx="7">
                  <c:v>114.038813582925</c:v>
                </c:pt>
                <c:pt idx="8">
                  <c:v>127.242872682879</c:v>
                </c:pt>
                <c:pt idx="9">
                  <c:v>135.03237674082601</c:v>
                </c:pt>
                <c:pt idx="10">
                  <c:v>99.518877871485202</c:v>
                </c:pt>
                <c:pt idx="11">
                  <c:v>82.488314913990095</c:v>
                </c:pt>
                <c:pt idx="12">
                  <c:v>80.501158057539698</c:v>
                </c:pt>
                <c:pt idx="13">
                  <c:v>96.588782772549195</c:v>
                </c:pt>
                <c:pt idx="14">
                  <c:v>89.252038964463097</c:v>
                </c:pt>
                <c:pt idx="15">
                  <c:v>95.510448110907305</c:v>
                </c:pt>
                <c:pt idx="16">
                  <c:v>88.537575430226696</c:v>
                </c:pt>
                <c:pt idx="17">
                  <c:v>126.54110266217501</c:v>
                </c:pt>
                <c:pt idx="18">
                  <c:v>104.50186458927401</c:v>
                </c:pt>
                <c:pt idx="19">
                  <c:v>98.708464784187299</c:v>
                </c:pt>
                <c:pt idx="20">
                  <c:v>88.189138083627498</c:v>
                </c:pt>
                <c:pt idx="21">
                  <c:v>107.95393625157899</c:v>
                </c:pt>
                <c:pt idx="22">
                  <c:v>80.215537813342493</c:v>
                </c:pt>
                <c:pt idx="23">
                  <c:v>83.372894753464394</c:v>
                </c:pt>
                <c:pt idx="24">
                  <c:v>166.736009555972</c:v>
                </c:pt>
                <c:pt idx="25">
                  <c:v>222.581438219848</c:v>
                </c:pt>
                <c:pt idx="26">
                  <c:v>252.34156193860099</c:v>
                </c:pt>
                <c:pt idx="27">
                  <c:v>196.997948625135</c:v>
                </c:pt>
                <c:pt idx="28">
                  <c:v>319.240556655972</c:v>
                </c:pt>
                <c:pt idx="29">
                  <c:v>85.510635331624997</c:v>
                </c:pt>
                <c:pt idx="30">
                  <c:v>122.917384168624</c:v>
                </c:pt>
                <c:pt idx="31">
                  <c:v>119.328178752027</c:v>
                </c:pt>
                <c:pt idx="32">
                  <c:v>117.01545989333999</c:v>
                </c:pt>
                <c:pt idx="33">
                  <c:v>96.756456129761602</c:v>
                </c:pt>
                <c:pt idx="34">
                  <c:v>110.471348079102</c:v>
                </c:pt>
                <c:pt idx="35">
                  <c:v>104.17092634979301</c:v>
                </c:pt>
                <c:pt idx="36">
                  <c:v>118.665086103013</c:v>
                </c:pt>
                <c:pt idx="37">
                  <c:v>100.080338099606</c:v>
                </c:pt>
                <c:pt idx="38">
                  <c:v>124.847116246098</c:v>
                </c:pt>
                <c:pt idx="39">
                  <c:v>127.277305886633</c:v>
                </c:pt>
                <c:pt idx="40">
                  <c:v>134.23000534442099</c:v>
                </c:pt>
                <c:pt idx="41">
                  <c:v>179.09948527051699</c:v>
                </c:pt>
                <c:pt idx="42">
                  <c:v>172.02857128478999</c:v>
                </c:pt>
                <c:pt idx="43">
                  <c:v>175.86873662655799</c:v>
                </c:pt>
                <c:pt idx="44">
                  <c:v>194.16836770937201</c:v>
                </c:pt>
                <c:pt idx="45">
                  <c:v>153.69957696133901</c:v>
                </c:pt>
                <c:pt idx="46">
                  <c:v>147.2308787149</c:v>
                </c:pt>
                <c:pt idx="47">
                  <c:v>158.06272039007899</c:v>
                </c:pt>
                <c:pt idx="48">
                  <c:v>92.580798220120599</c:v>
                </c:pt>
                <c:pt idx="49">
                  <c:v>121.38572223875499</c:v>
                </c:pt>
                <c:pt idx="50">
                  <c:v>124.432896463099</c:v>
                </c:pt>
                <c:pt idx="51">
                  <c:v>107.228868409127</c:v>
                </c:pt>
                <c:pt idx="52">
                  <c:v>92.854687433675593</c:v>
                </c:pt>
                <c:pt idx="53">
                  <c:v>128.696005341633</c:v>
                </c:pt>
                <c:pt idx="54">
                  <c:v>154.293241623016</c:v>
                </c:pt>
                <c:pt idx="55">
                  <c:v>100.352735693542</c:v>
                </c:pt>
                <c:pt idx="56">
                  <c:v>95.053665568872802</c:v>
                </c:pt>
                <c:pt idx="57">
                  <c:v>115.29867628635699</c:v>
                </c:pt>
                <c:pt idx="58">
                  <c:v>121.166338931128</c:v>
                </c:pt>
                <c:pt idx="59">
                  <c:v>104.861188592964</c:v>
                </c:pt>
                <c:pt idx="60">
                  <c:v>100.13445744516901</c:v>
                </c:pt>
                <c:pt idx="61">
                  <c:v>103.828889003535</c:v>
                </c:pt>
                <c:pt idx="62">
                  <c:v>117.59697315606</c:v>
                </c:pt>
                <c:pt idx="63">
                  <c:v>119.122426900608</c:v>
                </c:pt>
                <c:pt idx="64">
                  <c:v>150.51696067236699</c:v>
                </c:pt>
                <c:pt idx="65">
                  <c:v>158.71656499313499</c:v>
                </c:pt>
                <c:pt idx="66">
                  <c:v>145.70156886396401</c:v>
                </c:pt>
                <c:pt idx="67">
                  <c:v>143.26151567669399</c:v>
                </c:pt>
                <c:pt idx="68">
                  <c:v>149.25411427978301</c:v>
                </c:pt>
                <c:pt idx="69">
                  <c:v>166.97699754521801</c:v>
                </c:pt>
                <c:pt idx="70">
                  <c:v>177.92047498387399</c:v>
                </c:pt>
                <c:pt idx="71">
                  <c:v>170.45794216605401</c:v>
                </c:pt>
                <c:pt idx="72">
                  <c:v>161.04866039347701</c:v>
                </c:pt>
                <c:pt idx="73">
                  <c:v>162.220111469187</c:v>
                </c:pt>
                <c:pt idx="74">
                  <c:v>216.72325966589199</c:v>
                </c:pt>
                <c:pt idx="75">
                  <c:v>208.18075727334801</c:v>
                </c:pt>
                <c:pt idx="76">
                  <c:v>227.02017388433001</c:v>
                </c:pt>
                <c:pt idx="77">
                  <c:v>142.55413973885999</c:v>
                </c:pt>
                <c:pt idx="78">
                  <c:v>134.00472351688899</c:v>
                </c:pt>
                <c:pt idx="79">
                  <c:v>176.26124715740701</c:v>
                </c:pt>
                <c:pt idx="80">
                  <c:v>254.64639966436499</c:v>
                </c:pt>
                <c:pt idx="81">
                  <c:v>247.89204086433301</c:v>
                </c:pt>
                <c:pt idx="82">
                  <c:v>195.901779480155</c:v>
                </c:pt>
                <c:pt idx="83">
                  <c:v>195.122333819049</c:v>
                </c:pt>
                <c:pt idx="84">
                  <c:v>180.644191158909</c:v>
                </c:pt>
                <c:pt idx="85">
                  <c:v>99.117729923311998</c:v>
                </c:pt>
                <c:pt idx="86">
                  <c:v>88.993977218954299</c:v>
                </c:pt>
                <c:pt idx="87">
                  <c:v>79.575217992085598</c:v>
                </c:pt>
                <c:pt idx="88">
                  <c:v>78.043447102510697</c:v>
                </c:pt>
                <c:pt idx="89">
                  <c:v>123.14503470066199</c:v>
                </c:pt>
                <c:pt idx="90">
                  <c:v>105.027824665173</c:v>
                </c:pt>
                <c:pt idx="91">
                  <c:v>114.31025207804301</c:v>
                </c:pt>
                <c:pt idx="92">
                  <c:v>195.42319688177699</c:v>
                </c:pt>
                <c:pt idx="93">
                  <c:v>171.82063206909001</c:v>
                </c:pt>
                <c:pt idx="94">
                  <c:v>172.53693737689599</c:v>
                </c:pt>
                <c:pt idx="95">
                  <c:v>174.54606694230199</c:v>
                </c:pt>
                <c:pt idx="96">
                  <c:v>209.869626903615</c:v>
                </c:pt>
                <c:pt idx="97">
                  <c:v>207.09856759425301</c:v>
                </c:pt>
                <c:pt idx="98">
                  <c:v>119.33481640268</c:v>
                </c:pt>
                <c:pt idx="99">
                  <c:v>121.081981564386</c:v>
                </c:pt>
                <c:pt idx="100">
                  <c:v>99.585685933647099</c:v>
                </c:pt>
                <c:pt idx="101">
                  <c:v>146.30898301512599</c:v>
                </c:pt>
                <c:pt idx="102">
                  <c:v>89.4121211413065</c:v>
                </c:pt>
                <c:pt idx="103">
                  <c:v>125.797056820957</c:v>
                </c:pt>
                <c:pt idx="104">
                  <c:v>127.486775534693</c:v>
                </c:pt>
                <c:pt idx="105">
                  <c:v>94.007051034378193</c:v>
                </c:pt>
                <c:pt idx="106">
                  <c:v>112.883709003173</c:v>
                </c:pt>
                <c:pt idx="107">
                  <c:v>134.52056321488001</c:v>
                </c:pt>
                <c:pt idx="108">
                  <c:v>138.52124754865599</c:v>
                </c:pt>
                <c:pt idx="109">
                  <c:v>133.77243784408799</c:v>
                </c:pt>
                <c:pt idx="110">
                  <c:v>162.78558240339601</c:v>
                </c:pt>
                <c:pt idx="111">
                  <c:v>153.51030137689199</c:v>
                </c:pt>
                <c:pt idx="112">
                  <c:v>118.533680661959</c:v>
                </c:pt>
                <c:pt idx="113">
                  <c:v>108.22482866193801</c:v>
                </c:pt>
                <c:pt idx="114">
                  <c:v>127.448170971734</c:v>
                </c:pt>
                <c:pt idx="115">
                  <c:v>135.590525282893</c:v>
                </c:pt>
                <c:pt idx="116">
                  <c:v>125.706429938371</c:v>
                </c:pt>
                <c:pt idx="117">
                  <c:v>100.68283665842</c:v>
                </c:pt>
                <c:pt idx="118">
                  <c:v>121.872951174113</c:v>
                </c:pt>
                <c:pt idx="119">
                  <c:v>92.005595581596594</c:v>
                </c:pt>
                <c:pt idx="120">
                  <c:v>84.857258432025105</c:v>
                </c:pt>
                <c:pt idx="121">
                  <c:v>95.594388106859299</c:v>
                </c:pt>
                <c:pt idx="122">
                  <c:v>93.285581127187299</c:v>
                </c:pt>
                <c:pt idx="123">
                  <c:v>103.35567467978601</c:v>
                </c:pt>
                <c:pt idx="124">
                  <c:v>107.335863883014</c:v>
                </c:pt>
                <c:pt idx="125">
                  <c:v>80.342702256028801</c:v>
                </c:pt>
                <c:pt idx="126">
                  <c:v>122.773593601923</c:v>
                </c:pt>
                <c:pt idx="127">
                  <c:v>131.55556861589099</c:v>
                </c:pt>
                <c:pt idx="128">
                  <c:v>129.23674950068801</c:v>
                </c:pt>
                <c:pt idx="129">
                  <c:v>85.3468780841729</c:v>
                </c:pt>
                <c:pt idx="130">
                  <c:v>136.355467858927</c:v>
                </c:pt>
                <c:pt idx="131">
                  <c:v>96.906701046383404</c:v>
                </c:pt>
                <c:pt idx="132">
                  <c:v>102.706721192343</c:v>
                </c:pt>
                <c:pt idx="133">
                  <c:v>95.681925509178896</c:v>
                </c:pt>
                <c:pt idx="134">
                  <c:v>103.109721934584</c:v>
                </c:pt>
                <c:pt idx="135">
                  <c:v>92.058362373621804</c:v>
                </c:pt>
                <c:pt idx="136">
                  <c:v>71.049212199109306</c:v>
                </c:pt>
                <c:pt idx="137">
                  <c:v>65.067202937667204</c:v>
                </c:pt>
                <c:pt idx="138">
                  <c:v>66.558089775177606</c:v>
                </c:pt>
                <c:pt idx="139">
                  <c:v>70.473613684393399</c:v>
                </c:pt>
                <c:pt idx="140">
                  <c:v>80.331690413774496</c:v>
                </c:pt>
                <c:pt idx="141">
                  <c:v>94.463448552403705</c:v>
                </c:pt>
                <c:pt idx="142">
                  <c:v>90.799269385645601</c:v>
                </c:pt>
                <c:pt idx="143">
                  <c:v>109.69276428023301</c:v>
                </c:pt>
                <c:pt idx="144">
                  <c:v>101.356416681209</c:v>
                </c:pt>
                <c:pt idx="145">
                  <c:v>85.545489841048294</c:v>
                </c:pt>
                <c:pt idx="146">
                  <c:v>103.325831200609</c:v>
                </c:pt>
                <c:pt idx="147">
                  <c:v>89.981578495716704</c:v>
                </c:pt>
                <c:pt idx="148">
                  <c:v>97.870737320531305</c:v>
                </c:pt>
                <c:pt idx="149">
                  <c:v>76.868165214832203</c:v>
                </c:pt>
                <c:pt idx="150">
                  <c:v>88.255106689730397</c:v>
                </c:pt>
                <c:pt idx="151">
                  <c:v>125.06625684792</c:v>
                </c:pt>
                <c:pt idx="152">
                  <c:v>105.180155185092</c:v>
                </c:pt>
                <c:pt idx="153">
                  <c:v>87.2512698228132</c:v>
                </c:pt>
                <c:pt idx="154">
                  <c:v>122.31953611327801</c:v>
                </c:pt>
                <c:pt idx="155">
                  <c:v>117.824529633762</c:v>
                </c:pt>
                <c:pt idx="156">
                  <c:v>77.968698927651005</c:v>
                </c:pt>
                <c:pt idx="157">
                  <c:v>71.903511630667595</c:v>
                </c:pt>
                <c:pt idx="158">
                  <c:v>70.345006481415993</c:v>
                </c:pt>
                <c:pt idx="159">
                  <c:v>83.414901025796794</c:v>
                </c:pt>
                <c:pt idx="160">
                  <c:v>83.308777234578798</c:v>
                </c:pt>
                <c:pt idx="161">
                  <c:v>80.729711091528699</c:v>
                </c:pt>
                <c:pt idx="162">
                  <c:v>87.335033557207197</c:v>
                </c:pt>
                <c:pt idx="163">
                  <c:v>95.387424388095894</c:v>
                </c:pt>
                <c:pt idx="164">
                  <c:v>108.29739141242899</c:v>
                </c:pt>
                <c:pt idx="165">
                  <c:v>94.011355247326307</c:v>
                </c:pt>
                <c:pt idx="166">
                  <c:v>60.545793251522298</c:v>
                </c:pt>
                <c:pt idx="167">
                  <c:v>71.298495265871694</c:v>
                </c:pt>
                <c:pt idx="168">
                  <c:v>100.891729866606</c:v>
                </c:pt>
                <c:pt idx="169">
                  <c:v>120.532977680567</c:v>
                </c:pt>
                <c:pt idx="170">
                  <c:v>97.773912500995493</c:v>
                </c:pt>
                <c:pt idx="171">
                  <c:v>72.867594545981206</c:v>
                </c:pt>
                <c:pt idx="172">
                  <c:v>97.842375281250895</c:v>
                </c:pt>
                <c:pt idx="173">
                  <c:v>126.79125367648</c:v>
                </c:pt>
                <c:pt idx="174">
                  <c:v>79.563213101661205</c:v>
                </c:pt>
                <c:pt idx="175">
                  <c:v>115.260041105303</c:v>
                </c:pt>
                <c:pt idx="176">
                  <c:v>108.75481062595399</c:v>
                </c:pt>
                <c:pt idx="177">
                  <c:v>74.189898442273304</c:v>
                </c:pt>
                <c:pt idx="178">
                  <c:v>76.5192447489502</c:v>
                </c:pt>
                <c:pt idx="179">
                  <c:v>86.564711788917606</c:v>
                </c:pt>
                <c:pt idx="180">
                  <c:v>117.504244509228</c:v>
                </c:pt>
                <c:pt idx="181">
                  <c:v>83.964094360789105</c:v>
                </c:pt>
                <c:pt idx="182">
                  <c:v>89.763599276259299</c:v>
                </c:pt>
                <c:pt idx="183">
                  <c:v>127.383026444289</c:v>
                </c:pt>
                <c:pt idx="184">
                  <c:v>127.808251039512</c:v>
                </c:pt>
                <c:pt idx="185">
                  <c:v>76.714895478068797</c:v>
                </c:pt>
                <c:pt idx="186">
                  <c:v>83.420128262813606</c:v>
                </c:pt>
                <c:pt idx="187">
                  <c:v>87.532516971219707</c:v>
                </c:pt>
                <c:pt idx="188">
                  <c:v>76.187495967435893</c:v>
                </c:pt>
                <c:pt idx="189">
                  <c:v>70.349800871303202</c:v>
                </c:pt>
                <c:pt idx="190">
                  <c:v>94.935032901547899</c:v>
                </c:pt>
                <c:pt idx="191">
                  <c:v>110.25520330489201</c:v>
                </c:pt>
                <c:pt idx="192">
                  <c:v>107.03671455292501</c:v>
                </c:pt>
                <c:pt idx="193">
                  <c:v>79.585513381267305</c:v>
                </c:pt>
                <c:pt idx="194">
                  <c:v>123.451965649773</c:v>
                </c:pt>
                <c:pt idx="195">
                  <c:v>106.56177308123</c:v>
                </c:pt>
                <c:pt idx="196">
                  <c:v>121.155869254976</c:v>
                </c:pt>
                <c:pt idx="197">
                  <c:v>76.153441627236603</c:v>
                </c:pt>
                <c:pt idx="198">
                  <c:v>102.27716468619199</c:v>
                </c:pt>
                <c:pt idx="199">
                  <c:v>90.711820152098696</c:v>
                </c:pt>
                <c:pt idx="200">
                  <c:v>82.276400481192894</c:v>
                </c:pt>
                <c:pt idx="201">
                  <c:v>69.3142113098653</c:v>
                </c:pt>
                <c:pt idx="202">
                  <c:v>77.939635011682995</c:v>
                </c:pt>
                <c:pt idx="203">
                  <c:v>72.533790329059499</c:v>
                </c:pt>
                <c:pt idx="204">
                  <c:v>82.945220483612601</c:v>
                </c:pt>
                <c:pt idx="205">
                  <c:v>73.120188314792003</c:v>
                </c:pt>
                <c:pt idx="206">
                  <c:v>96.671186385361693</c:v>
                </c:pt>
                <c:pt idx="207">
                  <c:v>73.289920292988398</c:v>
                </c:pt>
                <c:pt idx="208">
                  <c:v>69.465531282310906</c:v>
                </c:pt>
                <c:pt idx="209">
                  <c:v>118.600311628619</c:v>
                </c:pt>
                <c:pt idx="210">
                  <c:v>109.304729098492</c:v>
                </c:pt>
                <c:pt idx="211">
                  <c:v>79.741694088933798</c:v>
                </c:pt>
                <c:pt idx="212">
                  <c:v>75.393219392824705</c:v>
                </c:pt>
                <c:pt idx="213">
                  <c:v>82.269357324456607</c:v>
                </c:pt>
                <c:pt idx="214">
                  <c:v>84.252680742127893</c:v>
                </c:pt>
                <c:pt idx="215">
                  <c:v>70.361436029233502</c:v>
                </c:pt>
                <c:pt idx="216">
                  <c:v>86.055110172243204</c:v>
                </c:pt>
                <c:pt idx="217">
                  <c:v>91.241336953863694</c:v>
                </c:pt>
                <c:pt idx="218">
                  <c:v>117.32043469864399</c:v>
                </c:pt>
                <c:pt idx="219">
                  <c:v>89.6264749086249</c:v>
                </c:pt>
                <c:pt idx="220">
                  <c:v>76.525073819608096</c:v>
                </c:pt>
                <c:pt idx="221">
                  <c:v>119.151506360135</c:v>
                </c:pt>
                <c:pt idx="222">
                  <c:v>108.227381367967</c:v>
                </c:pt>
                <c:pt idx="223">
                  <c:v>82.0519916617951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0EC5-4A45-8106-C967FE50C14F}"/>
            </c:ext>
          </c:extLst>
        </c:ser>
        <c:ser>
          <c:idx val="7"/>
          <c:order val="7"/>
          <c:tx>
            <c:strRef>
              <c:f>'24  feature'!$F$37</c:f>
              <c:strCache>
                <c:ptCount val="1"/>
                <c:pt idx="0">
                  <c:v>(2)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'24  feature'!$D$38:$D$500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'24  feature'!$F$38:$F$500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0EC5-4A45-8106-C967FE50C14F}"/>
            </c:ext>
          </c:extLst>
        </c:ser>
        <c:ser>
          <c:idx val="8"/>
          <c:order val="8"/>
          <c:tx>
            <c:strRef>
              <c:f>'24  feature'!$G$37</c:f>
              <c:strCache>
                <c:ptCount val="1"/>
                <c:pt idx="0">
                  <c:v>(3)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'24  feature'!$D$38:$D$500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'24  feature'!$G$38:$G$500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0EC5-4A45-8106-C967FE50C14F}"/>
            </c:ext>
          </c:extLst>
        </c:ser>
        <c:ser>
          <c:idx val="9"/>
          <c:order val="9"/>
          <c:tx>
            <c:strRef>
              <c:f>'24  feature'!$H$37</c:f>
              <c:strCache>
                <c:ptCount val="1"/>
                <c:pt idx="0">
                  <c:v>(4)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'24  feature'!$D$38:$D$500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'24  feature'!$H$38:$H$500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0EC5-4A45-8106-C967FE50C14F}"/>
            </c:ext>
          </c:extLst>
        </c:ser>
        <c:ser>
          <c:idx val="10"/>
          <c:order val="10"/>
          <c:tx>
            <c:strRef>
              <c:f>'24  feature'!$I$37</c:f>
              <c:strCache>
                <c:ptCount val="1"/>
                <c:pt idx="0">
                  <c:v>(5)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'24  feature'!$D$38:$D$500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'24  feature'!$I$38:$I$500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0EC5-4A45-8106-C967FE50C14F}"/>
            </c:ext>
          </c:extLst>
        </c:ser>
        <c:ser>
          <c:idx val="11"/>
          <c:order val="11"/>
          <c:tx>
            <c:strRef>
              <c:f>'24  feature'!$J$37</c:f>
              <c:strCache>
                <c:ptCount val="1"/>
                <c:pt idx="0">
                  <c:v>(6)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'24  feature'!$D$38:$D$500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'24  feature'!$J$38:$J$500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0EC5-4A45-8106-C967FE50C14F}"/>
            </c:ext>
          </c:extLst>
        </c:ser>
        <c:ser>
          <c:idx val="12"/>
          <c:order val="12"/>
          <c:tx>
            <c:strRef>
              <c:f>'24  feature'!$K$37</c:f>
              <c:strCache>
                <c:ptCount val="1"/>
                <c:pt idx="0">
                  <c:v>(7)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'24  feature'!$D$38:$D$500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'24  feature'!$K$38:$K$500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0EC5-4A45-8106-C967FE50C14F}"/>
            </c:ext>
          </c:extLst>
        </c:ser>
        <c:ser>
          <c:idx val="13"/>
          <c:order val="13"/>
          <c:tx>
            <c:strRef>
              <c:f>'24  feature'!$L$37</c:f>
              <c:strCache>
                <c:ptCount val="1"/>
                <c:pt idx="0">
                  <c:v>(8)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'24  feature'!$D$38:$D$500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'24  feature'!$L$38:$L$500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0EC5-4A45-8106-C967FE50C14F}"/>
            </c:ext>
          </c:extLst>
        </c:ser>
        <c:ser>
          <c:idx val="14"/>
          <c:order val="14"/>
          <c:tx>
            <c:strRef>
              <c:f>'24  feature'!$M$37</c:f>
              <c:strCache>
                <c:ptCount val="1"/>
                <c:pt idx="0">
                  <c:v>(9)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'24  feature'!$D$38:$D$500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'24  feature'!$M$38:$M$500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0EC5-4A45-8106-C967FE50C14F}"/>
            </c:ext>
          </c:extLst>
        </c:ser>
        <c:ser>
          <c:idx val="15"/>
          <c:order val="15"/>
          <c:tx>
            <c:strRef>
              <c:f>'24  feature'!$N$37</c:f>
              <c:strCache>
                <c:ptCount val="1"/>
                <c:pt idx="0">
                  <c:v>(10)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'24  feature'!$D$38:$D$500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'24  feature'!$N$38:$N$500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0EC5-4A45-8106-C967FE50C14F}"/>
            </c:ext>
          </c:extLst>
        </c:ser>
        <c:ser>
          <c:idx val="16"/>
          <c:order val="16"/>
          <c:tx>
            <c:strRef>
              <c:f>'24  feature'!$O$37</c:f>
              <c:strCache>
                <c:ptCount val="1"/>
                <c:pt idx="0">
                  <c:v>(11)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'24  feature'!$D$38:$D$500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'24  feature'!$O$38:$O$500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0EC5-4A45-8106-C967FE50C14F}"/>
            </c:ext>
          </c:extLst>
        </c:ser>
        <c:ser>
          <c:idx val="17"/>
          <c:order val="17"/>
          <c:tx>
            <c:strRef>
              <c:f>'24  feature'!$P$37</c:f>
              <c:strCache>
                <c:ptCount val="1"/>
                <c:pt idx="0">
                  <c:v>(12)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'24  feature'!$D$38:$D$500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'24  feature'!$P$38:$P$500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0EC5-4A45-8106-C967FE50C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Commercial Glucose Meter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17413387810992"/>
          <c:y val="2.3096714792892357E-2"/>
          <c:w val="0.74767346830669956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D84-4E4D-A9E5-BEF40A58DECF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DD84-4E4D-A9E5-BEF40A58DECF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DD84-4E4D-A9E5-BEF40A58DECF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D84-4E4D-A9E5-BEF40A58DECF}"/>
              </c:ext>
            </c:extLst>
          </c:dPt>
          <c:dPt>
            <c:idx val="6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DD84-4E4D-A9E5-BEF40A58DECF}"/>
              </c:ext>
            </c:extLst>
          </c:dPt>
          <c:dPt>
            <c:idx val="7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DD84-4E4D-A9E5-BEF40A58DECF}"/>
              </c:ext>
            </c:extLst>
          </c:dPt>
          <c:dPt>
            <c:idx val="8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DD84-4E4D-A9E5-BEF40A58DECF}"/>
              </c:ext>
            </c:extLst>
          </c:dPt>
          <c:dPt>
            <c:idx val="9"/>
            <c:bubble3D val="0"/>
            <c:spPr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DD84-4E4D-A9E5-BEF40A58DECF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DD84-4E4D-A9E5-BEF40A58DECF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DD84-4E4D-A9E5-BEF40A58DECF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DD84-4E4D-A9E5-BEF40A58DECF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DD84-4E4D-A9E5-BEF40A58DECF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DD84-4E4D-A9E5-BEF40A58DECF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DD84-4E4D-A9E5-BEF40A58DECF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DD84-4E4D-A9E5-BEF40A58DECF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DD84-4E4D-A9E5-BEF40A58DECF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DD84-4E4D-A9E5-BEF40A58DECF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DD84-4E4D-A9E5-BEF40A58DECF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DD84-4E4D-A9E5-BEF40A58DECF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DD84-4E4D-A9E5-BEF40A58DECF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DD84-4E4D-A9E5-BEF40A58DECF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DD84-4E4D-A9E5-BEF40A58DECF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DD84-4E4D-A9E5-BEF40A58DECF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DD84-4E4D-A9E5-BEF40A58DECF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DD84-4E4D-A9E5-BEF40A58DECF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DD84-4E4D-A9E5-BEF40A58DECF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DD84-4E4D-A9E5-BEF40A58DECF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DD84-4E4D-A9E5-BEF40A58DECF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xVal>
            <c:numRef>
              <c:f>[1]mgdL!$E$3</c:f>
              <c:numCache>
                <c:formatCode>General</c:formatCode>
                <c:ptCount val="1"/>
              </c:numCache>
            </c:numRef>
          </c:xVal>
          <c:yVal>
            <c:numRef>
              <c:f>[1]mgdL!$N$3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DD84-4E4D-A9E5-BEF40A58DECF}"/>
            </c:ext>
          </c:extLst>
        </c:ser>
        <c:ser>
          <c:idx val="6"/>
          <c:order val="6"/>
          <c:tx>
            <c:strRef>
              <c:f>'20  feature'!$E$37</c:f>
              <c:strCache>
                <c:ptCount val="1"/>
                <c:pt idx="0">
                  <c:v>(1)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4F81BD"/>
              </a:solidFill>
            </c:spPr>
          </c:marker>
          <c:xVal>
            <c:numRef>
              <c:f>'20  feature'!$D$38:$D$500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'20  feature'!$E$38:$E$500</c:f>
              <c:numCache>
                <c:formatCode>General</c:formatCode>
                <c:ptCount val="463"/>
                <c:pt idx="0">
                  <c:v>97.783315047971797</c:v>
                </c:pt>
                <c:pt idx="1">
                  <c:v>116.490950841132</c:v>
                </c:pt>
                <c:pt idx="2">
                  <c:v>116.169469418117</c:v>
                </c:pt>
                <c:pt idx="3">
                  <c:v>108.47812109165901</c:v>
                </c:pt>
                <c:pt idx="4">
                  <c:v>102.578963152892</c:v>
                </c:pt>
                <c:pt idx="5">
                  <c:v>121.33765343050401</c:v>
                </c:pt>
                <c:pt idx="6">
                  <c:v>90.0558856778012</c:v>
                </c:pt>
                <c:pt idx="7">
                  <c:v>130.57980491605801</c:v>
                </c:pt>
                <c:pt idx="8">
                  <c:v>134.043340002062</c:v>
                </c:pt>
                <c:pt idx="9">
                  <c:v>136.75215717210401</c:v>
                </c:pt>
                <c:pt idx="10">
                  <c:v>106.57567089871399</c:v>
                </c:pt>
                <c:pt idx="11">
                  <c:v>87.3810093842648</c:v>
                </c:pt>
                <c:pt idx="12">
                  <c:v>90.526444382811206</c:v>
                </c:pt>
                <c:pt idx="13">
                  <c:v>102.23784445254</c:v>
                </c:pt>
                <c:pt idx="14">
                  <c:v>98.989476594529407</c:v>
                </c:pt>
                <c:pt idx="15">
                  <c:v>98.791160168294994</c:v>
                </c:pt>
                <c:pt idx="16">
                  <c:v>81.015789947587393</c:v>
                </c:pt>
                <c:pt idx="17">
                  <c:v>128.74400363356</c:v>
                </c:pt>
                <c:pt idx="18">
                  <c:v>113.32875982136601</c:v>
                </c:pt>
                <c:pt idx="19">
                  <c:v>102.986871047303</c:v>
                </c:pt>
                <c:pt idx="20">
                  <c:v>97.540614273389295</c:v>
                </c:pt>
                <c:pt idx="21">
                  <c:v>96.245351292600304</c:v>
                </c:pt>
                <c:pt idx="22">
                  <c:v>91.106949610755393</c:v>
                </c:pt>
                <c:pt idx="23">
                  <c:v>93.055552427438599</c:v>
                </c:pt>
                <c:pt idx="24">
                  <c:v>185.56289045105501</c:v>
                </c:pt>
                <c:pt idx="25">
                  <c:v>194.00602118581301</c:v>
                </c:pt>
                <c:pt idx="26">
                  <c:v>191.26814428132701</c:v>
                </c:pt>
                <c:pt idx="27">
                  <c:v>199.33210405448099</c:v>
                </c:pt>
                <c:pt idx="28">
                  <c:v>352.61708359476802</c:v>
                </c:pt>
                <c:pt idx="29">
                  <c:v>74.008821101279295</c:v>
                </c:pt>
                <c:pt idx="30">
                  <c:v>118.251892148823</c:v>
                </c:pt>
                <c:pt idx="31">
                  <c:v>105.280966056152</c:v>
                </c:pt>
                <c:pt idx="32">
                  <c:v>102.839260140722</c:v>
                </c:pt>
                <c:pt idx="33">
                  <c:v>84.7493106149184</c:v>
                </c:pt>
                <c:pt idx="34">
                  <c:v>115.92443570389</c:v>
                </c:pt>
                <c:pt idx="35">
                  <c:v>126.425537200804</c:v>
                </c:pt>
                <c:pt idx="36">
                  <c:v>100.44567536091</c:v>
                </c:pt>
                <c:pt idx="37">
                  <c:v>89.681306121448898</c:v>
                </c:pt>
                <c:pt idx="38">
                  <c:v>121.196939946697</c:v>
                </c:pt>
                <c:pt idx="39">
                  <c:v>128.55100461235199</c:v>
                </c:pt>
                <c:pt idx="40">
                  <c:v>131.57385661607799</c:v>
                </c:pt>
                <c:pt idx="41">
                  <c:v>188.43549928270301</c:v>
                </c:pt>
                <c:pt idx="42">
                  <c:v>175.58302061910601</c:v>
                </c:pt>
                <c:pt idx="43">
                  <c:v>183.30180149841499</c:v>
                </c:pt>
                <c:pt idx="44">
                  <c:v>196.89576184553201</c:v>
                </c:pt>
                <c:pt idx="45">
                  <c:v>182.23601987001601</c:v>
                </c:pt>
                <c:pt idx="46">
                  <c:v>163.22495817103299</c:v>
                </c:pt>
                <c:pt idx="47">
                  <c:v>131.35783766906701</c:v>
                </c:pt>
                <c:pt idx="48">
                  <c:v>83.399794739882594</c:v>
                </c:pt>
                <c:pt idx="49">
                  <c:v>131.235692951354</c:v>
                </c:pt>
                <c:pt idx="50">
                  <c:v>142.63227506931401</c:v>
                </c:pt>
                <c:pt idx="51">
                  <c:v>103.568504882619</c:v>
                </c:pt>
                <c:pt idx="52">
                  <c:v>84.640151287991102</c:v>
                </c:pt>
                <c:pt idx="53">
                  <c:v>132.085082598252</c:v>
                </c:pt>
                <c:pt idx="54">
                  <c:v>138.46273023890299</c:v>
                </c:pt>
                <c:pt idx="55">
                  <c:v>100.240116624227</c:v>
                </c:pt>
                <c:pt idx="56">
                  <c:v>95.998927015753296</c:v>
                </c:pt>
                <c:pt idx="57">
                  <c:v>114.247036436643</c:v>
                </c:pt>
                <c:pt idx="58">
                  <c:v>128.199124895235</c:v>
                </c:pt>
                <c:pt idx="59">
                  <c:v>103.745221456903</c:v>
                </c:pt>
                <c:pt idx="60">
                  <c:v>109.230489230937</c:v>
                </c:pt>
                <c:pt idx="61">
                  <c:v>111.150619355852</c:v>
                </c:pt>
                <c:pt idx="62">
                  <c:v>119.152573413638</c:v>
                </c:pt>
                <c:pt idx="63">
                  <c:v>118.66929209814001</c:v>
                </c:pt>
                <c:pt idx="64">
                  <c:v>187.97040013165901</c:v>
                </c:pt>
                <c:pt idx="65">
                  <c:v>195.86701126038801</c:v>
                </c:pt>
                <c:pt idx="66">
                  <c:v>177.44132829009499</c:v>
                </c:pt>
                <c:pt idx="67">
                  <c:v>151.84013325455001</c:v>
                </c:pt>
                <c:pt idx="68">
                  <c:v>166.20650667717501</c:v>
                </c:pt>
                <c:pt idx="69">
                  <c:v>169.465473500229</c:v>
                </c:pt>
                <c:pt idx="70">
                  <c:v>186.28801002688701</c:v>
                </c:pt>
                <c:pt idx="71">
                  <c:v>192.44340888482199</c:v>
                </c:pt>
                <c:pt idx="72">
                  <c:v>187.74648424843801</c:v>
                </c:pt>
                <c:pt idx="73">
                  <c:v>170.74285917235801</c:v>
                </c:pt>
                <c:pt idx="74">
                  <c:v>190.97910755326001</c:v>
                </c:pt>
                <c:pt idx="75">
                  <c:v>198.072850192537</c:v>
                </c:pt>
                <c:pt idx="76">
                  <c:v>192.772730083347</c:v>
                </c:pt>
                <c:pt idx="77">
                  <c:v>159.123511788222</c:v>
                </c:pt>
                <c:pt idx="78">
                  <c:v>161.752605796647</c:v>
                </c:pt>
                <c:pt idx="79">
                  <c:v>197.51425751888399</c:v>
                </c:pt>
                <c:pt idx="80">
                  <c:v>241.70214740465801</c:v>
                </c:pt>
                <c:pt idx="81">
                  <c:v>287.88555048616797</c:v>
                </c:pt>
                <c:pt idx="82">
                  <c:v>198.51524385520599</c:v>
                </c:pt>
                <c:pt idx="83">
                  <c:v>198.59284199676401</c:v>
                </c:pt>
                <c:pt idx="84">
                  <c:v>180.00189146796299</c:v>
                </c:pt>
                <c:pt idx="85">
                  <c:v>86.559475952657493</c:v>
                </c:pt>
                <c:pt idx="86">
                  <c:v>86.336643108705204</c:v>
                </c:pt>
                <c:pt idx="87">
                  <c:v>85.279069765355104</c:v>
                </c:pt>
                <c:pt idx="88">
                  <c:v>86.197388462001101</c:v>
                </c:pt>
                <c:pt idx="89">
                  <c:v>128.432249734252</c:v>
                </c:pt>
                <c:pt idx="90">
                  <c:v>92.2217048171225</c:v>
                </c:pt>
                <c:pt idx="91">
                  <c:v>98.9194997199547</c:v>
                </c:pt>
                <c:pt idx="92">
                  <c:v>208.10971805059501</c:v>
                </c:pt>
                <c:pt idx="93">
                  <c:v>206.83846055590701</c:v>
                </c:pt>
                <c:pt idx="94">
                  <c:v>196.056324930914</c:v>
                </c:pt>
                <c:pt idx="95">
                  <c:v>199.87141223509599</c:v>
                </c:pt>
                <c:pt idx="96">
                  <c:v>199.72560589648501</c:v>
                </c:pt>
                <c:pt idx="97">
                  <c:v>206.473708635939</c:v>
                </c:pt>
                <c:pt idx="98">
                  <c:v>104.525935067695</c:v>
                </c:pt>
                <c:pt idx="99">
                  <c:v>126.49822102072901</c:v>
                </c:pt>
                <c:pt idx="100">
                  <c:v>124.16816938167401</c:v>
                </c:pt>
                <c:pt idx="101">
                  <c:v>155.70635831197799</c:v>
                </c:pt>
                <c:pt idx="102">
                  <c:v>93.906807852827697</c:v>
                </c:pt>
                <c:pt idx="103">
                  <c:v>127.783695689054</c:v>
                </c:pt>
                <c:pt idx="104">
                  <c:v>127.93119392749399</c:v>
                </c:pt>
                <c:pt idx="105">
                  <c:v>87.850982028680804</c:v>
                </c:pt>
                <c:pt idx="106">
                  <c:v>106.04442833255</c:v>
                </c:pt>
                <c:pt idx="107">
                  <c:v>127.982091967123</c:v>
                </c:pt>
                <c:pt idx="108">
                  <c:v>130.867808098637</c:v>
                </c:pt>
                <c:pt idx="109">
                  <c:v>132.70963207382999</c:v>
                </c:pt>
                <c:pt idx="110">
                  <c:v>152.086670674039</c:v>
                </c:pt>
                <c:pt idx="111">
                  <c:v>152.52884839759699</c:v>
                </c:pt>
                <c:pt idx="112">
                  <c:v>106.32753048721899</c:v>
                </c:pt>
                <c:pt idx="113">
                  <c:v>99.848056678257294</c:v>
                </c:pt>
                <c:pt idx="114">
                  <c:v>122.294209581163</c:v>
                </c:pt>
                <c:pt idx="115">
                  <c:v>135.88163682131901</c:v>
                </c:pt>
                <c:pt idx="116">
                  <c:v>114.150671620902</c:v>
                </c:pt>
                <c:pt idx="117">
                  <c:v>86.745659771166899</c:v>
                </c:pt>
                <c:pt idx="118">
                  <c:v>115.09055576839</c:v>
                </c:pt>
                <c:pt idx="119">
                  <c:v>80.367056186045005</c:v>
                </c:pt>
                <c:pt idx="120">
                  <c:v>77.892296547165003</c:v>
                </c:pt>
                <c:pt idx="121">
                  <c:v>80.502616928094795</c:v>
                </c:pt>
                <c:pt idx="122">
                  <c:v>84.698598896723297</c:v>
                </c:pt>
                <c:pt idx="123">
                  <c:v>86.359147110455595</c:v>
                </c:pt>
                <c:pt idx="124">
                  <c:v>101.22457463371801</c:v>
                </c:pt>
                <c:pt idx="125">
                  <c:v>84.710086479784806</c:v>
                </c:pt>
                <c:pt idx="126">
                  <c:v>123.363407991793</c:v>
                </c:pt>
                <c:pt idx="127">
                  <c:v>132.56296599200101</c:v>
                </c:pt>
                <c:pt idx="128">
                  <c:v>113.767655169405</c:v>
                </c:pt>
                <c:pt idx="129">
                  <c:v>103.02162473665599</c:v>
                </c:pt>
                <c:pt idx="130">
                  <c:v>107.45897206513</c:v>
                </c:pt>
                <c:pt idx="131">
                  <c:v>106.725014989664</c:v>
                </c:pt>
                <c:pt idx="132">
                  <c:v>110.56774662054001</c:v>
                </c:pt>
                <c:pt idx="133">
                  <c:v>108.284352862842</c:v>
                </c:pt>
                <c:pt idx="134">
                  <c:v>105.507062454755</c:v>
                </c:pt>
                <c:pt idx="135">
                  <c:v>117.60424895053001</c:v>
                </c:pt>
                <c:pt idx="136">
                  <c:v>78.893996891619906</c:v>
                </c:pt>
                <c:pt idx="137">
                  <c:v>85.827873964962606</c:v>
                </c:pt>
                <c:pt idx="138">
                  <c:v>86.424707505461001</c:v>
                </c:pt>
                <c:pt idx="139">
                  <c:v>81.314864262120395</c:v>
                </c:pt>
                <c:pt idx="140">
                  <c:v>90.778479542102204</c:v>
                </c:pt>
                <c:pt idx="141">
                  <c:v>88.510827367008602</c:v>
                </c:pt>
                <c:pt idx="142">
                  <c:v>87.121451464832703</c:v>
                </c:pt>
                <c:pt idx="143">
                  <c:v>91.309604323466601</c:v>
                </c:pt>
                <c:pt idx="144">
                  <c:v>111.872884442342</c:v>
                </c:pt>
                <c:pt idx="145">
                  <c:v>90.752323574507898</c:v>
                </c:pt>
                <c:pt idx="146">
                  <c:v>86.141156999748304</c:v>
                </c:pt>
                <c:pt idx="147">
                  <c:v>86.2632717912538</c:v>
                </c:pt>
                <c:pt idx="148">
                  <c:v>88.394340982140903</c:v>
                </c:pt>
                <c:pt idx="149">
                  <c:v>87.096154315579398</c:v>
                </c:pt>
                <c:pt idx="150">
                  <c:v>87.385813993762895</c:v>
                </c:pt>
                <c:pt idx="151">
                  <c:v>128.79791889480899</c:v>
                </c:pt>
                <c:pt idx="152">
                  <c:v>88.604548818706405</c:v>
                </c:pt>
                <c:pt idx="153">
                  <c:v>89.146387407539393</c:v>
                </c:pt>
                <c:pt idx="154">
                  <c:v>115.75380256645801</c:v>
                </c:pt>
                <c:pt idx="155">
                  <c:v>88.960719626410906</c:v>
                </c:pt>
                <c:pt idx="156">
                  <c:v>84.926730022514803</c:v>
                </c:pt>
                <c:pt idx="157">
                  <c:v>86.522675211786904</c:v>
                </c:pt>
                <c:pt idx="158">
                  <c:v>86.347528901243194</c:v>
                </c:pt>
                <c:pt idx="159">
                  <c:v>86.101152192878601</c:v>
                </c:pt>
                <c:pt idx="160">
                  <c:v>88.996091451345094</c:v>
                </c:pt>
                <c:pt idx="161">
                  <c:v>86.562645114650195</c:v>
                </c:pt>
                <c:pt idx="162">
                  <c:v>86.975067041061905</c:v>
                </c:pt>
                <c:pt idx="163">
                  <c:v>86.679277084148495</c:v>
                </c:pt>
                <c:pt idx="164">
                  <c:v>88.092596313658206</c:v>
                </c:pt>
                <c:pt idx="165">
                  <c:v>86.149373604325703</c:v>
                </c:pt>
                <c:pt idx="166">
                  <c:v>88.421993131961401</c:v>
                </c:pt>
                <c:pt idx="167">
                  <c:v>86.135947441132998</c:v>
                </c:pt>
                <c:pt idx="168">
                  <c:v>85.776811644035703</c:v>
                </c:pt>
                <c:pt idx="169">
                  <c:v>86.964362321331393</c:v>
                </c:pt>
                <c:pt idx="170">
                  <c:v>81.801702596844194</c:v>
                </c:pt>
                <c:pt idx="171">
                  <c:v>85.268554152083397</c:v>
                </c:pt>
                <c:pt idx="172">
                  <c:v>82.2537880083771</c:v>
                </c:pt>
                <c:pt idx="173">
                  <c:v>91.817653641565002</c:v>
                </c:pt>
                <c:pt idx="174">
                  <c:v>84.620230155761703</c:v>
                </c:pt>
                <c:pt idx="175">
                  <c:v>87.396697844372397</c:v>
                </c:pt>
                <c:pt idx="176">
                  <c:v>93.022746751132303</c:v>
                </c:pt>
                <c:pt idx="177">
                  <c:v>86.820015104814402</c:v>
                </c:pt>
                <c:pt idx="178">
                  <c:v>88.125302971934403</c:v>
                </c:pt>
                <c:pt idx="179">
                  <c:v>86.634945721849505</c:v>
                </c:pt>
                <c:pt idx="180">
                  <c:v>90.371196702624005</c:v>
                </c:pt>
                <c:pt idx="181">
                  <c:v>97.206997014122706</c:v>
                </c:pt>
                <c:pt idx="182">
                  <c:v>87.468734206608303</c:v>
                </c:pt>
                <c:pt idx="183">
                  <c:v>111.828470109867</c:v>
                </c:pt>
                <c:pt idx="184">
                  <c:v>107.11535017284599</c:v>
                </c:pt>
                <c:pt idx="185">
                  <c:v>85.8363666093544</c:v>
                </c:pt>
                <c:pt idx="186">
                  <c:v>60.621067635147199</c:v>
                </c:pt>
                <c:pt idx="187">
                  <c:v>84.341589660558398</c:v>
                </c:pt>
                <c:pt idx="188">
                  <c:v>85.716576895091194</c:v>
                </c:pt>
                <c:pt idx="189">
                  <c:v>89.709826170966807</c:v>
                </c:pt>
                <c:pt idx="190">
                  <c:v>87.422068288960006</c:v>
                </c:pt>
                <c:pt idx="191">
                  <c:v>86.038622893836205</c:v>
                </c:pt>
                <c:pt idx="192">
                  <c:v>89.062808388727504</c:v>
                </c:pt>
                <c:pt idx="193">
                  <c:v>86.1368398876984</c:v>
                </c:pt>
                <c:pt idx="194">
                  <c:v>125.558989877399</c:v>
                </c:pt>
                <c:pt idx="195">
                  <c:v>90.656707724501203</c:v>
                </c:pt>
                <c:pt idx="196">
                  <c:v>123.53067384253301</c:v>
                </c:pt>
                <c:pt idx="197">
                  <c:v>82.659830387628503</c:v>
                </c:pt>
                <c:pt idx="198">
                  <c:v>83.739088034331999</c:v>
                </c:pt>
                <c:pt idx="199">
                  <c:v>86.567824641749496</c:v>
                </c:pt>
                <c:pt idx="200">
                  <c:v>87.866407789587399</c:v>
                </c:pt>
                <c:pt idx="201">
                  <c:v>84.463190941513005</c:v>
                </c:pt>
                <c:pt idx="202">
                  <c:v>84.984736708845105</c:v>
                </c:pt>
                <c:pt idx="203">
                  <c:v>85.6798494996507</c:v>
                </c:pt>
                <c:pt idx="204">
                  <c:v>85.448125889394902</c:v>
                </c:pt>
                <c:pt idx="205">
                  <c:v>85.779173567082097</c:v>
                </c:pt>
                <c:pt idx="206">
                  <c:v>84.954937607387194</c:v>
                </c:pt>
                <c:pt idx="207">
                  <c:v>85.326650112552301</c:v>
                </c:pt>
                <c:pt idx="208">
                  <c:v>85.9708631802106</c:v>
                </c:pt>
                <c:pt idx="209">
                  <c:v>80.711248229070506</c:v>
                </c:pt>
                <c:pt idx="210">
                  <c:v>84.893354329652098</c:v>
                </c:pt>
                <c:pt idx="211">
                  <c:v>85.6202592677582</c:v>
                </c:pt>
                <c:pt idx="212">
                  <c:v>86.589967200373195</c:v>
                </c:pt>
                <c:pt idx="213">
                  <c:v>84.369650613106202</c:v>
                </c:pt>
                <c:pt idx="214">
                  <c:v>93.299540662475096</c:v>
                </c:pt>
                <c:pt idx="215">
                  <c:v>86.453891645552503</c:v>
                </c:pt>
                <c:pt idx="216">
                  <c:v>88.744927157824407</c:v>
                </c:pt>
                <c:pt idx="217">
                  <c:v>87.720659266416106</c:v>
                </c:pt>
                <c:pt idx="218">
                  <c:v>94.123312694935393</c:v>
                </c:pt>
                <c:pt idx="219">
                  <c:v>86.990760412066095</c:v>
                </c:pt>
                <c:pt idx="220">
                  <c:v>87.183273905263306</c:v>
                </c:pt>
                <c:pt idx="221">
                  <c:v>119.536791201388</c:v>
                </c:pt>
                <c:pt idx="222">
                  <c:v>105.540144119758</c:v>
                </c:pt>
                <c:pt idx="223">
                  <c:v>87.253511886098707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DD84-4E4D-A9E5-BEF40A58DECF}"/>
            </c:ext>
          </c:extLst>
        </c:ser>
        <c:ser>
          <c:idx val="7"/>
          <c:order val="7"/>
          <c:tx>
            <c:strRef>
              <c:f>'20  feature'!$F$37</c:f>
              <c:strCache>
                <c:ptCount val="1"/>
                <c:pt idx="0">
                  <c:v>(2)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'20  feature'!$D$38:$D$500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'20  feature'!$F$38:$F$500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DD84-4E4D-A9E5-BEF40A58DECF}"/>
            </c:ext>
          </c:extLst>
        </c:ser>
        <c:ser>
          <c:idx val="8"/>
          <c:order val="8"/>
          <c:tx>
            <c:strRef>
              <c:f>'20  feature'!$G$37</c:f>
              <c:strCache>
                <c:ptCount val="1"/>
                <c:pt idx="0">
                  <c:v>(3)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'20  feature'!$D$38:$D$500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'20  feature'!$G$38:$G$500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DD84-4E4D-A9E5-BEF40A58DECF}"/>
            </c:ext>
          </c:extLst>
        </c:ser>
        <c:ser>
          <c:idx val="9"/>
          <c:order val="9"/>
          <c:tx>
            <c:strRef>
              <c:f>'20  feature'!$H$37</c:f>
              <c:strCache>
                <c:ptCount val="1"/>
                <c:pt idx="0">
                  <c:v>(4)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'20  feature'!$D$38:$D$500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'20  feature'!$H$38:$H$500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DD84-4E4D-A9E5-BEF40A58DECF}"/>
            </c:ext>
          </c:extLst>
        </c:ser>
        <c:ser>
          <c:idx val="10"/>
          <c:order val="10"/>
          <c:tx>
            <c:strRef>
              <c:f>'20  feature'!$I$37</c:f>
              <c:strCache>
                <c:ptCount val="1"/>
                <c:pt idx="0">
                  <c:v>(5)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'20  feature'!$D$38:$D$500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'20  feature'!$I$38:$I$500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DD84-4E4D-A9E5-BEF40A58DECF}"/>
            </c:ext>
          </c:extLst>
        </c:ser>
        <c:ser>
          <c:idx val="11"/>
          <c:order val="11"/>
          <c:tx>
            <c:strRef>
              <c:f>'20  feature'!$J$37</c:f>
              <c:strCache>
                <c:ptCount val="1"/>
                <c:pt idx="0">
                  <c:v>(6)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'20  feature'!$D$38:$D$500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'20  feature'!$J$38:$J$500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DD84-4E4D-A9E5-BEF40A58DECF}"/>
            </c:ext>
          </c:extLst>
        </c:ser>
        <c:ser>
          <c:idx val="12"/>
          <c:order val="12"/>
          <c:tx>
            <c:strRef>
              <c:f>'20  feature'!$K$37</c:f>
              <c:strCache>
                <c:ptCount val="1"/>
                <c:pt idx="0">
                  <c:v>(7)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'20  feature'!$D$38:$D$500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'20  feature'!$K$38:$K$500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DD84-4E4D-A9E5-BEF40A58DECF}"/>
            </c:ext>
          </c:extLst>
        </c:ser>
        <c:ser>
          <c:idx val="13"/>
          <c:order val="13"/>
          <c:tx>
            <c:strRef>
              <c:f>'20  feature'!$L$37</c:f>
              <c:strCache>
                <c:ptCount val="1"/>
                <c:pt idx="0">
                  <c:v>(8)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'20  feature'!$D$38:$D$500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'20  feature'!$L$38:$L$500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DD84-4E4D-A9E5-BEF40A58DECF}"/>
            </c:ext>
          </c:extLst>
        </c:ser>
        <c:ser>
          <c:idx val="14"/>
          <c:order val="14"/>
          <c:tx>
            <c:strRef>
              <c:f>'20  feature'!$M$37</c:f>
              <c:strCache>
                <c:ptCount val="1"/>
                <c:pt idx="0">
                  <c:v>(9)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'20  feature'!$D$38:$D$500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'20  feature'!$M$38:$M$500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DD84-4E4D-A9E5-BEF40A58DECF}"/>
            </c:ext>
          </c:extLst>
        </c:ser>
        <c:ser>
          <c:idx val="15"/>
          <c:order val="15"/>
          <c:tx>
            <c:strRef>
              <c:f>'20  feature'!$N$37</c:f>
              <c:strCache>
                <c:ptCount val="1"/>
                <c:pt idx="0">
                  <c:v>(10)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'20  feature'!$D$38:$D$500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'20  feature'!$N$38:$N$500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DD84-4E4D-A9E5-BEF40A58DECF}"/>
            </c:ext>
          </c:extLst>
        </c:ser>
        <c:ser>
          <c:idx val="16"/>
          <c:order val="16"/>
          <c:tx>
            <c:strRef>
              <c:f>'20  feature'!$O$37</c:f>
              <c:strCache>
                <c:ptCount val="1"/>
                <c:pt idx="0">
                  <c:v>(11)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'20  feature'!$D$38:$D$500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'20  feature'!$O$38:$O$500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DD84-4E4D-A9E5-BEF40A58DECF}"/>
            </c:ext>
          </c:extLst>
        </c:ser>
        <c:ser>
          <c:idx val="17"/>
          <c:order val="17"/>
          <c:tx>
            <c:strRef>
              <c:f>'20  feature'!$P$37</c:f>
              <c:strCache>
                <c:ptCount val="1"/>
                <c:pt idx="0">
                  <c:v>(12)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'20  feature'!$D$38:$D$500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'20  feature'!$P$38:$P$500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DD84-4E4D-A9E5-BEF40A58D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Commercial Glucose Meter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17413387810992"/>
          <c:y val="2.3096714792892357E-2"/>
          <c:w val="0.74767346830669956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EEF-48D1-96AB-E70D75B26F87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FEEF-48D1-96AB-E70D75B26F87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FEEF-48D1-96AB-E70D75B26F87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EEF-48D1-96AB-E70D75B26F87}"/>
              </c:ext>
            </c:extLst>
          </c:dPt>
          <c:dPt>
            <c:idx val="6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FEEF-48D1-96AB-E70D75B26F87}"/>
              </c:ext>
            </c:extLst>
          </c:dPt>
          <c:dPt>
            <c:idx val="7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FEEF-48D1-96AB-E70D75B26F87}"/>
              </c:ext>
            </c:extLst>
          </c:dPt>
          <c:dPt>
            <c:idx val="8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FEEF-48D1-96AB-E70D75B26F87}"/>
              </c:ext>
            </c:extLst>
          </c:dPt>
          <c:dPt>
            <c:idx val="9"/>
            <c:bubble3D val="0"/>
            <c:spPr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FEEF-48D1-96AB-E70D75B26F87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EEF-48D1-96AB-E70D75B26F87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FEEF-48D1-96AB-E70D75B26F87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FEEF-48D1-96AB-E70D75B26F87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FEEF-48D1-96AB-E70D75B26F87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FEEF-48D1-96AB-E70D75B26F87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FEEF-48D1-96AB-E70D75B26F87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FEEF-48D1-96AB-E70D75B26F87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FEEF-48D1-96AB-E70D75B26F87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FEEF-48D1-96AB-E70D75B26F87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FEEF-48D1-96AB-E70D75B26F87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FEEF-48D1-96AB-E70D75B26F87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FEEF-48D1-96AB-E70D75B26F87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FEEF-48D1-96AB-E70D75B26F87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FEEF-48D1-96AB-E70D75B26F87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FEEF-48D1-96AB-E70D75B26F87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FEEF-48D1-96AB-E70D75B26F87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FEEF-48D1-96AB-E70D75B26F87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FEEF-48D1-96AB-E70D75B26F87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FEEF-48D1-96AB-E70D75B26F87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FEEF-48D1-96AB-E70D75B26F87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xVal>
            <c:numRef>
              <c:f>[1]mgdL!$E$3</c:f>
              <c:numCache>
                <c:formatCode>General</c:formatCode>
                <c:ptCount val="1"/>
              </c:numCache>
            </c:numRef>
          </c:xVal>
          <c:yVal>
            <c:numRef>
              <c:f>[1]mgdL!$N$3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FEEF-48D1-96AB-E70D75B26F87}"/>
            </c:ext>
          </c:extLst>
        </c:ser>
        <c:ser>
          <c:idx val="6"/>
          <c:order val="6"/>
          <c:tx>
            <c:strRef>
              <c:f>'16  feature'!$E$37</c:f>
              <c:strCache>
                <c:ptCount val="1"/>
                <c:pt idx="0">
                  <c:v>(1)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4F81BD"/>
              </a:solidFill>
            </c:spPr>
          </c:marker>
          <c:xVal>
            <c:numRef>
              <c:f>'16  feature'!$D$38:$D$500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'16  feature'!$E$38:$E$500</c:f>
              <c:numCache>
                <c:formatCode>General</c:formatCode>
                <c:ptCount val="463"/>
                <c:pt idx="0">
                  <c:v>104.20168231397</c:v>
                </c:pt>
                <c:pt idx="1">
                  <c:v>124.573840797977</c:v>
                </c:pt>
                <c:pt idx="2">
                  <c:v>116.57575072165299</c:v>
                </c:pt>
                <c:pt idx="3">
                  <c:v>112.63549588041001</c:v>
                </c:pt>
                <c:pt idx="4">
                  <c:v>110.850755370008</c:v>
                </c:pt>
                <c:pt idx="5">
                  <c:v>124.14121131399401</c:v>
                </c:pt>
                <c:pt idx="6">
                  <c:v>90.796832861093606</c:v>
                </c:pt>
                <c:pt idx="7">
                  <c:v>131.97346339244001</c:v>
                </c:pt>
                <c:pt idx="8">
                  <c:v>125.565627338666</c:v>
                </c:pt>
                <c:pt idx="9">
                  <c:v>123.150182840311</c:v>
                </c:pt>
                <c:pt idx="10">
                  <c:v>107.817957568504</c:v>
                </c:pt>
                <c:pt idx="11">
                  <c:v>94.169479618194003</c:v>
                </c:pt>
                <c:pt idx="12">
                  <c:v>95.563846572421198</c:v>
                </c:pt>
                <c:pt idx="13">
                  <c:v>105.773744127125</c:v>
                </c:pt>
                <c:pt idx="14">
                  <c:v>100.184706734117</c:v>
                </c:pt>
                <c:pt idx="15">
                  <c:v>102.048655850275</c:v>
                </c:pt>
                <c:pt idx="16">
                  <c:v>78.474831960923595</c:v>
                </c:pt>
                <c:pt idx="17">
                  <c:v>137.37704904972699</c:v>
                </c:pt>
                <c:pt idx="18">
                  <c:v>121.883113007052</c:v>
                </c:pt>
                <c:pt idx="19">
                  <c:v>107.71234651323699</c:v>
                </c:pt>
                <c:pt idx="20">
                  <c:v>97.114629022145607</c:v>
                </c:pt>
                <c:pt idx="21">
                  <c:v>105.041759950562</c:v>
                </c:pt>
                <c:pt idx="22">
                  <c:v>89.308057763977402</c:v>
                </c:pt>
                <c:pt idx="23">
                  <c:v>91.148615746346195</c:v>
                </c:pt>
                <c:pt idx="24">
                  <c:v>167.79331538300801</c:v>
                </c:pt>
                <c:pt idx="25">
                  <c:v>179.90864745953999</c:v>
                </c:pt>
                <c:pt idx="26">
                  <c:v>153.756475237156</c:v>
                </c:pt>
                <c:pt idx="27">
                  <c:v>174.29606708307901</c:v>
                </c:pt>
                <c:pt idx="28">
                  <c:v>345.28496594755001</c:v>
                </c:pt>
                <c:pt idx="29">
                  <c:v>70.528693021150104</c:v>
                </c:pt>
                <c:pt idx="30">
                  <c:v>129.672316125496</c:v>
                </c:pt>
                <c:pt idx="31">
                  <c:v>109.37167871605099</c:v>
                </c:pt>
                <c:pt idx="32">
                  <c:v>109.547350186184</c:v>
                </c:pt>
                <c:pt idx="33">
                  <c:v>83.855027900925506</c:v>
                </c:pt>
                <c:pt idx="34">
                  <c:v>128.23865670084999</c:v>
                </c:pt>
                <c:pt idx="35">
                  <c:v>140.962907588945</c:v>
                </c:pt>
                <c:pt idx="36">
                  <c:v>105.897629761254</c:v>
                </c:pt>
                <c:pt idx="37">
                  <c:v>86.780298619314905</c:v>
                </c:pt>
                <c:pt idx="38">
                  <c:v>126.061062872223</c:v>
                </c:pt>
                <c:pt idx="39">
                  <c:v>138.593471774254</c:v>
                </c:pt>
                <c:pt idx="40">
                  <c:v>138.268881382676</c:v>
                </c:pt>
                <c:pt idx="41">
                  <c:v>181.92161365340201</c:v>
                </c:pt>
                <c:pt idx="42">
                  <c:v>164.68925715176599</c:v>
                </c:pt>
                <c:pt idx="43">
                  <c:v>184.867526611302</c:v>
                </c:pt>
                <c:pt idx="44">
                  <c:v>199.992649669157</c:v>
                </c:pt>
                <c:pt idx="45">
                  <c:v>156.91757045063</c:v>
                </c:pt>
                <c:pt idx="46">
                  <c:v>186.68130895093</c:v>
                </c:pt>
                <c:pt idx="47">
                  <c:v>199.93435699933099</c:v>
                </c:pt>
                <c:pt idx="48">
                  <c:v>79.036971176261304</c:v>
                </c:pt>
                <c:pt idx="49">
                  <c:v>124.129622473846</c:v>
                </c:pt>
                <c:pt idx="50">
                  <c:v>133.62622244881501</c:v>
                </c:pt>
                <c:pt idx="51">
                  <c:v>95.090877588193905</c:v>
                </c:pt>
                <c:pt idx="52">
                  <c:v>79.949597529773001</c:v>
                </c:pt>
                <c:pt idx="53">
                  <c:v>118.818293349187</c:v>
                </c:pt>
                <c:pt idx="54">
                  <c:v>117.806090685068</c:v>
                </c:pt>
                <c:pt idx="55">
                  <c:v>101.028543331432</c:v>
                </c:pt>
                <c:pt idx="56">
                  <c:v>91.8073155565219</c:v>
                </c:pt>
                <c:pt idx="57">
                  <c:v>109.885039041504</c:v>
                </c:pt>
                <c:pt idx="58">
                  <c:v>122.57629864423799</c:v>
                </c:pt>
                <c:pt idx="59">
                  <c:v>107.871388835744</c:v>
                </c:pt>
                <c:pt idx="60">
                  <c:v>101.77059165047</c:v>
                </c:pt>
                <c:pt idx="61">
                  <c:v>106.317290012068</c:v>
                </c:pt>
                <c:pt idx="62">
                  <c:v>125.58338879014001</c:v>
                </c:pt>
                <c:pt idx="63">
                  <c:v>123.495752331386</c:v>
                </c:pt>
                <c:pt idx="64">
                  <c:v>154.85669561421199</c:v>
                </c:pt>
                <c:pt idx="65">
                  <c:v>201.75462959014601</c:v>
                </c:pt>
                <c:pt idx="66">
                  <c:v>155.32411512501</c:v>
                </c:pt>
                <c:pt idx="67">
                  <c:v>176.907791759367</c:v>
                </c:pt>
                <c:pt idx="68">
                  <c:v>185.79034072367301</c:v>
                </c:pt>
                <c:pt idx="69">
                  <c:v>173.59060431936001</c:v>
                </c:pt>
                <c:pt idx="70">
                  <c:v>193.478759799958</c:v>
                </c:pt>
                <c:pt idx="71">
                  <c:v>188.48306453513499</c:v>
                </c:pt>
                <c:pt idx="72">
                  <c:v>185.97190338261399</c:v>
                </c:pt>
                <c:pt idx="73">
                  <c:v>178.71900523290699</c:v>
                </c:pt>
                <c:pt idx="74">
                  <c:v>173.640610604404</c:v>
                </c:pt>
                <c:pt idx="75">
                  <c:v>192.93289114305</c:v>
                </c:pt>
                <c:pt idx="76">
                  <c:v>181.520746810839</c:v>
                </c:pt>
                <c:pt idx="77">
                  <c:v>131.47870802601801</c:v>
                </c:pt>
                <c:pt idx="78">
                  <c:v>149.55103023657099</c:v>
                </c:pt>
                <c:pt idx="79">
                  <c:v>192.948004699508</c:v>
                </c:pt>
                <c:pt idx="80">
                  <c:v>224.08946694494301</c:v>
                </c:pt>
                <c:pt idx="81">
                  <c:v>264.03112703531599</c:v>
                </c:pt>
                <c:pt idx="82">
                  <c:v>201.58810096411301</c:v>
                </c:pt>
                <c:pt idx="83">
                  <c:v>190.56332542760799</c:v>
                </c:pt>
                <c:pt idx="84">
                  <c:v>203.84385643124099</c:v>
                </c:pt>
                <c:pt idx="85">
                  <c:v>103.75712550754</c:v>
                </c:pt>
                <c:pt idx="86">
                  <c:v>91.478190589659107</c:v>
                </c:pt>
                <c:pt idx="87">
                  <c:v>88.839327571663702</c:v>
                </c:pt>
                <c:pt idx="88">
                  <c:v>85.889740093230103</c:v>
                </c:pt>
                <c:pt idx="89">
                  <c:v>143.33614497301099</c:v>
                </c:pt>
                <c:pt idx="90">
                  <c:v>102.772279122299</c:v>
                </c:pt>
                <c:pt idx="91">
                  <c:v>118.426861624165</c:v>
                </c:pt>
                <c:pt idx="92">
                  <c:v>197.891500658198</c:v>
                </c:pt>
                <c:pt idx="93">
                  <c:v>179.21373730926399</c:v>
                </c:pt>
                <c:pt idx="94">
                  <c:v>182.904701579619</c:v>
                </c:pt>
                <c:pt idx="95">
                  <c:v>203.99880828705801</c:v>
                </c:pt>
                <c:pt idx="96">
                  <c:v>201.05453377842099</c:v>
                </c:pt>
                <c:pt idx="97">
                  <c:v>201.01308823117901</c:v>
                </c:pt>
                <c:pt idx="98">
                  <c:v>101.704978634414</c:v>
                </c:pt>
                <c:pt idx="99">
                  <c:v>138.002095248823</c:v>
                </c:pt>
                <c:pt idx="100">
                  <c:v>116.609877585162</c:v>
                </c:pt>
                <c:pt idx="101">
                  <c:v>119.26315018580701</c:v>
                </c:pt>
                <c:pt idx="102">
                  <c:v>105.510972066359</c:v>
                </c:pt>
                <c:pt idx="103">
                  <c:v>122.860693792758</c:v>
                </c:pt>
                <c:pt idx="104">
                  <c:v>118.97322988236201</c:v>
                </c:pt>
                <c:pt idx="105">
                  <c:v>85.618000904637</c:v>
                </c:pt>
                <c:pt idx="106">
                  <c:v>106.138104044041</c:v>
                </c:pt>
                <c:pt idx="107">
                  <c:v>125.299820822794</c:v>
                </c:pt>
                <c:pt idx="108">
                  <c:v>128.59388827753901</c:v>
                </c:pt>
                <c:pt idx="109">
                  <c:v>128.290220166008</c:v>
                </c:pt>
                <c:pt idx="110">
                  <c:v>159.47985606183801</c:v>
                </c:pt>
                <c:pt idx="111">
                  <c:v>158.08907243632899</c:v>
                </c:pt>
                <c:pt idx="112">
                  <c:v>115.27730487305099</c:v>
                </c:pt>
                <c:pt idx="113">
                  <c:v>94.819828167464905</c:v>
                </c:pt>
                <c:pt idx="114">
                  <c:v>122.358663436284</c:v>
                </c:pt>
                <c:pt idx="115">
                  <c:v>138.87836406521799</c:v>
                </c:pt>
                <c:pt idx="116">
                  <c:v>112.820798983592</c:v>
                </c:pt>
                <c:pt idx="117">
                  <c:v>86.530581426306497</c:v>
                </c:pt>
                <c:pt idx="118">
                  <c:v>120.249546917307</c:v>
                </c:pt>
                <c:pt idx="119">
                  <c:v>75.775564512366003</c:v>
                </c:pt>
                <c:pt idx="120">
                  <c:v>73.823541119067201</c:v>
                </c:pt>
                <c:pt idx="121">
                  <c:v>78.412388567325294</c:v>
                </c:pt>
                <c:pt idx="122">
                  <c:v>77.401402776222099</c:v>
                </c:pt>
                <c:pt idx="123">
                  <c:v>87.120755017072497</c:v>
                </c:pt>
                <c:pt idx="124">
                  <c:v>125.588064224454</c:v>
                </c:pt>
                <c:pt idx="125">
                  <c:v>83.801393313808006</c:v>
                </c:pt>
                <c:pt idx="126">
                  <c:v>144.69544644554199</c:v>
                </c:pt>
                <c:pt idx="127">
                  <c:v>130.17274987997001</c:v>
                </c:pt>
                <c:pt idx="128">
                  <c:v>132.42342310728401</c:v>
                </c:pt>
                <c:pt idx="129">
                  <c:v>107.761524644663</c:v>
                </c:pt>
                <c:pt idx="130">
                  <c:v>114.135200449935</c:v>
                </c:pt>
                <c:pt idx="131">
                  <c:v>103.11067030124001</c:v>
                </c:pt>
                <c:pt idx="132">
                  <c:v>109.57680038203</c:v>
                </c:pt>
                <c:pt idx="133">
                  <c:v>104.159708096304</c:v>
                </c:pt>
                <c:pt idx="134">
                  <c:v>105.275052720795</c:v>
                </c:pt>
                <c:pt idx="135">
                  <c:v>105.93024640213901</c:v>
                </c:pt>
                <c:pt idx="136">
                  <c:v>74.551243018694507</c:v>
                </c:pt>
                <c:pt idx="137">
                  <c:v>85.318305470791003</c:v>
                </c:pt>
                <c:pt idx="138">
                  <c:v>85.250742781900001</c:v>
                </c:pt>
                <c:pt idx="139">
                  <c:v>81.165302036797897</c:v>
                </c:pt>
                <c:pt idx="140">
                  <c:v>90.909482826435294</c:v>
                </c:pt>
                <c:pt idx="141">
                  <c:v>86.290093339893204</c:v>
                </c:pt>
                <c:pt idx="142">
                  <c:v>86.561178063382101</c:v>
                </c:pt>
                <c:pt idx="143">
                  <c:v>100.924938226869</c:v>
                </c:pt>
                <c:pt idx="144">
                  <c:v>102.26279696640501</c:v>
                </c:pt>
                <c:pt idx="145">
                  <c:v>88.379219698812904</c:v>
                </c:pt>
                <c:pt idx="146">
                  <c:v>88.2748565874831</c:v>
                </c:pt>
                <c:pt idx="147">
                  <c:v>85.587037615681993</c:v>
                </c:pt>
                <c:pt idx="148">
                  <c:v>90.637473131837794</c:v>
                </c:pt>
                <c:pt idx="149">
                  <c:v>85.093412286988098</c:v>
                </c:pt>
                <c:pt idx="150">
                  <c:v>86.581223070499803</c:v>
                </c:pt>
                <c:pt idx="151">
                  <c:v>144.13583141561699</c:v>
                </c:pt>
                <c:pt idx="152">
                  <c:v>90.901201066094501</c:v>
                </c:pt>
                <c:pt idx="153">
                  <c:v>87.586268431893501</c:v>
                </c:pt>
                <c:pt idx="154">
                  <c:v>136.10647277029699</c:v>
                </c:pt>
                <c:pt idx="155">
                  <c:v>99.313533733319503</c:v>
                </c:pt>
                <c:pt idx="156">
                  <c:v>85.010125940731797</c:v>
                </c:pt>
                <c:pt idx="157">
                  <c:v>84.660740521116097</c:v>
                </c:pt>
                <c:pt idx="158">
                  <c:v>85.3264257056898</c:v>
                </c:pt>
                <c:pt idx="159">
                  <c:v>85.272489118370501</c:v>
                </c:pt>
                <c:pt idx="160">
                  <c:v>87.437142255196505</c:v>
                </c:pt>
                <c:pt idx="161">
                  <c:v>85.007815898698595</c:v>
                </c:pt>
                <c:pt idx="162">
                  <c:v>86.780357264810604</c:v>
                </c:pt>
                <c:pt idx="163">
                  <c:v>90.782005166399998</c:v>
                </c:pt>
                <c:pt idx="164">
                  <c:v>92.382366822230395</c:v>
                </c:pt>
                <c:pt idx="165">
                  <c:v>85.0351757596287</c:v>
                </c:pt>
                <c:pt idx="166">
                  <c:v>85.521251471230997</c:v>
                </c:pt>
                <c:pt idx="167">
                  <c:v>84.586980603145904</c:v>
                </c:pt>
                <c:pt idx="168">
                  <c:v>85.169553862599301</c:v>
                </c:pt>
                <c:pt idx="169">
                  <c:v>119.55109203908501</c:v>
                </c:pt>
                <c:pt idx="170">
                  <c:v>92.685725293219605</c:v>
                </c:pt>
                <c:pt idx="171">
                  <c:v>85.2140167717249</c:v>
                </c:pt>
                <c:pt idx="172">
                  <c:v>125.783427908547</c:v>
                </c:pt>
                <c:pt idx="173">
                  <c:v>107.716605552641</c:v>
                </c:pt>
                <c:pt idx="174">
                  <c:v>103.36312974861499</c:v>
                </c:pt>
                <c:pt idx="175">
                  <c:v>116.743787953783</c:v>
                </c:pt>
                <c:pt idx="176">
                  <c:v>111.906750996179</c:v>
                </c:pt>
                <c:pt idx="177">
                  <c:v>85.642742427252102</c:v>
                </c:pt>
                <c:pt idx="178">
                  <c:v>85.645071424010496</c:v>
                </c:pt>
                <c:pt idx="179">
                  <c:v>86.080042855430094</c:v>
                </c:pt>
                <c:pt idx="180">
                  <c:v>106.870333027925</c:v>
                </c:pt>
                <c:pt idx="181">
                  <c:v>93.538490019964101</c:v>
                </c:pt>
                <c:pt idx="182">
                  <c:v>86.753600881683795</c:v>
                </c:pt>
                <c:pt idx="183">
                  <c:v>143.481767337778</c:v>
                </c:pt>
                <c:pt idx="184">
                  <c:v>116.78589558212801</c:v>
                </c:pt>
                <c:pt idx="185">
                  <c:v>85.693973713616003</c:v>
                </c:pt>
                <c:pt idx="186">
                  <c:v>99.435521631304994</c:v>
                </c:pt>
                <c:pt idx="187">
                  <c:v>87.300865555482801</c:v>
                </c:pt>
                <c:pt idx="188">
                  <c:v>85.993884327263601</c:v>
                </c:pt>
                <c:pt idx="189">
                  <c:v>86.223626746419697</c:v>
                </c:pt>
                <c:pt idx="190">
                  <c:v>92.238599772959503</c:v>
                </c:pt>
                <c:pt idx="191">
                  <c:v>96.188271293985693</c:v>
                </c:pt>
                <c:pt idx="192">
                  <c:v>136.752791194</c:v>
                </c:pt>
                <c:pt idx="193">
                  <c:v>85.634600025007501</c:v>
                </c:pt>
                <c:pt idx="194">
                  <c:v>115.796398280899</c:v>
                </c:pt>
                <c:pt idx="195">
                  <c:v>122.225822571686</c:v>
                </c:pt>
                <c:pt idx="196">
                  <c:v>137.50041022482199</c:v>
                </c:pt>
                <c:pt idx="197">
                  <c:v>88.317040186309896</c:v>
                </c:pt>
                <c:pt idx="198">
                  <c:v>109.03828580046699</c:v>
                </c:pt>
                <c:pt idx="199">
                  <c:v>86.590422661867706</c:v>
                </c:pt>
                <c:pt idx="200">
                  <c:v>85.913123098407198</c:v>
                </c:pt>
                <c:pt idx="201">
                  <c:v>85.402082679018505</c:v>
                </c:pt>
                <c:pt idx="202">
                  <c:v>84.936447064631096</c:v>
                </c:pt>
                <c:pt idx="203">
                  <c:v>85.071000358840905</c:v>
                </c:pt>
                <c:pt idx="204">
                  <c:v>84.251399136202096</c:v>
                </c:pt>
                <c:pt idx="205">
                  <c:v>85.022283110107594</c:v>
                </c:pt>
                <c:pt idx="206">
                  <c:v>84.595813732050203</c:v>
                </c:pt>
                <c:pt idx="207">
                  <c:v>85.263042819988698</c:v>
                </c:pt>
                <c:pt idx="208">
                  <c:v>85.462844231707393</c:v>
                </c:pt>
                <c:pt idx="209">
                  <c:v>83.394382155126806</c:v>
                </c:pt>
                <c:pt idx="210">
                  <c:v>84.468397042122504</c:v>
                </c:pt>
                <c:pt idx="211">
                  <c:v>84.927837648407802</c:v>
                </c:pt>
                <c:pt idx="212">
                  <c:v>85.056864554339498</c:v>
                </c:pt>
                <c:pt idx="213">
                  <c:v>97.595653265852903</c:v>
                </c:pt>
                <c:pt idx="214">
                  <c:v>96.497983488221294</c:v>
                </c:pt>
                <c:pt idx="215">
                  <c:v>84.962682311482595</c:v>
                </c:pt>
                <c:pt idx="216">
                  <c:v>86.268105655059301</c:v>
                </c:pt>
                <c:pt idx="217">
                  <c:v>86.320994603282898</c:v>
                </c:pt>
                <c:pt idx="218">
                  <c:v>110.946476924493</c:v>
                </c:pt>
                <c:pt idx="219">
                  <c:v>84.538398989273503</c:v>
                </c:pt>
                <c:pt idx="220">
                  <c:v>83.057767557045196</c:v>
                </c:pt>
                <c:pt idx="221">
                  <c:v>119.679805205679</c:v>
                </c:pt>
                <c:pt idx="222">
                  <c:v>104.812459414554</c:v>
                </c:pt>
                <c:pt idx="223">
                  <c:v>84.283127020606102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FEEF-48D1-96AB-E70D75B26F87}"/>
            </c:ext>
          </c:extLst>
        </c:ser>
        <c:ser>
          <c:idx val="7"/>
          <c:order val="7"/>
          <c:tx>
            <c:strRef>
              <c:f>'16  feature'!$F$37</c:f>
              <c:strCache>
                <c:ptCount val="1"/>
                <c:pt idx="0">
                  <c:v>(2)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'16  feature'!$D$38:$D$500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'16  feature'!$F$38:$F$500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FEEF-48D1-96AB-E70D75B26F87}"/>
            </c:ext>
          </c:extLst>
        </c:ser>
        <c:ser>
          <c:idx val="8"/>
          <c:order val="8"/>
          <c:tx>
            <c:strRef>
              <c:f>'16  feature'!$G$37</c:f>
              <c:strCache>
                <c:ptCount val="1"/>
                <c:pt idx="0">
                  <c:v>(3)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'16  feature'!$D$38:$D$500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'16  feature'!$G$38:$G$500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FEEF-48D1-96AB-E70D75B26F87}"/>
            </c:ext>
          </c:extLst>
        </c:ser>
        <c:ser>
          <c:idx val="9"/>
          <c:order val="9"/>
          <c:tx>
            <c:strRef>
              <c:f>'16  feature'!$H$37</c:f>
              <c:strCache>
                <c:ptCount val="1"/>
                <c:pt idx="0">
                  <c:v>(4)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'16  feature'!$D$38:$D$500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'16  feature'!$H$38:$H$500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FEEF-48D1-96AB-E70D75B26F87}"/>
            </c:ext>
          </c:extLst>
        </c:ser>
        <c:ser>
          <c:idx val="10"/>
          <c:order val="10"/>
          <c:tx>
            <c:strRef>
              <c:f>'16  feature'!$I$37</c:f>
              <c:strCache>
                <c:ptCount val="1"/>
                <c:pt idx="0">
                  <c:v>(5)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'16  feature'!$D$38:$D$500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'16  feature'!$I$38:$I$500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FEEF-48D1-96AB-E70D75B26F87}"/>
            </c:ext>
          </c:extLst>
        </c:ser>
        <c:ser>
          <c:idx val="11"/>
          <c:order val="11"/>
          <c:tx>
            <c:strRef>
              <c:f>'16  feature'!$J$37</c:f>
              <c:strCache>
                <c:ptCount val="1"/>
                <c:pt idx="0">
                  <c:v>(6)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'16  feature'!$D$38:$D$500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'16  feature'!$J$38:$J$500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FEEF-48D1-96AB-E70D75B26F87}"/>
            </c:ext>
          </c:extLst>
        </c:ser>
        <c:ser>
          <c:idx val="12"/>
          <c:order val="12"/>
          <c:tx>
            <c:strRef>
              <c:f>'16  feature'!$K$37</c:f>
              <c:strCache>
                <c:ptCount val="1"/>
                <c:pt idx="0">
                  <c:v>(7)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'16  feature'!$D$38:$D$500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'16  feature'!$K$38:$K$500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FEEF-48D1-96AB-E70D75B26F87}"/>
            </c:ext>
          </c:extLst>
        </c:ser>
        <c:ser>
          <c:idx val="13"/>
          <c:order val="13"/>
          <c:tx>
            <c:strRef>
              <c:f>'16  feature'!$L$37</c:f>
              <c:strCache>
                <c:ptCount val="1"/>
                <c:pt idx="0">
                  <c:v>(8)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'16  feature'!$D$38:$D$500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'16  feature'!$L$38:$L$500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FEEF-48D1-96AB-E70D75B26F87}"/>
            </c:ext>
          </c:extLst>
        </c:ser>
        <c:ser>
          <c:idx val="14"/>
          <c:order val="14"/>
          <c:tx>
            <c:strRef>
              <c:f>'16  feature'!$M$37</c:f>
              <c:strCache>
                <c:ptCount val="1"/>
                <c:pt idx="0">
                  <c:v>(9)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'16  feature'!$D$38:$D$500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'16  feature'!$M$38:$M$500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FEEF-48D1-96AB-E70D75B26F87}"/>
            </c:ext>
          </c:extLst>
        </c:ser>
        <c:ser>
          <c:idx val="15"/>
          <c:order val="15"/>
          <c:tx>
            <c:strRef>
              <c:f>'16  feature'!$N$37</c:f>
              <c:strCache>
                <c:ptCount val="1"/>
                <c:pt idx="0">
                  <c:v>(10)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'16  feature'!$D$38:$D$500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'16  feature'!$N$38:$N$500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FEEF-48D1-96AB-E70D75B26F87}"/>
            </c:ext>
          </c:extLst>
        </c:ser>
        <c:ser>
          <c:idx val="16"/>
          <c:order val="16"/>
          <c:tx>
            <c:strRef>
              <c:f>'16  feature'!$O$37</c:f>
              <c:strCache>
                <c:ptCount val="1"/>
                <c:pt idx="0">
                  <c:v>(11)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'16  feature'!$D$38:$D$500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'16  feature'!$O$38:$O$500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FEEF-48D1-96AB-E70D75B26F87}"/>
            </c:ext>
          </c:extLst>
        </c:ser>
        <c:ser>
          <c:idx val="17"/>
          <c:order val="17"/>
          <c:tx>
            <c:strRef>
              <c:f>'16  feature'!$P$37</c:f>
              <c:strCache>
                <c:ptCount val="1"/>
                <c:pt idx="0">
                  <c:v>(12)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'16  feature'!$D$38:$D$500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'16  feature'!$P$38:$P$500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FEEF-48D1-96AB-E70D75B26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Commercial Glucose Meter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17413387810992"/>
          <c:y val="2.3096714792892357E-2"/>
          <c:w val="0.74767346830669956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189-4F9C-B877-C2578F0FEF25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C189-4F9C-B877-C2578F0FEF25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C189-4F9C-B877-C2578F0FEF25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189-4F9C-B877-C2578F0FEF25}"/>
              </c:ext>
            </c:extLst>
          </c:dPt>
          <c:dPt>
            <c:idx val="6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C189-4F9C-B877-C2578F0FEF25}"/>
              </c:ext>
            </c:extLst>
          </c:dPt>
          <c:dPt>
            <c:idx val="7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C189-4F9C-B877-C2578F0FEF25}"/>
              </c:ext>
            </c:extLst>
          </c:dPt>
          <c:dPt>
            <c:idx val="8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C189-4F9C-B877-C2578F0FEF25}"/>
              </c:ext>
            </c:extLst>
          </c:dPt>
          <c:dPt>
            <c:idx val="9"/>
            <c:bubble3D val="0"/>
            <c:spPr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C189-4F9C-B877-C2578F0FEF25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C189-4F9C-B877-C2578F0FEF25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C189-4F9C-B877-C2578F0FEF25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C189-4F9C-B877-C2578F0FEF25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C189-4F9C-B877-C2578F0FEF25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C189-4F9C-B877-C2578F0FEF25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C189-4F9C-B877-C2578F0FEF25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C189-4F9C-B877-C2578F0FEF25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C189-4F9C-B877-C2578F0FEF25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C189-4F9C-B877-C2578F0FEF25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C189-4F9C-B877-C2578F0FEF25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C189-4F9C-B877-C2578F0FEF25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C189-4F9C-B877-C2578F0FEF25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C189-4F9C-B877-C2578F0FEF25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C189-4F9C-B877-C2578F0FEF25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C189-4F9C-B877-C2578F0FEF25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C189-4F9C-B877-C2578F0FEF25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C189-4F9C-B877-C2578F0FEF25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C189-4F9C-B877-C2578F0FEF25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C189-4F9C-B877-C2578F0FEF25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C189-4F9C-B877-C2578F0FEF25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xVal>
            <c:numRef>
              <c:f>[1]mgdL!$E$3</c:f>
              <c:numCache>
                <c:formatCode>General</c:formatCode>
                <c:ptCount val="1"/>
              </c:numCache>
            </c:numRef>
          </c:xVal>
          <c:yVal>
            <c:numRef>
              <c:f>[1]mgdL!$N$3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C189-4F9C-B877-C2578F0FEF25}"/>
            </c:ext>
          </c:extLst>
        </c:ser>
        <c:ser>
          <c:idx val="6"/>
          <c:order val="6"/>
          <c:tx>
            <c:strRef>
              <c:f>'12 feature '!$E$37</c:f>
              <c:strCache>
                <c:ptCount val="1"/>
                <c:pt idx="0">
                  <c:v>(1)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4F81BD"/>
              </a:solidFill>
            </c:spPr>
          </c:marker>
          <c:xVal>
            <c:numRef>
              <c:f>'12 feature 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'12 feature '!$E$38:$E$500</c:f>
              <c:numCache>
                <c:formatCode>General</c:formatCode>
                <c:ptCount val="463"/>
                <c:pt idx="0">
                  <c:v>135.75429484513299</c:v>
                </c:pt>
                <c:pt idx="1">
                  <c:v>155.03443021975599</c:v>
                </c:pt>
                <c:pt idx="2">
                  <c:v>144.76207470843599</c:v>
                </c:pt>
                <c:pt idx="3">
                  <c:v>140.00543391386699</c:v>
                </c:pt>
                <c:pt idx="4">
                  <c:v>143.65812159458901</c:v>
                </c:pt>
                <c:pt idx="5">
                  <c:v>153.18621096299401</c:v>
                </c:pt>
                <c:pt idx="6">
                  <c:v>123.152771760503</c:v>
                </c:pt>
                <c:pt idx="7">
                  <c:v>162.65054327912199</c:v>
                </c:pt>
                <c:pt idx="8">
                  <c:v>159.780189162531</c:v>
                </c:pt>
                <c:pt idx="9">
                  <c:v>159.561333749667</c:v>
                </c:pt>
                <c:pt idx="10">
                  <c:v>141.05172106144701</c:v>
                </c:pt>
                <c:pt idx="11">
                  <c:v>124.04263542550299</c:v>
                </c:pt>
                <c:pt idx="12">
                  <c:v>124.237822174488</c:v>
                </c:pt>
                <c:pt idx="13">
                  <c:v>137.96007879188201</c:v>
                </c:pt>
                <c:pt idx="14">
                  <c:v>123.891558496242</c:v>
                </c:pt>
                <c:pt idx="15">
                  <c:v>116.111222327221</c:v>
                </c:pt>
                <c:pt idx="16">
                  <c:v>104.797881220531</c:v>
                </c:pt>
                <c:pt idx="17">
                  <c:v>166.48938509204899</c:v>
                </c:pt>
                <c:pt idx="18">
                  <c:v>144.38132675268801</c:v>
                </c:pt>
                <c:pt idx="19">
                  <c:v>132.78887781193899</c:v>
                </c:pt>
                <c:pt idx="20">
                  <c:v>100.953232379659</c:v>
                </c:pt>
                <c:pt idx="21">
                  <c:v>126.772400962638</c:v>
                </c:pt>
                <c:pt idx="22">
                  <c:v>106.78588180435101</c:v>
                </c:pt>
                <c:pt idx="23">
                  <c:v>110.167470738665</c:v>
                </c:pt>
                <c:pt idx="24">
                  <c:v>199.240451703562</c:v>
                </c:pt>
                <c:pt idx="25">
                  <c:v>220.043189115377</c:v>
                </c:pt>
                <c:pt idx="26">
                  <c:v>191.80869485295199</c:v>
                </c:pt>
                <c:pt idx="27">
                  <c:v>215.97867668740301</c:v>
                </c:pt>
                <c:pt idx="28">
                  <c:v>404.62360701006202</c:v>
                </c:pt>
                <c:pt idx="29">
                  <c:v>101.72180679960501</c:v>
                </c:pt>
                <c:pt idx="30">
                  <c:v>158.86751972043999</c:v>
                </c:pt>
                <c:pt idx="31">
                  <c:v>136.393627747024</c:v>
                </c:pt>
                <c:pt idx="32">
                  <c:v>135.46024454845701</c:v>
                </c:pt>
                <c:pt idx="33">
                  <c:v>114.272612885573</c:v>
                </c:pt>
                <c:pt idx="34">
                  <c:v>159.81931258473199</c:v>
                </c:pt>
                <c:pt idx="35">
                  <c:v>174.52706605508399</c:v>
                </c:pt>
                <c:pt idx="36">
                  <c:v>131.89293066354799</c:v>
                </c:pt>
                <c:pt idx="37">
                  <c:v>114.19180333592099</c:v>
                </c:pt>
                <c:pt idx="38">
                  <c:v>154.463035572232</c:v>
                </c:pt>
                <c:pt idx="39">
                  <c:v>169.829761700825</c:v>
                </c:pt>
                <c:pt idx="40">
                  <c:v>177.14216743414599</c:v>
                </c:pt>
                <c:pt idx="41">
                  <c:v>226.251103878214</c:v>
                </c:pt>
                <c:pt idx="42">
                  <c:v>205.61040761820999</c:v>
                </c:pt>
                <c:pt idx="43">
                  <c:v>219.55598582832201</c:v>
                </c:pt>
                <c:pt idx="44">
                  <c:v>239.00561547432099</c:v>
                </c:pt>
                <c:pt idx="45">
                  <c:v>188.53132615020399</c:v>
                </c:pt>
                <c:pt idx="46">
                  <c:v>235.542327506319</c:v>
                </c:pt>
                <c:pt idx="47">
                  <c:v>235.82869231319901</c:v>
                </c:pt>
                <c:pt idx="48">
                  <c:v>94.788553536336295</c:v>
                </c:pt>
                <c:pt idx="49">
                  <c:v>150.80092020097001</c:v>
                </c:pt>
                <c:pt idx="50">
                  <c:v>162.16276184756299</c:v>
                </c:pt>
                <c:pt idx="51">
                  <c:v>119.61812498227199</c:v>
                </c:pt>
                <c:pt idx="52">
                  <c:v>95.079735106022497</c:v>
                </c:pt>
                <c:pt idx="53">
                  <c:v>155.065504190506</c:v>
                </c:pt>
                <c:pt idx="54">
                  <c:v>159.05564312678999</c:v>
                </c:pt>
                <c:pt idx="55">
                  <c:v>116.93752159344</c:v>
                </c:pt>
                <c:pt idx="56">
                  <c:v>122.369024714682</c:v>
                </c:pt>
                <c:pt idx="57">
                  <c:v>127.706372504548</c:v>
                </c:pt>
                <c:pt idx="58">
                  <c:v>141.53771614488701</c:v>
                </c:pt>
                <c:pt idx="59">
                  <c:v>137.54166761449301</c:v>
                </c:pt>
                <c:pt idx="60">
                  <c:v>121.807275063143</c:v>
                </c:pt>
                <c:pt idx="61">
                  <c:v>128.66576692184699</c:v>
                </c:pt>
                <c:pt idx="62">
                  <c:v>144.85593953958099</c:v>
                </c:pt>
                <c:pt idx="63">
                  <c:v>141.816541411023</c:v>
                </c:pt>
                <c:pt idx="64">
                  <c:v>194.327514211589</c:v>
                </c:pt>
                <c:pt idx="65">
                  <c:v>234.00036977318999</c:v>
                </c:pt>
                <c:pt idx="66">
                  <c:v>189.010402696201</c:v>
                </c:pt>
                <c:pt idx="67">
                  <c:v>213.11615088701899</c:v>
                </c:pt>
                <c:pt idx="68">
                  <c:v>219.84357295243601</c:v>
                </c:pt>
                <c:pt idx="69">
                  <c:v>199.25341665435599</c:v>
                </c:pt>
                <c:pt idx="70">
                  <c:v>221.15058385481501</c:v>
                </c:pt>
                <c:pt idx="71">
                  <c:v>226.523787516346</c:v>
                </c:pt>
                <c:pt idx="72">
                  <c:v>218.63837308586599</c:v>
                </c:pt>
                <c:pt idx="73">
                  <c:v>206.61668508043499</c:v>
                </c:pt>
                <c:pt idx="74">
                  <c:v>199.224979581122</c:v>
                </c:pt>
                <c:pt idx="75">
                  <c:v>214.65314697105001</c:v>
                </c:pt>
                <c:pt idx="76">
                  <c:v>206.80987051064599</c:v>
                </c:pt>
                <c:pt idx="77">
                  <c:v>160.94460161714599</c:v>
                </c:pt>
                <c:pt idx="78">
                  <c:v>178.84642119518099</c:v>
                </c:pt>
                <c:pt idx="79">
                  <c:v>228.64486189458</c:v>
                </c:pt>
                <c:pt idx="80">
                  <c:v>276.84229934070203</c:v>
                </c:pt>
                <c:pt idx="81">
                  <c:v>319.15652315150999</c:v>
                </c:pt>
                <c:pt idx="82">
                  <c:v>240.419937051044</c:v>
                </c:pt>
                <c:pt idx="83">
                  <c:v>240.91130829002199</c:v>
                </c:pt>
                <c:pt idx="84">
                  <c:v>238.32433555484599</c:v>
                </c:pt>
                <c:pt idx="85">
                  <c:v>129.75839179821699</c:v>
                </c:pt>
                <c:pt idx="86">
                  <c:v>131.99208673221699</c:v>
                </c:pt>
                <c:pt idx="87">
                  <c:v>115.485981405058</c:v>
                </c:pt>
                <c:pt idx="88">
                  <c:v>113.89445741414001</c:v>
                </c:pt>
                <c:pt idx="89">
                  <c:v>171.82498395936</c:v>
                </c:pt>
                <c:pt idx="90">
                  <c:v>142.759024513036</c:v>
                </c:pt>
                <c:pt idx="91">
                  <c:v>151.93568499636899</c:v>
                </c:pt>
                <c:pt idx="92">
                  <c:v>231.98906177068301</c:v>
                </c:pt>
                <c:pt idx="93">
                  <c:v>215.31838187257799</c:v>
                </c:pt>
                <c:pt idx="94">
                  <c:v>218.70516993082299</c:v>
                </c:pt>
                <c:pt idx="95">
                  <c:v>235.72373994313699</c:v>
                </c:pt>
                <c:pt idx="96">
                  <c:v>232.70714595220099</c:v>
                </c:pt>
                <c:pt idx="97">
                  <c:v>235.904337909878</c:v>
                </c:pt>
                <c:pt idx="98">
                  <c:v>129.28670728487</c:v>
                </c:pt>
                <c:pt idx="99">
                  <c:v>178.509904990287</c:v>
                </c:pt>
                <c:pt idx="100">
                  <c:v>148.42543139174299</c:v>
                </c:pt>
                <c:pt idx="101">
                  <c:v>145.226571461345</c:v>
                </c:pt>
                <c:pt idx="102">
                  <c:v>118.995086761096</c:v>
                </c:pt>
                <c:pt idx="103">
                  <c:v>146.67326518184001</c:v>
                </c:pt>
                <c:pt idx="104">
                  <c:v>138.21823471713299</c:v>
                </c:pt>
                <c:pt idx="105">
                  <c:v>117.846460567775</c:v>
                </c:pt>
                <c:pt idx="106">
                  <c:v>139.72447835911399</c:v>
                </c:pt>
                <c:pt idx="107">
                  <c:v>156.55953084316599</c:v>
                </c:pt>
                <c:pt idx="108">
                  <c:v>159.035330533696</c:v>
                </c:pt>
                <c:pt idx="109">
                  <c:v>157.22380573654701</c:v>
                </c:pt>
                <c:pt idx="110">
                  <c:v>192.71362816138799</c:v>
                </c:pt>
                <c:pt idx="111">
                  <c:v>189.672130109509</c:v>
                </c:pt>
                <c:pt idx="112">
                  <c:v>164.944055561216</c:v>
                </c:pt>
                <c:pt idx="113">
                  <c:v>126.555479614757</c:v>
                </c:pt>
                <c:pt idx="114">
                  <c:v>167.04944807398499</c:v>
                </c:pt>
                <c:pt idx="115">
                  <c:v>171.99262000248501</c:v>
                </c:pt>
                <c:pt idx="116">
                  <c:v>151.67907297539199</c:v>
                </c:pt>
                <c:pt idx="117">
                  <c:v>112.887377379488</c:v>
                </c:pt>
                <c:pt idx="118">
                  <c:v>142.58501196155899</c:v>
                </c:pt>
                <c:pt idx="119">
                  <c:v>93.176542188285694</c:v>
                </c:pt>
                <c:pt idx="120">
                  <c:v>84.594817166128607</c:v>
                </c:pt>
                <c:pt idx="121">
                  <c:v>95.197156569997304</c:v>
                </c:pt>
                <c:pt idx="122">
                  <c:v>90.540560369283</c:v>
                </c:pt>
                <c:pt idx="123">
                  <c:v>123.672942364256</c:v>
                </c:pt>
                <c:pt idx="124">
                  <c:v>140.61836663292999</c:v>
                </c:pt>
                <c:pt idx="125">
                  <c:v>106.571596989909</c:v>
                </c:pt>
                <c:pt idx="126">
                  <c:v>157.220657581723</c:v>
                </c:pt>
                <c:pt idx="127">
                  <c:v>151.165899998143</c:v>
                </c:pt>
                <c:pt idx="128">
                  <c:v>157.91951334104601</c:v>
                </c:pt>
                <c:pt idx="129">
                  <c:v>124.843045410771</c:v>
                </c:pt>
                <c:pt idx="130">
                  <c:v>146.92835719221301</c:v>
                </c:pt>
                <c:pt idx="131">
                  <c:v>124.13587998236601</c:v>
                </c:pt>
                <c:pt idx="132">
                  <c:v>129.18141490257401</c:v>
                </c:pt>
                <c:pt idx="133">
                  <c:v>127.92726865813501</c:v>
                </c:pt>
                <c:pt idx="134">
                  <c:v>125.54229649291899</c:v>
                </c:pt>
                <c:pt idx="135">
                  <c:v>128.23856034097801</c:v>
                </c:pt>
                <c:pt idx="136">
                  <c:v>104.766405761009</c:v>
                </c:pt>
                <c:pt idx="137">
                  <c:v>117.531036969534</c:v>
                </c:pt>
                <c:pt idx="138">
                  <c:v>102.854142687262</c:v>
                </c:pt>
                <c:pt idx="139">
                  <c:v>112.73290067089199</c:v>
                </c:pt>
                <c:pt idx="140">
                  <c:v>123.599048667593</c:v>
                </c:pt>
                <c:pt idx="141">
                  <c:v>95.312161232298195</c:v>
                </c:pt>
                <c:pt idx="142">
                  <c:v>124.761369515811</c:v>
                </c:pt>
                <c:pt idx="143">
                  <c:v>142.843660593332</c:v>
                </c:pt>
                <c:pt idx="144">
                  <c:v>124.741378540813</c:v>
                </c:pt>
                <c:pt idx="145">
                  <c:v>113.807846318751</c:v>
                </c:pt>
                <c:pt idx="146">
                  <c:v>126.048376564761</c:v>
                </c:pt>
                <c:pt idx="147">
                  <c:v>113.666895972769</c:v>
                </c:pt>
                <c:pt idx="148">
                  <c:v>128.067613062584</c:v>
                </c:pt>
                <c:pt idx="149">
                  <c:v>101.760478535774</c:v>
                </c:pt>
                <c:pt idx="150">
                  <c:v>108.969519547427</c:v>
                </c:pt>
                <c:pt idx="151">
                  <c:v>172.77007835641601</c:v>
                </c:pt>
                <c:pt idx="152">
                  <c:v>110.271990648223</c:v>
                </c:pt>
                <c:pt idx="153">
                  <c:v>106.378687980618</c:v>
                </c:pt>
                <c:pt idx="154">
                  <c:v>154.63261335803901</c:v>
                </c:pt>
                <c:pt idx="155">
                  <c:v>144.10749675748099</c:v>
                </c:pt>
                <c:pt idx="156">
                  <c:v>110.487593689584</c:v>
                </c:pt>
                <c:pt idx="157">
                  <c:v>99.866854604135199</c:v>
                </c:pt>
                <c:pt idx="158">
                  <c:v>106.647682292187</c:v>
                </c:pt>
                <c:pt idx="159">
                  <c:v>109.71053578585401</c:v>
                </c:pt>
                <c:pt idx="160">
                  <c:v>106.434856125953</c:v>
                </c:pt>
                <c:pt idx="161">
                  <c:v>107.003649688102</c:v>
                </c:pt>
                <c:pt idx="162">
                  <c:v>108.244981941091</c:v>
                </c:pt>
                <c:pt idx="163">
                  <c:v>139.19192011802099</c:v>
                </c:pt>
                <c:pt idx="164">
                  <c:v>126.190680985974</c:v>
                </c:pt>
                <c:pt idx="165">
                  <c:v>108.44123377990201</c:v>
                </c:pt>
                <c:pt idx="166">
                  <c:v>98.091543708237893</c:v>
                </c:pt>
                <c:pt idx="167">
                  <c:v>100.807214138586</c:v>
                </c:pt>
                <c:pt idx="168">
                  <c:v>116.673378341193</c:v>
                </c:pt>
                <c:pt idx="169">
                  <c:v>162.57471363970299</c:v>
                </c:pt>
                <c:pt idx="170">
                  <c:v>101.267029470382</c:v>
                </c:pt>
                <c:pt idx="171">
                  <c:v>123.72693859453101</c:v>
                </c:pt>
                <c:pt idx="172">
                  <c:v>138.84838115003799</c:v>
                </c:pt>
                <c:pt idx="173">
                  <c:v>156.70599197253799</c:v>
                </c:pt>
                <c:pt idx="174">
                  <c:v>129.36252443100901</c:v>
                </c:pt>
                <c:pt idx="175">
                  <c:v>143.71413347525601</c:v>
                </c:pt>
                <c:pt idx="176">
                  <c:v>139.811852090146</c:v>
                </c:pt>
                <c:pt idx="177">
                  <c:v>107.258825306505</c:v>
                </c:pt>
                <c:pt idx="178">
                  <c:v>104.93287276022301</c:v>
                </c:pt>
                <c:pt idx="179">
                  <c:v>110.694355766656</c:v>
                </c:pt>
                <c:pt idx="180">
                  <c:v>156.03041799335199</c:v>
                </c:pt>
                <c:pt idx="181">
                  <c:v>116.35512486127401</c:v>
                </c:pt>
                <c:pt idx="182">
                  <c:v>109.71012243000899</c:v>
                </c:pt>
                <c:pt idx="183">
                  <c:v>165.854242625338</c:v>
                </c:pt>
                <c:pt idx="184">
                  <c:v>132.25632907737</c:v>
                </c:pt>
                <c:pt idx="185">
                  <c:v>115.48088337948199</c:v>
                </c:pt>
                <c:pt idx="186">
                  <c:v>129.063794569424</c:v>
                </c:pt>
                <c:pt idx="187">
                  <c:v>132.927420983301</c:v>
                </c:pt>
                <c:pt idx="188">
                  <c:v>119.132222884885</c:v>
                </c:pt>
                <c:pt idx="189">
                  <c:v>102.512221046563</c:v>
                </c:pt>
                <c:pt idx="190">
                  <c:v>120.533479244823</c:v>
                </c:pt>
                <c:pt idx="191">
                  <c:v>127.258360877005</c:v>
                </c:pt>
                <c:pt idx="192">
                  <c:v>154.87102091842399</c:v>
                </c:pt>
                <c:pt idx="193">
                  <c:v>109.79307987092101</c:v>
                </c:pt>
                <c:pt idx="194">
                  <c:v>146.52676213026501</c:v>
                </c:pt>
                <c:pt idx="195">
                  <c:v>151.343440641195</c:v>
                </c:pt>
                <c:pt idx="196">
                  <c:v>165.425680892928</c:v>
                </c:pt>
                <c:pt idx="197">
                  <c:v>151.561141945717</c:v>
                </c:pt>
                <c:pt idx="198">
                  <c:v>129.27726954158899</c:v>
                </c:pt>
                <c:pt idx="199">
                  <c:v>120.11112768031199</c:v>
                </c:pt>
                <c:pt idx="200">
                  <c:v>110.984516072785</c:v>
                </c:pt>
                <c:pt idx="201">
                  <c:v>104.78449184098901</c:v>
                </c:pt>
                <c:pt idx="202">
                  <c:v>101.882101159104</c:v>
                </c:pt>
                <c:pt idx="203">
                  <c:v>105.498932412732</c:v>
                </c:pt>
                <c:pt idx="204">
                  <c:v>95.183164715569404</c:v>
                </c:pt>
                <c:pt idx="205">
                  <c:v>95.544087422285799</c:v>
                </c:pt>
                <c:pt idx="206">
                  <c:v>105.24972508163199</c:v>
                </c:pt>
                <c:pt idx="207">
                  <c:v>106.89054827494201</c:v>
                </c:pt>
                <c:pt idx="208">
                  <c:v>106.30000089868599</c:v>
                </c:pt>
                <c:pt idx="209">
                  <c:v>135.60784438553301</c:v>
                </c:pt>
                <c:pt idx="210">
                  <c:v>119.17044598368901</c:v>
                </c:pt>
                <c:pt idx="211">
                  <c:v>98.566898074551702</c:v>
                </c:pt>
                <c:pt idx="212">
                  <c:v>103.288545611008</c:v>
                </c:pt>
                <c:pt idx="213">
                  <c:v>124.007189950563</c:v>
                </c:pt>
                <c:pt idx="214">
                  <c:v>122.637087031465</c:v>
                </c:pt>
                <c:pt idx="215">
                  <c:v>111.65146490842299</c:v>
                </c:pt>
                <c:pt idx="216">
                  <c:v>104.345726350051</c:v>
                </c:pt>
                <c:pt idx="217">
                  <c:v>116.201772598963</c:v>
                </c:pt>
                <c:pt idx="218">
                  <c:v>151.99492063556801</c:v>
                </c:pt>
                <c:pt idx="219">
                  <c:v>103.84037785896599</c:v>
                </c:pt>
                <c:pt idx="220">
                  <c:v>95.749508899939102</c:v>
                </c:pt>
                <c:pt idx="221">
                  <c:v>152.58918325206099</c:v>
                </c:pt>
                <c:pt idx="222">
                  <c:v>127.21261137200101</c:v>
                </c:pt>
                <c:pt idx="223">
                  <c:v>104.07941890555399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C189-4F9C-B877-C2578F0FEF25}"/>
            </c:ext>
          </c:extLst>
        </c:ser>
        <c:ser>
          <c:idx val="7"/>
          <c:order val="7"/>
          <c:tx>
            <c:strRef>
              <c:f>'12 feature '!$F$37</c:f>
              <c:strCache>
                <c:ptCount val="1"/>
                <c:pt idx="0">
                  <c:v>(2)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'12 feature 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'12 feature '!$F$38:$F$500</c:f>
              <c:numCache>
                <c:formatCode>General</c:formatCode>
                <c:ptCount val="463"/>
                <c:pt idx="65">
                  <c:v>234.00036977318999</c:v>
                </c:pt>
                <c:pt idx="85">
                  <c:v>129.75839179821699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C189-4F9C-B877-C2578F0FEF25}"/>
            </c:ext>
          </c:extLst>
        </c:ser>
        <c:ser>
          <c:idx val="8"/>
          <c:order val="8"/>
          <c:tx>
            <c:strRef>
              <c:f>'12 feature '!$G$37</c:f>
              <c:strCache>
                <c:ptCount val="1"/>
                <c:pt idx="0">
                  <c:v>(3)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'12 feature 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'12 feature '!$G$38:$G$500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C189-4F9C-B877-C2578F0FEF25}"/>
            </c:ext>
          </c:extLst>
        </c:ser>
        <c:ser>
          <c:idx val="9"/>
          <c:order val="9"/>
          <c:tx>
            <c:strRef>
              <c:f>'12 feature '!$H$37</c:f>
              <c:strCache>
                <c:ptCount val="1"/>
                <c:pt idx="0">
                  <c:v>(4)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'12 feature 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'12 feature '!$H$38:$H$500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C189-4F9C-B877-C2578F0FEF25}"/>
            </c:ext>
          </c:extLst>
        </c:ser>
        <c:ser>
          <c:idx val="10"/>
          <c:order val="10"/>
          <c:tx>
            <c:strRef>
              <c:f>'12 feature '!$I$37</c:f>
              <c:strCache>
                <c:ptCount val="1"/>
                <c:pt idx="0">
                  <c:v>(5)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'12 feature 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'12 feature '!$I$38:$I$500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C189-4F9C-B877-C2578F0FEF25}"/>
            </c:ext>
          </c:extLst>
        </c:ser>
        <c:ser>
          <c:idx val="11"/>
          <c:order val="11"/>
          <c:tx>
            <c:strRef>
              <c:f>'12 feature '!$J$37</c:f>
              <c:strCache>
                <c:ptCount val="1"/>
                <c:pt idx="0">
                  <c:v>(6)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'12 feature 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'12 feature '!$J$38:$J$500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C189-4F9C-B877-C2578F0FEF25}"/>
            </c:ext>
          </c:extLst>
        </c:ser>
        <c:ser>
          <c:idx val="12"/>
          <c:order val="12"/>
          <c:tx>
            <c:strRef>
              <c:f>'12 feature '!$K$37</c:f>
              <c:strCache>
                <c:ptCount val="1"/>
                <c:pt idx="0">
                  <c:v>(7)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'12 feature 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'12 feature '!$K$38:$K$500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C189-4F9C-B877-C2578F0FEF25}"/>
            </c:ext>
          </c:extLst>
        </c:ser>
        <c:ser>
          <c:idx val="13"/>
          <c:order val="13"/>
          <c:tx>
            <c:strRef>
              <c:f>'12 feature '!$L$37</c:f>
              <c:strCache>
                <c:ptCount val="1"/>
                <c:pt idx="0">
                  <c:v>(8)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'12 feature 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'12 feature '!$L$38:$L$500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C189-4F9C-B877-C2578F0FEF25}"/>
            </c:ext>
          </c:extLst>
        </c:ser>
        <c:ser>
          <c:idx val="14"/>
          <c:order val="14"/>
          <c:tx>
            <c:strRef>
              <c:f>'12 feature '!$M$37</c:f>
              <c:strCache>
                <c:ptCount val="1"/>
                <c:pt idx="0">
                  <c:v>(9)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'12 feature 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'12 feature '!$M$38:$M$500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C189-4F9C-B877-C2578F0FEF25}"/>
            </c:ext>
          </c:extLst>
        </c:ser>
        <c:ser>
          <c:idx val="15"/>
          <c:order val="15"/>
          <c:tx>
            <c:strRef>
              <c:f>'12 feature '!$N$37</c:f>
              <c:strCache>
                <c:ptCount val="1"/>
                <c:pt idx="0">
                  <c:v>(10)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'12 feature 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'12 feature '!$N$38:$N$500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C189-4F9C-B877-C2578F0FEF25}"/>
            </c:ext>
          </c:extLst>
        </c:ser>
        <c:ser>
          <c:idx val="16"/>
          <c:order val="16"/>
          <c:tx>
            <c:strRef>
              <c:f>'12 feature '!$O$37</c:f>
              <c:strCache>
                <c:ptCount val="1"/>
                <c:pt idx="0">
                  <c:v>(11)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'12 feature 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'12 feature '!$O$38:$O$500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C189-4F9C-B877-C2578F0FEF25}"/>
            </c:ext>
          </c:extLst>
        </c:ser>
        <c:ser>
          <c:idx val="17"/>
          <c:order val="17"/>
          <c:tx>
            <c:strRef>
              <c:f>'12 feature '!$P$37</c:f>
              <c:strCache>
                <c:ptCount val="1"/>
                <c:pt idx="0">
                  <c:v>(12)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'12 feature 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'12 feature '!$P$38:$P$500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C189-4F9C-B877-C2578F0FE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Commercial Glucose Meter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17413387810992"/>
          <c:y val="2.3096714792892357E-2"/>
          <c:w val="0.74767346830669956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325-4C95-BE05-798B840F635C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A325-4C95-BE05-798B840F635C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A325-4C95-BE05-798B840F635C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325-4C95-BE05-798B840F635C}"/>
              </c:ext>
            </c:extLst>
          </c:dPt>
          <c:dPt>
            <c:idx val="6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A325-4C95-BE05-798B840F635C}"/>
              </c:ext>
            </c:extLst>
          </c:dPt>
          <c:dPt>
            <c:idx val="7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A325-4C95-BE05-798B840F635C}"/>
              </c:ext>
            </c:extLst>
          </c:dPt>
          <c:dPt>
            <c:idx val="8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A325-4C95-BE05-798B840F635C}"/>
              </c:ext>
            </c:extLst>
          </c:dPt>
          <c:dPt>
            <c:idx val="9"/>
            <c:bubble3D val="0"/>
            <c:spPr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A325-4C95-BE05-798B840F635C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325-4C95-BE05-798B840F635C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A325-4C95-BE05-798B840F635C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A325-4C95-BE05-798B840F635C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A325-4C95-BE05-798B840F635C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A325-4C95-BE05-798B840F635C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A325-4C95-BE05-798B840F635C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A325-4C95-BE05-798B840F635C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A325-4C95-BE05-798B840F635C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A325-4C95-BE05-798B840F635C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A325-4C95-BE05-798B840F635C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A325-4C95-BE05-798B840F635C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A325-4C95-BE05-798B840F635C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A325-4C95-BE05-798B840F635C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A325-4C95-BE05-798B840F635C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A325-4C95-BE05-798B840F635C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A325-4C95-BE05-798B840F635C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A325-4C95-BE05-798B840F635C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A325-4C95-BE05-798B840F635C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A325-4C95-BE05-798B840F635C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A325-4C95-BE05-798B840F635C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xVal>
            <c:numRef>
              <c:f>[1]mgdL!$E$3</c:f>
              <c:numCache>
                <c:formatCode>General</c:formatCode>
                <c:ptCount val="1"/>
              </c:numCache>
            </c:numRef>
          </c:xVal>
          <c:yVal>
            <c:numRef>
              <c:f>[1]mgdL!$N$3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A325-4C95-BE05-798B840F635C}"/>
            </c:ext>
          </c:extLst>
        </c:ser>
        <c:ser>
          <c:idx val="6"/>
          <c:order val="6"/>
          <c:tx>
            <c:strRef>
              <c:f>'24  feature - 沒斜邊'!$E$37</c:f>
              <c:strCache>
                <c:ptCount val="1"/>
                <c:pt idx="0">
                  <c:v>(1)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4F81BD"/>
              </a:solidFill>
            </c:spPr>
          </c:marker>
          <c:xVal>
            <c:numRef>
              <c:f>'24  feature - 沒斜邊'!$D$38:$D$500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'24  feature - 沒斜邊'!$E$38:$E$500</c:f>
              <c:numCache>
                <c:formatCode>General</c:formatCode>
                <c:ptCount val="463"/>
                <c:pt idx="0">
                  <c:v>135.75429484513299</c:v>
                </c:pt>
                <c:pt idx="1">
                  <c:v>155.03443021975599</c:v>
                </c:pt>
                <c:pt idx="2">
                  <c:v>144.76207470843599</c:v>
                </c:pt>
                <c:pt idx="3">
                  <c:v>140.00543391386699</c:v>
                </c:pt>
                <c:pt idx="4">
                  <c:v>143.65812159458901</c:v>
                </c:pt>
                <c:pt idx="5">
                  <c:v>153.18621096299401</c:v>
                </c:pt>
                <c:pt idx="6">
                  <c:v>123.152771760503</c:v>
                </c:pt>
                <c:pt idx="7">
                  <c:v>162.65054327912199</c:v>
                </c:pt>
                <c:pt idx="8">
                  <c:v>159.780189162531</c:v>
                </c:pt>
                <c:pt idx="9">
                  <c:v>159.561333749667</c:v>
                </c:pt>
                <c:pt idx="10">
                  <c:v>141.05172106144701</c:v>
                </c:pt>
                <c:pt idx="11">
                  <c:v>124.04263542550299</c:v>
                </c:pt>
                <c:pt idx="12">
                  <c:v>124.237822174488</c:v>
                </c:pt>
                <c:pt idx="13">
                  <c:v>137.96007879188201</c:v>
                </c:pt>
                <c:pt idx="14">
                  <c:v>123.891558496242</c:v>
                </c:pt>
                <c:pt idx="15">
                  <c:v>116.111222327221</c:v>
                </c:pt>
                <c:pt idx="16">
                  <c:v>104.797881220531</c:v>
                </c:pt>
                <c:pt idx="17">
                  <c:v>166.48938509204899</c:v>
                </c:pt>
                <c:pt idx="18">
                  <c:v>144.38132675268801</c:v>
                </c:pt>
                <c:pt idx="19">
                  <c:v>132.78887781193899</c:v>
                </c:pt>
                <c:pt idx="20">
                  <c:v>100.953232379659</c:v>
                </c:pt>
                <c:pt idx="21">
                  <c:v>126.772400962638</c:v>
                </c:pt>
                <c:pt idx="22">
                  <c:v>106.78588180435101</c:v>
                </c:pt>
                <c:pt idx="23">
                  <c:v>110.167470738665</c:v>
                </c:pt>
                <c:pt idx="24">
                  <c:v>199.240451703562</c:v>
                </c:pt>
                <c:pt idx="25">
                  <c:v>220.043189115377</c:v>
                </c:pt>
                <c:pt idx="26">
                  <c:v>191.80869485295199</c:v>
                </c:pt>
                <c:pt idx="27">
                  <c:v>215.97867668740301</c:v>
                </c:pt>
                <c:pt idx="28">
                  <c:v>404.62360701006202</c:v>
                </c:pt>
                <c:pt idx="29">
                  <c:v>101.72180679960501</c:v>
                </c:pt>
                <c:pt idx="30">
                  <c:v>158.86751972043999</c:v>
                </c:pt>
                <c:pt idx="31">
                  <c:v>136.393627747024</c:v>
                </c:pt>
                <c:pt idx="32">
                  <c:v>135.46024454845701</c:v>
                </c:pt>
                <c:pt idx="33">
                  <c:v>114.272612885573</c:v>
                </c:pt>
                <c:pt idx="34">
                  <c:v>159.81931258473199</c:v>
                </c:pt>
                <c:pt idx="35">
                  <c:v>174.52706605508399</c:v>
                </c:pt>
                <c:pt idx="36">
                  <c:v>131.89293066354799</c:v>
                </c:pt>
                <c:pt idx="37">
                  <c:v>114.19180333592099</c:v>
                </c:pt>
                <c:pt idx="38">
                  <c:v>154.463035572232</c:v>
                </c:pt>
                <c:pt idx="39">
                  <c:v>169.829761700825</c:v>
                </c:pt>
                <c:pt idx="40">
                  <c:v>177.14216743414599</c:v>
                </c:pt>
                <c:pt idx="41">
                  <c:v>226.251103878214</c:v>
                </c:pt>
                <c:pt idx="42">
                  <c:v>205.61040761820999</c:v>
                </c:pt>
                <c:pt idx="43">
                  <c:v>219.55598582832201</c:v>
                </c:pt>
                <c:pt idx="44">
                  <c:v>239.00561547432099</c:v>
                </c:pt>
                <c:pt idx="45">
                  <c:v>188.53132615020399</c:v>
                </c:pt>
                <c:pt idx="46">
                  <c:v>235.542327506319</c:v>
                </c:pt>
                <c:pt idx="47">
                  <c:v>235.82869231319901</c:v>
                </c:pt>
                <c:pt idx="48">
                  <c:v>94.788553536336295</c:v>
                </c:pt>
                <c:pt idx="49">
                  <c:v>150.80092020097001</c:v>
                </c:pt>
                <c:pt idx="50">
                  <c:v>162.16276184756299</c:v>
                </c:pt>
                <c:pt idx="51">
                  <c:v>119.61812498227199</c:v>
                </c:pt>
                <c:pt idx="52">
                  <c:v>95.079735106022497</c:v>
                </c:pt>
                <c:pt idx="53">
                  <c:v>155.065504190506</c:v>
                </c:pt>
                <c:pt idx="54">
                  <c:v>159.05564312678999</c:v>
                </c:pt>
                <c:pt idx="55">
                  <c:v>116.93752159344</c:v>
                </c:pt>
                <c:pt idx="56">
                  <c:v>122.369024714682</c:v>
                </c:pt>
                <c:pt idx="57">
                  <c:v>127.706372504548</c:v>
                </c:pt>
                <c:pt idx="58">
                  <c:v>141.53771614488701</c:v>
                </c:pt>
                <c:pt idx="59">
                  <c:v>137.54166761449301</c:v>
                </c:pt>
                <c:pt idx="60">
                  <c:v>121.807275063143</c:v>
                </c:pt>
                <c:pt idx="61">
                  <c:v>128.66576692184699</c:v>
                </c:pt>
                <c:pt idx="62">
                  <c:v>144.85593953958099</c:v>
                </c:pt>
                <c:pt idx="63">
                  <c:v>141.816541411023</c:v>
                </c:pt>
                <c:pt idx="64">
                  <c:v>194.327514211589</c:v>
                </c:pt>
                <c:pt idx="65">
                  <c:v>234.00036977318999</c:v>
                </c:pt>
                <c:pt idx="66">
                  <c:v>189.010402696201</c:v>
                </c:pt>
                <c:pt idx="67">
                  <c:v>213.11615088701899</c:v>
                </c:pt>
                <c:pt idx="68">
                  <c:v>219.84357295243601</c:v>
                </c:pt>
                <c:pt idx="69">
                  <c:v>199.25341665435599</c:v>
                </c:pt>
                <c:pt idx="70">
                  <c:v>221.15058385481501</c:v>
                </c:pt>
                <c:pt idx="71">
                  <c:v>226.523787516346</c:v>
                </c:pt>
                <c:pt idx="72">
                  <c:v>218.63837308586599</c:v>
                </c:pt>
                <c:pt idx="73">
                  <c:v>206.61668508043499</c:v>
                </c:pt>
                <c:pt idx="74">
                  <c:v>199.224979581122</c:v>
                </c:pt>
                <c:pt idx="75">
                  <c:v>214.65314697105001</c:v>
                </c:pt>
                <c:pt idx="76">
                  <c:v>206.80987051064599</c:v>
                </c:pt>
                <c:pt idx="77">
                  <c:v>160.94460161714599</c:v>
                </c:pt>
                <c:pt idx="78">
                  <c:v>178.84642119518099</c:v>
                </c:pt>
                <c:pt idx="79">
                  <c:v>228.64486189458</c:v>
                </c:pt>
                <c:pt idx="80">
                  <c:v>276.84229934070203</c:v>
                </c:pt>
                <c:pt idx="81">
                  <c:v>319.15652315150999</c:v>
                </c:pt>
                <c:pt idx="82">
                  <c:v>240.419937051044</c:v>
                </c:pt>
                <c:pt idx="83">
                  <c:v>240.91130829002199</c:v>
                </c:pt>
                <c:pt idx="84">
                  <c:v>238.32433555484599</c:v>
                </c:pt>
                <c:pt idx="85">
                  <c:v>129.75839179821699</c:v>
                </c:pt>
                <c:pt idx="86">
                  <c:v>131.99208673221699</c:v>
                </c:pt>
                <c:pt idx="87">
                  <c:v>115.485981405058</c:v>
                </c:pt>
                <c:pt idx="88">
                  <c:v>113.89445741414001</c:v>
                </c:pt>
                <c:pt idx="89">
                  <c:v>171.82498395936</c:v>
                </c:pt>
                <c:pt idx="90">
                  <c:v>142.759024513036</c:v>
                </c:pt>
                <c:pt idx="91">
                  <c:v>151.93568499636899</c:v>
                </c:pt>
                <c:pt idx="92">
                  <c:v>231.98906177068301</c:v>
                </c:pt>
                <c:pt idx="93">
                  <c:v>215.31838187257799</c:v>
                </c:pt>
                <c:pt idx="94">
                  <c:v>218.70516993082299</c:v>
                </c:pt>
                <c:pt idx="95">
                  <c:v>235.72373994313699</c:v>
                </c:pt>
                <c:pt idx="96">
                  <c:v>232.70714595220099</c:v>
                </c:pt>
                <c:pt idx="97">
                  <c:v>235.904337909878</c:v>
                </c:pt>
                <c:pt idx="98">
                  <c:v>129.28670728487</c:v>
                </c:pt>
                <c:pt idx="99">
                  <c:v>178.509904990287</c:v>
                </c:pt>
                <c:pt idx="100">
                  <c:v>148.42543139174299</c:v>
                </c:pt>
                <c:pt idx="101">
                  <c:v>145.226571461345</c:v>
                </c:pt>
                <c:pt idx="102">
                  <c:v>118.995086761096</c:v>
                </c:pt>
                <c:pt idx="103">
                  <c:v>146.67326518184001</c:v>
                </c:pt>
                <c:pt idx="104">
                  <c:v>138.21823471713299</c:v>
                </c:pt>
                <c:pt idx="105">
                  <c:v>117.846460567775</c:v>
                </c:pt>
                <c:pt idx="106">
                  <c:v>139.72447835911399</c:v>
                </c:pt>
                <c:pt idx="107">
                  <c:v>156.55953084316599</c:v>
                </c:pt>
                <c:pt idx="108">
                  <c:v>159.035330533696</c:v>
                </c:pt>
                <c:pt idx="109">
                  <c:v>157.22380573654701</c:v>
                </c:pt>
                <c:pt idx="110">
                  <c:v>192.71362816138799</c:v>
                </c:pt>
                <c:pt idx="111">
                  <c:v>189.672130109509</c:v>
                </c:pt>
                <c:pt idx="112">
                  <c:v>164.944055561216</c:v>
                </c:pt>
                <c:pt idx="113">
                  <c:v>126.555479614757</c:v>
                </c:pt>
                <c:pt idx="114">
                  <c:v>167.04944807398499</c:v>
                </c:pt>
                <c:pt idx="115">
                  <c:v>171.99262000248501</c:v>
                </c:pt>
                <c:pt idx="116">
                  <c:v>151.67907297539199</c:v>
                </c:pt>
                <c:pt idx="117">
                  <c:v>112.887377379488</c:v>
                </c:pt>
                <c:pt idx="118">
                  <c:v>142.58501196155899</c:v>
                </c:pt>
                <c:pt idx="119">
                  <c:v>93.176542188285694</c:v>
                </c:pt>
                <c:pt idx="120">
                  <c:v>84.594817166128607</c:v>
                </c:pt>
                <c:pt idx="121">
                  <c:v>95.197156569997304</c:v>
                </c:pt>
                <c:pt idx="122">
                  <c:v>90.540560369283</c:v>
                </c:pt>
                <c:pt idx="123">
                  <c:v>123.672942364256</c:v>
                </c:pt>
                <c:pt idx="124">
                  <c:v>140.61836663292999</c:v>
                </c:pt>
                <c:pt idx="125">
                  <c:v>106.571596989909</c:v>
                </c:pt>
                <c:pt idx="126">
                  <c:v>157.220657581723</c:v>
                </c:pt>
                <c:pt idx="127">
                  <c:v>151.165899998143</c:v>
                </c:pt>
                <c:pt idx="128">
                  <c:v>157.91951334104601</c:v>
                </c:pt>
                <c:pt idx="129">
                  <c:v>124.843045410771</c:v>
                </c:pt>
                <c:pt idx="130">
                  <c:v>146.92835719221301</c:v>
                </c:pt>
                <c:pt idx="131">
                  <c:v>124.13587998236601</c:v>
                </c:pt>
                <c:pt idx="132">
                  <c:v>129.18141490257401</c:v>
                </c:pt>
                <c:pt idx="133">
                  <c:v>127.92726865813501</c:v>
                </c:pt>
                <c:pt idx="134">
                  <c:v>125.54229649291899</c:v>
                </c:pt>
                <c:pt idx="135">
                  <c:v>128.23856034097801</c:v>
                </c:pt>
                <c:pt idx="136">
                  <c:v>104.766405761009</c:v>
                </c:pt>
                <c:pt idx="137">
                  <c:v>117.531036969534</c:v>
                </c:pt>
                <c:pt idx="138">
                  <c:v>102.854142687262</c:v>
                </c:pt>
                <c:pt idx="139">
                  <c:v>112.73290067089199</c:v>
                </c:pt>
                <c:pt idx="140">
                  <c:v>123.599048667593</c:v>
                </c:pt>
                <c:pt idx="141">
                  <c:v>95.312161232298195</c:v>
                </c:pt>
                <c:pt idx="142">
                  <c:v>124.761369515811</c:v>
                </c:pt>
                <c:pt idx="143">
                  <c:v>142.843660593332</c:v>
                </c:pt>
                <c:pt idx="144">
                  <c:v>124.741378540813</c:v>
                </c:pt>
                <c:pt idx="145">
                  <c:v>113.807846318751</c:v>
                </c:pt>
                <c:pt idx="146">
                  <c:v>126.048376564761</c:v>
                </c:pt>
                <c:pt idx="147">
                  <c:v>113.666895972769</c:v>
                </c:pt>
                <c:pt idx="148">
                  <c:v>128.067613062584</c:v>
                </c:pt>
                <c:pt idx="149">
                  <c:v>101.760478535774</c:v>
                </c:pt>
                <c:pt idx="150">
                  <c:v>108.969519547427</c:v>
                </c:pt>
                <c:pt idx="151">
                  <c:v>172.77007835641601</c:v>
                </c:pt>
                <c:pt idx="152">
                  <c:v>110.271990648223</c:v>
                </c:pt>
                <c:pt idx="153">
                  <c:v>106.378687980618</c:v>
                </c:pt>
                <c:pt idx="154">
                  <c:v>154.63261335803901</c:v>
                </c:pt>
                <c:pt idx="155">
                  <c:v>144.10749675748099</c:v>
                </c:pt>
                <c:pt idx="156">
                  <c:v>110.487593689584</c:v>
                </c:pt>
                <c:pt idx="157">
                  <c:v>99.866854604135199</c:v>
                </c:pt>
                <c:pt idx="158">
                  <c:v>106.647682292187</c:v>
                </c:pt>
                <c:pt idx="159">
                  <c:v>109.71053578585401</c:v>
                </c:pt>
                <c:pt idx="160">
                  <c:v>106.434856125953</c:v>
                </c:pt>
                <c:pt idx="161">
                  <c:v>107.003649688102</c:v>
                </c:pt>
                <c:pt idx="162">
                  <c:v>108.244981941091</c:v>
                </c:pt>
                <c:pt idx="163">
                  <c:v>139.19192011802099</c:v>
                </c:pt>
                <c:pt idx="164">
                  <c:v>126.190680985974</c:v>
                </c:pt>
                <c:pt idx="165">
                  <c:v>108.44123377990201</c:v>
                </c:pt>
                <c:pt idx="166">
                  <c:v>98.091543708237893</c:v>
                </c:pt>
                <c:pt idx="167">
                  <c:v>100.807214138586</c:v>
                </c:pt>
                <c:pt idx="168">
                  <c:v>116.673378341193</c:v>
                </c:pt>
                <c:pt idx="169">
                  <c:v>162.57471363970299</c:v>
                </c:pt>
                <c:pt idx="170">
                  <c:v>101.267029470382</c:v>
                </c:pt>
                <c:pt idx="171">
                  <c:v>123.72693859453101</c:v>
                </c:pt>
                <c:pt idx="172">
                  <c:v>138.84838115003799</c:v>
                </c:pt>
                <c:pt idx="173">
                  <c:v>156.70599197253799</c:v>
                </c:pt>
                <c:pt idx="174">
                  <c:v>129.36252443100901</c:v>
                </c:pt>
                <c:pt idx="175">
                  <c:v>143.71413347525601</c:v>
                </c:pt>
                <c:pt idx="176">
                  <c:v>139.811852090146</c:v>
                </c:pt>
                <c:pt idx="177">
                  <c:v>107.258825306505</c:v>
                </c:pt>
                <c:pt idx="178">
                  <c:v>104.93287276022301</c:v>
                </c:pt>
                <c:pt idx="179">
                  <c:v>110.694355766656</c:v>
                </c:pt>
                <c:pt idx="180">
                  <c:v>156.03041799335199</c:v>
                </c:pt>
                <c:pt idx="181">
                  <c:v>116.35512486127401</c:v>
                </c:pt>
                <c:pt idx="182">
                  <c:v>109.71012243000899</c:v>
                </c:pt>
                <c:pt idx="183">
                  <c:v>165.854242625338</c:v>
                </c:pt>
                <c:pt idx="184">
                  <c:v>132.25632907737</c:v>
                </c:pt>
                <c:pt idx="185">
                  <c:v>115.48088337948199</c:v>
                </c:pt>
                <c:pt idx="186">
                  <c:v>129.063794569424</c:v>
                </c:pt>
                <c:pt idx="187">
                  <c:v>132.927420983301</c:v>
                </c:pt>
                <c:pt idx="188">
                  <c:v>119.132222884885</c:v>
                </c:pt>
                <c:pt idx="189">
                  <c:v>102.512221046563</c:v>
                </c:pt>
                <c:pt idx="190">
                  <c:v>120.533479244823</c:v>
                </c:pt>
                <c:pt idx="191">
                  <c:v>127.258360877005</c:v>
                </c:pt>
                <c:pt idx="192">
                  <c:v>154.87102091842399</c:v>
                </c:pt>
                <c:pt idx="193">
                  <c:v>109.79307987092101</c:v>
                </c:pt>
                <c:pt idx="194">
                  <c:v>146.52676213026501</c:v>
                </c:pt>
                <c:pt idx="195">
                  <c:v>151.343440641195</c:v>
                </c:pt>
                <c:pt idx="196">
                  <c:v>165.425680892928</c:v>
                </c:pt>
                <c:pt idx="197">
                  <c:v>151.561141945717</c:v>
                </c:pt>
                <c:pt idx="198">
                  <c:v>129.27726954158899</c:v>
                </c:pt>
                <c:pt idx="199">
                  <c:v>120.11112768031199</c:v>
                </c:pt>
                <c:pt idx="200">
                  <c:v>110.984516072785</c:v>
                </c:pt>
                <c:pt idx="201">
                  <c:v>104.78449184098901</c:v>
                </c:pt>
                <c:pt idx="202">
                  <c:v>101.882101159104</c:v>
                </c:pt>
                <c:pt idx="203">
                  <c:v>105.498932412732</c:v>
                </c:pt>
                <c:pt idx="204">
                  <c:v>95.183164715569404</c:v>
                </c:pt>
                <c:pt idx="205">
                  <c:v>95.544087422285799</c:v>
                </c:pt>
                <c:pt idx="206">
                  <c:v>105.24972508163199</c:v>
                </c:pt>
                <c:pt idx="207">
                  <c:v>106.89054827494201</c:v>
                </c:pt>
                <c:pt idx="208">
                  <c:v>106.30000089868599</c:v>
                </c:pt>
                <c:pt idx="209">
                  <c:v>135.60784438553301</c:v>
                </c:pt>
                <c:pt idx="210">
                  <c:v>119.17044598368901</c:v>
                </c:pt>
                <c:pt idx="211">
                  <c:v>98.566898074551702</c:v>
                </c:pt>
                <c:pt idx="212">
                  <c:v>103.288545611008</c:v>
                </c:pt>
                <c:pt idx="213">
                  <c:v>124.007189950563</c:v>
                </c:pt>
                <c:pt idx="214">
                  <c:v>122.637087031465</c:v>
                </c:pt>
                <c:pt idx="215">
                  <c:v>111.65146490842299</c:v>
                </c:pt>
                <c:pt idx="216">
                  <c:v>104.345726350051</c:v>
                </c:pt>
                <c:pt idx="217">
                  <c:v>116.201772598963</c:v>
                </c:pt>
                <c:pt idx="218">
                  <c:v>151.99492063556801</c:v>
                </c:pt>
                <c:pt idx="219">
                  <c:v>103.84037785896599</c:v>
                </c:pt>
                <c:pt idx="220">
                  <c:v>95.749508899939102</c:v>
                </c:pt>
                <c:pt idx="221">
                  <c:v>152.58918325206099</c:v>
                </c:pt>
                <c:pt idx="222">
                  <c:v>127.21261137200101</c:v>
                </c:pt>
                <c:pt idx="223">
                  <c:v>104.07941890555399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A325-4C95-BE05-798B840F635C}"/>
            </c:ext>
          </c:extLst>
        </c:ser>
        <c:ser>
          <c:idx val="7"/>
          <c:order val="7"/>
          <c:tx>
            <c:strRef>
              <c:f>'24  feature - 沒斜邊'!$F$37</c:f>
              <c:strCache>
                <c:ptCount val="1"/>
                <c:pt idx="0">
                  <c:v>(2)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'24  feature - 沒斜邊'!$D$38:$D$500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'24  feature - 沒斜邊'!$F$38:$F$500</c:f>
              <c:numCache>
                <c:formatCode>General</c:formatCode>
                <c:ptCount val="463"/>
                <c:pt idx="9">
                  <c:v>159.561333749667</c:v>
                </c:pt>
                <c:pt idx="65">
                  <c:v>234.00036977318999</c:v>
                </c:pt>
                <c:pt idx="85">
                  <c:v>129.75839179821699</c:v>
                </c:pt>
                <c:pt idx="111">
                  <c:v>189.672130109509</c:v>
                </c:pt>
                <c:pt idx="197">
                  <c:v>151.561141945717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A325-4C95-BE05-798B840F635C}"/>
            </c:ext>
          </c:extLst>
        </c:ser>
        <c:ser>
          <c:idx val="8"/>
          <c:order val="8"/>
          <c:tx>
            <c:strRef>
              <c:f>'24  feature - 沒斜邊'!$G$37</c:f>
              <c:strCache>
                <c:ptCount val="1"/>
                <c:pt idx="0">
                  <c:v>(3)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'24  feature - 沒斜邊'!$D$38:$D$500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'24  feature - 沒斜邊'!$G$38:$G$500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A325-4C95-BE05-798B840F635C}"/>
            </c:ext>
          </c:extLst>
        </c:ser>
        <c:ser>
          <c:idx val="9"/>
          <c:order val="9"/>
          <c:tx>
            <c:strRef>
              <c:f>'24  feature - 沒斜邊'!$H$37</c:f>
              <c:strCache>
                <c:ptCount val="1"/>
                <c:pt idx="0">
                  <c:v>(4)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'24  feature - 沒斜邊'!$D$38:$D$500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'24  feature - 沒斜邊'!$H$38:$H$500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A325-4C95-BE05-798B840F635C}"/>
            </c:ext>
          </c:extLst>
        </c:ser>
        <c:ser>
          <c:idx val="10"/>
          <c:order val="10"/>
          <c:tx>
            <c:strRef>
              <c:f>'24  feature - 沒斜邊'!$I$37</c:f>
              <c:strCache>
                <c:ptCount val="1"/>
                <c:pt idx="0">
                  <c:v>(5)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'24  feature - 沒斜邊'!$D$38:$D$500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'24  feature - 沒斜邊'!$I$38:$I$500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325-4C95-BE05-798B840F635C}"/>
            </c:ext>
          </c:extLst>
        </c:ser>
        <c:ser>
          <c:idx val="11"/>
          <c:order val="11"/>
          <c:tx>
            <c:strRef>
              <c:f>'24  feature - 沒斜邊'!$J$37</c:f>
              <c:strCache>
                <c:ptCount val="1"/>
                <c:pt idx="0">
                  <c:v>(6)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'24  feature - 沒斜邊'!$D$38:$D$500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'24  feature - 沒斜邊'!$J$38:$J$500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325-4C95-BE05-798B840F635C}"/>
            </c:ext>
          </c:extLst>
        </c:ser>
        <c:ser>
          <c:idx val="12"/>
          <c:order val="12"/>
          <c:tx>
            <c:strRef>
              <c:f>'24  feature - 沒斜邊'!$K$37</c:f>
              <c:strCache>
                <c:ptCount val="1"/>
                <c:pt idx="0">
                  <c:v>(7)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'24  feature - 沒斜邊'!$D$38:$D$500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'24  feature - 沒斜邊'!$K$38:$K$500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325-4C95-BE05-798B840F635C}"/>
            </c:ext>
          </c:extLst>
        </c:ser>
        <c:ser>
          <c:idx val="13"/>
          <c:order val="13"/>
          <c:tx>
            <c:strRef>
              <c:f>'24  feature - 沒斜邊'!$L$37</c:f>
              <c:strCache>
                <c:ptCount val="1"/>
                <c:pt idx="0">
                  <c:v>(8)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'24  feature - 沒斜邊'!$D$38:$D$500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'24  feature - 沒斜邊'!$L$38:$L$500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325-4C95-BE05-798B840F635C}"/>
            </c:ext>
          </c:extLst>
        </c:ser>
        <c:ser>
          <c:idx val="14"/>
          <c:order val="14"/>
          <c:tx>
            <c:strRef>
              <c:f>'24  feature - 沒斜邊'!$M$37</c:f>
              <c:strCache>
                <c:ptCount val="1"/>
                <c:pt idx="0">
                  <c:v>(9)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'24  feature - 沒斜邊'!$D$38:$D$500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'24  feature - 沒斜邊'!$M$38:$M$500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325-4C95-BE05-798B840F635C}"/>
            </c:ext>
          </c:extLst>
        </c:ser>
        <c:ser>
          <c:idx val="15"/>
          <c:order val="15"/>
          <c:tx>
            <c:strRef>
              <c:f>'24  feature - 沒斜邊'!$N$37</c:f>
              <c:strCache>
                <c:ptCount val="1"/>
                <c:pt idx="0">
                  <c:v>(10)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'24  feature - 沒斜邊'!$D$38:$D$500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'24  feature - 沒斜邊'!$N$38:$N$500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325-4C95-BE05-798B840F635C}"/>
            </c:ext>
          </c:extLst>
        </c:ser>
        <c:ser>
          <c:idx val="16"/>
          <c:order val="16"/>
          <c:tx>
            <c:strRef>
              <c:f>'24  feature - 沒斜邊'!$O$37</c:f>
              <c:strCache>
                <c:ptCount val="1"/>
                <c:pt idx="0">
                  <c:v>(11)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'24  feature - 沒斜邊'!$D$38:$D$500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'24  feature - 沒斜邊'!$O$38:$O$500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325-4C95-BE05-798B840F635C}"/>
            </c:ext>
          </c:extLst>
        </c:ser>
        <c:ser>
          <c:idx val="17"/>
          <c:order val="17"/>
          <c:tx>
            <c:strRef>
              <c:f>'24  feature - 沒斜邊'!$P$37</c:f>
              <c:strCache>
                <c:ptCount val="1"/>
                <c:pt idx="0">
                  <c:v>(12)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'24  feature - 沒斜邊'!$D$38:$D$500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'24  feature - 沒斜邊'!$P$38:$P$500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325-4C95-BE05-798B840F6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Commercial Glucose Meter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17413387810992"/>
          <c:y val="2.3096714792892357E-2"/>
          <c:w val="0.74767346830669956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5F5-41A8-A576-FE4EB58CCFE2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25F5-41A8-A576-FE4EB58CCFE2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25F5-41A8-A576-FE4EB58CCFE2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5F5-41A8-A576-FE4EB58CCFE2}"/>
              </c:ext>
            </c:extLst>
          </c:dPt>
          <c:dPt>
            <c:idx val="6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25F5-41A8-A576-FE4EB58CCFE2}"/>
              </c:ext>
            </c:extLst>
          </c:dPt>
          <c:dPt>
            <c:idx val="7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25F5-41A8-A576-FE4EB58CCFE2}"/>
              </c:ext>
            </c:extLst>
          </c:dPt>
          <c:dPt>
            <c:idx val="8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25F5-41A8-A576-FE4EB58CCFE2}"/>
              </c:ext>
            </c:extLst>
          </c:dPt>
          <c:dPt>
            <c:idx val="9"/>
            <c:bubble3D val="0"/>
            <c:spPr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25F5-41A8-A576-FE4EB58CCFE2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5F5-41A8-A576-FE4EB58CCFE2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25F5-41A8-A576-FE4EB58CCFE2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25F5-41A8-A576-FE4EB58CCFE2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25F5-41A8-A576-FE4EB58CCFE2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25F5-41A8-A576-FE4EB58CCFE2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25F5-41A8-A576-FE4EB58CCFE2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25F5-41A8-A576-FE4EB58CCFE2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25F5-41A8-A576-FE4EB58CCFE2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25F5-41A8-A576-FE4EB58CCFE2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25F5-41A8-A576-FE4EB58CCFE2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25F5-41A8-A576-FE4EB58CCFE2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25F5-41A8-A576-FE4EB58CCFE2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25F5-41A8-A576-FE4EB58CCFE2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25F5-41A8-A576-FE4EB58CCFE2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25F5-41A8-A576-FE4EB58CCFE2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5F5-41A8-A576-FE4EB58CCFE2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25F5-41A8-A576-FE4EB58CCFE2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25F5-41A8-A576-FE4EB58CCFE2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5F5-41A8-A576-FE4EB58CCFE2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5F5-41A8-A576-FE4EB58CCFE2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xVal>
            <c:numRef>
              <c:f>[1]mgdL!$E$3</c:f>
              <c:numCache>
                <c:formatCode>General</c:formatCode>
                <c:ptCount val="1"/>
              </c:numCache>
            </c:numRef>
          </c:xVal>
          <c:yVal>
            <c:numRef>
              <c:f>[1]mgdL!$N$3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25F5-41A8-A576-FE4EB58CCFE2}"/>
            </c:ext>
          </c:extLst>
        </c:ser>
        <c:ser>
          <c:idx val="6"/>
          <c:order val="6"/>
          <c:tx>
            <c:strRef>
              <c:f>'20  feature - no theta'!$E$37</c:f>
              <c:strCache>
                <c:ptCount val="1"/>
                <c:pt idx="0">
                  <c:v>(1)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4F81BD"/>
              </a:solidFill>
            </c:spPr>
          </c:marker>
          <c:xVal>
            <c:numRef>
              <c:f>'20  feature - no theta'!$D$38:$D$500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'20  feature - no theta'!$E$38:$E$500</c:f>
              <c:numCache>
                <c:formatCode>General</c:formatCode>
                <c:ptCount val="463"/>
                <c:pt idx="0">
                  <c:v>135.75429484513299</c:v>
                </c:pt>
                <c:pt idx="1">
                  <c:v>155.03443021975599</c:v>
                </c:pt>
                <c:pt idx="2">
                  <c:v>144.76207470843599</c:v>
                </c:pt>
                <c:pt idx="3">
                  <c:v>140.00543391386699</c:v>
                </c:pt>
                <c:pt idx="4">
                  <c:v>143.65812159458901</c:v>
                </c:pt>
                <c:pt idx="5">
                  <c:v>153.18621096299401</c:v>
                </c:pt>
                <c:pt idx="6">
                  <c:v>123.152771760503</c:v>
                </c:pt>
                <c:pt idx="7">
                  <c:v>162.65054327912199</c:v>
                </c:pt>
                <c:pt idx="8">
                  <c:v>159.780189162531</c:v>
                </c:pt>
                <c:pt idx="9">
                  <c:v>159.561333749667</c:v>
                </c:pt>
                <c:pt idx="10">
                  <c:v>141.05172106144701</c:v>
                </c:pt>
                <c:pt idx="11">
                  <c:v>124.04263542550299</c:v>
                </c:pt>
                <c:pt idx="12">
                  <c:v>124.237822174488</c:v>
                </c:pt>
                <c:pt idx="13">
                  <c:v>137.96007879188201</c:v>
                </c:pt>
                <c:pt idx="14">
                  <c:v>123.891558496242</c:v>
                </c:pt>
                <c:pt idx="15">
                  <c:v>116.111222327221</c:v>
                </c:pt>
                <c:pt idx="16">
                  <c:v>104.797881220531</c:v>
                </c:pt>
                <c:pt idx="17">
                  <c:v>166.48938509204899</c:v>
                </c:pt>
                <c:pt idx="18">
                  <c:v>144.38132675268801</c:v>
                </c:pt>
                <c:pt idx="19">
                  <c:v>132.78887781193899</c:v>
                </c:pt>
                <c:pt idx="20">
                  <c:v>100.953232379659</c:v>
                </c:pt>
                <c:pt idx="21">
                  <c:v>126.772400962638</c:v>
                </c:pt>
                <c:pt idx="22">
                  <c:v>106.78588180435101</c:v>
                </c:pt>
                <c:pt idx="23">
                  <c:v>110.167470738665</c:v>
                </c:pt>
                <c:pt idx="24">
                  <c:v>199.240451703562</c:v>
                </c:pt>
                <c:pt idx="25">
                  <c:v>220.043189115377</c:v>
                </c:pt>
                <c:pt idx="26">
                  <c:v>191.80869485295199</c:v>
                </c:pt>
                <c:pt idx="27">
                  <c:v>215.97867668740301</c:v>
                </c:pt>
                <c:pt idx="28">
                  <c:v>404.62360701006202</c:v>
                </c:pt>
                <c:pt idx="29">
                  <c:v>101.72180679960501</c:v>
                </c:pt>
                <c:pt idx="30">
                  <c:v>158.86751972043999</c:v>
                </c:pt>
                <c:pt idx="31">
                  <c:v>136.393627747024</c:v>
                </c:pt>
                <c:pt idx="32">
                  <c:v>135.46024454845701</c:v>
                </c:pt>
                <c:pt idx="33">
                  <c:v>114.272612885573</c:v>
                </c:pt>
                <c:pt idx="34">
                  <c:v>159.81931258473199</c:v>
                </c:pt>
                <c:pt idx="35">
                  <c:v>174.52706605508399</c:v>
                </c:pt>
                <c:pt idx="36">
                  <c:v>131.89293066354799</c:v>
                </c:pt>
                <c:pt idx="37">
                  <c:v>114.19180333592099</c:v>
                </c:pt>
                <c:pt idx="38">
                  <c:v>154.463035572232</c:v>
                </c:pt>
                <c:pt idx="39">
                  <c:v>169.829761700825</c:v>
                </c:pt>
                <c:pt idx="40">
                  <c:v>177.14216743414599</c:v>
                </c:pt>
                <c:pt idx="41">
                  <c:v>226.251103878214</c:v>
                </c:pt>
                <c:pt idx="42">
                  <c:v>205.61040761820999</c:v>
                </c:pt>
                <c:pt idx="43">
                  <c:v>219.55598582832201</c:v>
                </c:pt>
                <c:pt idx="44">
                  <c:v>239.00561547432099</c:v>
                </c:pt>
                <c:pt idx="45">
                  <c:v>188.53132615020399</c:v>
                </c:pt>
                <c:pt idx="46">
                  <c:v>235.542327506319</c:v>
                </c:pt>
                <c:pt idx="47">
                  <c:v>235.82869231319901</c:v>
                </c:pt>
                <c:pt idx="48">
                  <c:v>94.788553536336295</c:v>
                </c:pt>
                <c:pt idx="49">
                  <c:v>150.80092020097001</c:v>
                </c:pt>
                <c:pt idx="50">
                  <c:v>162.16276184756299</c:v>
                </c:pt>
                <c:pt idx="51">
                  <c:v>119.61812498227199</c:v>
                </c:pt>
                <c:pt idx="52">
                  <c:v>95.079735106022497</c:v>
                </c:pt>
                <c:pt idx="53">
                  <c:v>155.065504190506</c:v>
                </c:pt>
                <c:pt idx="54">
                  <c:v>159.05564312678999</c:v>
                </c:pt>
                <c:pt idx="55">
                  <c:v>116.93752159344</c:v>
                </c:pt>
                <c:pt idx="56">
                  <c:v>122.369024714682</c:v>
                </c:pt>
                <c:pt idx="57">
                  <c:v>127.706372504548</c:v>
                </c:pt>
                <c:pt idx="58">
                  <c:v>141.53771614488701</c:v>
                </c:pt>
                <c:pt idx="59">
                  <c:v>137.54166761449301</c:v>
                </c:pt>
                <c:pt idx="60">
                  <c:v>121.807275063143</c:v>
                </c:pt>
                <c:pt idx="61">
                  <c:v>128.66576692184699</c:v>
                </c:pt>
                <c:pt idx="62">
                  <c:v>144.85593953958099</c:v>
                </c:pt>
                <c:pt idx="63">
                  <c:v>141.816541411023</c:v>
                </c:pt>
                <c:pt idx="64">
                  <c:v>194.327514211589</c:v>
                </c:pt>
                <c:pt idx="65">
                  <c:v>234.00036977318999</c:v>
                </c:pt>
                <c:pt idx="66">
                  <c:v>189.010402696201</c:v>
                </c:pt>
                <c:pt idx="67">
                  <c:v>213.11615088701899</c:v>
                </c:pt>
                <c:pt idx="68">
                  <c:v>219.84357295243601</c:v>
                </c:pt>
                <c:pt idx="69">
                  <c:v>199.25341665435599</c:v>
                </c:pt>
                <c:pt idx="70">
                  <c:v>221.15058385481501</c:v>
                </c:pt>
                <c:pt idx="71">
                  <c:v>226.523787516346</c:v>
                </c:pt>
                <c:pt idx="72">
                  <c:v>218.63837308586599</c:v>
                </c:pt>
                <c:pt idx="73">
                  <c:v>206.61668508043499</c:v>
                </c:pt>
                <c:pt idx="74">
                  <c:v>199.224979581122</c:v>
                </c:pt>
                <c:pt idx="75">
                  <c:v>214.65314697105001</c:v>
                </c:pt>
                <c:pt idx="76">
                  <c:v>206.80987051064599</c:v>
                </c:pt>
                <c:pt idx="77">
                  <c:v>160.94460161714599</c:v>
                </c:pt>
                <c:pt idx="78">
                  <c:v>178.84642119518099</c:v>
                </c:pt>
                <c:pt idx="79">
                  <c:v>228.64486189458</c:v>
                </c:pt>
                <c:pt idx="80">
                  <c:v>276.84229934070203</c:v>
                </c:pt>
                <c:pt idx="81">
                  <c:v>319.15652315150999</c:v>
                </c:pt>
                <c:pt idx="82">
                  <c:v>240.419937051044</c:v>
                </c:pt>
                <c:pt idx="83">
                  <c:v>240.91130829002199</c:v>
                </c:pt>
                <c:pt idx="84">
                  <c:v>238.32433555484599</c:v>
                </c:pt>
                <c:pt idx="85">
                  <c:v>129.75839179821699</c:v>
                </c:pt>
                <c:pt idx="86">
                  <c:v>131.99208673221699</c:v>
                </c:pt>
                <c:pt idx="87">
                  <c:v>115.485981405058</c:v>
                </c:pt>
                <c:pt idx="88">
                  <c:v>113.89445741414001</c:v>
                </c:pt>
                <c:pt idx="89">
                  <c:v>171.82498395936</c:v>
                </c:pt>
                <c:pt idx="90">
                  <c:v>142.759024513036</c:v>
                </c:pt>
                <c:pt idx="91">
                  <c:v>151.93568499636899</c:v>
                </c:pt>
                <c:pt idx="92">
                  <c:v>231.98906177068301</c:v>
                </c:pt>
                <c:pt idx="93">
                  <c:v>215.31838187257799</c:v>
                </c:pt>
                <c:pt idx="94">
                  <c:v>218.70516993082299</c:v>
                </c:pt>
                <c:pt idx="95">
                  <c:v>235.72373994313699</c:v>
                </c:pt>
                <c:pt idx="96">
                  <c:v>232.70714595220099</c:v>
                </c:pt>
                <c:pt idx="97">
                  <c:v>235.904337909878</c:v>
                </c:pt>
                <c:pt idx="98">
                  <c:v>129.28670728487</c:v>
                </c:pt>
                <c:pt idx="99">
                  <c:v>178.509904990287</c:v>
                </c:pt>
                <c:pt idx="100">
                  <c:v>148.42543139174299</c:v>
                </c:pt>
                <c:pt idx="101">
                  <c:v>145.226571461345</c:v>
                </c:pt>
                <c:pt idx="102">
                  <c:v>118.995086761096</c:v>
                </c:pt>
                <c:pt idx="103">
                  <c:v>146.67326518184001</c:v>
                </c:pt>
                <c:pt idx="104">
                  <c:v>138.21823471713299</c:v>
                </c:pt>
                <c:pt idx="105">
                  <c:v>117.846460567775</c:v>
                </c:pt>
                <c:pt idx="106">
                  <c:v>139.72447835911399</c:v>
                </c:pt>
                <c:pt idx="107">
                  <c:v>156.55953084316599</c:v>
                </c:pt>
                <c:pt idx="108">
                  <c:v>159.035330533696</c:v>
                </c:pt>
                <c:pt idx="109">
                  <c:v>157.22380573654701</c:v>
                </c:pt>
                <c:pt idx="110">
                  <c:v>192.71362816138799</c:v>
                </c:pt>
                <c:pt idx="111">
                  <c:v>189.672130109509</c:v>
                </c:pt>
                <c:pt idx="112">
                  <c:v>164.944055561216</c:v>
                </c:pt>
                <c:pt idx="113">
                  <c:v>126.555479614757</c:v>
                </c:pt>
                <c:pt idx="114">
                  <c:v>167.04944807398499</c:v>
                </c:pt>
                <c:pt idx="115">
                  <c:v>171.99262000248501</c:v>
                </c:pt>
                <c:pt idx="116">
                  <c:v>151.67907297539199</c:v>
                </c:pt>
                <c:pt idx="117">
                  <c:v>112.887377379488</c:v>
                </c:pt>
                <c:pt idx="118">
                  <c:v>142.58501196155899</c:v>
                </c:pt>
                <c:pt idx="119">
                  <c:v>93.176542188285694</c:v>
                </c:pt>
                <c:pt idx="120">
                  <c:v>84.594817166128607</c:v>
                </c:pt>
                <c:pt idx="121">
                  <c:v>95.197156569997304</c:v>
                </c:pt>
                <c:pt idx="122">
                  <c:v>90.540560369283</c:v>
                </c:pt>
                <c:pt idx="123">
                  <c:v>123.672942364256</c:v>
                </c:pt>
                <c:pt idx="124">
                  <c:v>140.61836663292999</c:v>
                </c:pt>
                <c:pt idx="125">
                  <c:v>106.571596989909</c:v>
                </c:pt>
                <c:pt idx="126">
                  <c:v>157.220657581723</c:v>
                </c:pt>
                <c:pt idx="127">
                  <c:v>151.165899998143</c:v>
                </c:pt>
                <c:pt idx="128">
                  <c:v>157.91951334104601</c:v>
                </c:pt>
                <c:pt idx="129">
                  <c:v>124.843045410771</c:v>
                </c:pt>
                <c:pt idx="130">
                  <c:v>146.92835719221301</c:v>
                </c:pt>
                <c:pt idx="131">
                  <c:v>124.13587998236601</c:v>
                </c:pt>
                <c:pt idx="132">
                  <c:v>129.18141490257401</c:v>
                </c:pt>
                <c:pt idx="133">
                  <c:v>127.92726865813501</c:v>
                </c:pt>
                <c:pt idx="134">
                  <c:v>125.54229649291899</c:v>
                </c:pt>
                <c:pt idx="135">
                  <c:v>128.23856034097801</c:v>
                </c:pt>
                <c:pt idx="136">
                  <c:v>104.766405761009</c:v>
                </c:pt>
                <c:pt idx="137">
                  <c:v>117.531036969534</c:v>
                </c:pt>
                <c:pt idx="138">
                  <c:v>102.854142687262</c:v>
                </c:pt>
                <c:pt idx="139">
                  <c:v>112.73290067089199</c:v>
                </c:pt>
                <c:pt idx="140">
                  <c:v>123.599048667593</c:v>
                </c:pt>
                <c:pt idx="141">
                  <c:v>95.312161232298195</c:v>
                </c:pt>
                <c:pt idx="142">
                  <c:v>124.761369515811</c:v>
                </c:pt>
                <c:pt idx="143">
                  <c:v>142.843660593332</c:v>
                </c:pt>
                <c:pt idx="144">
                  <c:v>124.741378540813</c:v>
                </c:pt>
                <c:pt idx="145">
                  <c:v>113.807846318751</c:v>
                </c:pt>
                <c:pt idx="146">
                  <c:v>126.048376564761</c:v>
                </c:pt>
                <c:pt idx="147">
                  <c:v>113.666895972769</c:v>
                </c:pt>
                <c:pt idx="148">
                  <c:v>128.067613062584</c:v>
                </c:pt>
                <c:pt idx="149">
                  <c:v>101.760478535774</c:v>
                </c:pt>
                <c:pt idx="150">
                  <c:v>108.969519547427</c:v>
                </c:pt>
                <c:pt idx="151">
                  <c:v>172.77007835641601</c:v>
                </c:pt>
                <c:pt idx="152">
                  <c:v>110.271990648223</c:v>
                </c:pt>
                <c:pt idx="153">
                  <c:v>106.378687980618</c:v>
                </c:pt>
                <c:pt idx="154">
                  <c:v>154.63261335803901</c:v>
                </c:pt>
                <c:pt idx="155">
                  <c:v>144.10749675748099</c:v>
                </c:pt>
                <c:pt idx="156">
                  <c:v>110.487593689584</c:v>
                </c:pt>
                <c:pt idx="157">
                  <c:v>99.866854604135199</c:v>
                </c:pt>
                <c:pt idx="158">
                  <c:v>106.647682292187</c:v>
                </c:pt>
                <c:pt idx="159">
                  <c:v>109.71053578585401</c:v>
                </c:pt>
                <c:pt idx="160">
                  <c:v>106.434856125953</c:v>
                </c:pt>
                <c:pt idx="161">
                  <c:v>107.003649688102</c:v>
                </c:pt>
                <c:pt idx="162">
                  <c:v>108.244981941091</c:v>
                </c:pt>
                <c:pt idx="163">
                  <c:v>139.19192011802099</c:v>
                </c:pt>
                <c:pt idx="164">
                  <c:v>126.190680985974</c:v>
                </c:pt>
                <c:pt idx="165">
                  <c:v>108.44123377990201</c:v>
                </c:pt>
                <c:pt idx="166">
                  <c:v>98.091543708237893</c:v>
                </c:pt>
                <c:pt idx="167">
                  <c:v>100.807214138586</c:v>
                </c:pt>
                <c:pt idx="168">
                  <c:v>116.673378341193</c:v>
                </c:pt>
                <c:pt idx="169">
                  <c:v>162.57471363970299</c:v>
                </c:pt>
                <c:pt idx="170">
                  <c:v>101.267029470382</c:v>
                </c:pt>
                <c:pt idx="171">
                  <c:v>123.72693859453101</c:v>
                </c:pt>
                <c:pt idx="172">
                  <c:v>138.84838115003799</c:v>
                </c:pt>
                <c:pt idx="173">
                  <c:v>156.70599197253799</c:v>
                </c:pt>
                <c:pt idx="174">
                  <c:v>129.36252443100901</c:v>
                </c:pt>
                <c:pt idx="175">
                  <c:v>143.71413347525601</c:v>
                </c:pt>
                <c:pt idx="176">
                  <c:v>139.811852090146</c:v>
                </c:pt>
                <c:pt idx="177">
                  <c:v>107.258825306505</c:v>
                </c:pt>
                <c:pt idx="178">
                  <c:v>104.93287276022301</c:v>
                </c:pt>
                <c:pt idx="179">
                  <c:v>110.694355766656</c:v>
                </c:pt>
                <c:pt idx="180">
                  <c:v>156.03041799335199</c:v>
                </c:pt>
                <c:pt idx="181">
                  <c:v>116.35512486127401</c:v>
                </c:pt>
                <c:pt idx="182">
                  <c:v>109.71012243000899</c:v>
                </c:pt>
                <c:pt idx="183">
                  <c:v>165.854242625338</c:v>
                </c:pt>
                <c:pt idx="184">
                  <c:v>132.25632907737</c:v>
                </c:pt>
                <c:pt idx="185">
                  <c:v>115.48088337948199</c:v>
                </c:pt>
                <c:pt idx="186">
                  <c:v>129.063794569424</c:v>
                </c:pt>
                <c:pt idx="187">
                  <c:v>132.927420983301</c:v>
                </c:pt>
                <c:pt idx="188">
                  <c:v>119.132222884885</c:v>
                </c:pt>
                <c:pt idx="189">
                  <c:v>102.512221046563</c:v>
                </c:pt>
                <c:pt idx="190">
                  <c:v>120.533479244823</c:v>
                </c:pt>
                <c:pt idx="191">
                  <c:v>127.258360877005</c:v>
                </c:pt>
                <c:pt idx="192">
                  <c:v>154.87102091842399</c:v>
                </c:pt>
                <c:pt idx="193">
                  <c:v>109.79307987092101</c:v>
                </c:pt>
                <c:pt idx="194">
                  <c:v>146.52676213026501</c:v>
                </c:pt>
                <c:pt idx="195">
                  <c:v>151.343440641195</c:v>
                </c:pt>
                <c:pt idx="196">
                  <c:v>165.425680892928</c:v>
                </c:pt>
                <c:pt idx="197">
                  <c:v>151.561141945717</c:v>
                </c:pt>
                <c:pt idx="198">
                  <c:v>129.27726954158899</c:v>
                </c:pt>
                <c:pt idx="199">
                  <c:v>120.11112768031199</c:v>
                </c:pt>
                <c:pt idx="200">
                  <c:v>110.984516072785</c:v>
                </c:pt>
                <c:pt idx="201">
                  <c:v>104.78449184098901</c:v>
                </c:pt>
                <c:pt idx="202">
                  <c:v>101.882101159104</c:v>
                </c:pt>
                <c:pt idx="203">
                  <c:v>105.498932412732</c:v>
                </c:pt>
                <c:pt idx="204">
                  <c:v>95.183164715569404</c:v>
                </c:pt>
                <c:pt idx="205">
                  <c:v>95.544087422285799</c:v>
                </c:pt>
                <c:pt idx="206">
                  <c:v>105.24972508163199</c:v>
                </c:pt>
                <c:pt idx="207">
                  <c:v>106.89054827494201</c:v>
                </c:pt>
                <c:pt idx="208">
                  <c:v>106.30000089868599</c:v>
                </c:pt>
                <c:pt idx="209">
                  <c:v>135.60784438553301</c:v>
                </c:pt>
                <c:pt idx="210">
                  <c:v>119.17044598368901</c:v>
                </c:pt>
                <c:pt idx="211">
                  <c:v>98.566898074551702</c:v>
                </c:pt>
                <c:pt idx="212">
                  <c:v>103.288545611008</c:v>
                </c:pt>
                <c:pt idx="213">
                  <c:v>124.007189950563</c:v>
                </c:pt>
                <c:pt idx="214">
                  <c:v>122.637087031465</c:v>
                </c:pt>
                <c:pt idx="215">
                  <c:v>111.65146490842299</c:v>
                </c:pt>
                <c:pt idx="216">
                  <c:v>104.345726350051</c:v>
                </c:pt>
                <c:pt idx="217">
                  <c:v>116.201772598963</c:v>
                </c:pt>
                <c:pt idx="218">
                  <c:v>151.99492063556801</c:v>
                </c:pt>
                <c:pt idx="219">
                  <c:v>103.84037785896599</c:v>
                </c:pt>
                <c:pt idx="220">
                  <c:v>95.749508899939102</c:v>
                </c:pt>
                <c:pt idx="221">
                  <c:v>152.58918325206099</c:v>
                </c:pt>
                <c:pt idx="222">
                  <c:v>127.21261137200101</c:v>
                </c:pt>
                <c:pt idx="223">
                  <c:v>104.07941890555399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25F5-41A8-A576-FE4EB58CCFE2}"/>
            </c:ext>
          </c:extLst>
        </c:ser>
        <c:ser>
          <c:idx val="7"/>
          <c:order val="7"/>
          <c:tx>
            <c:strRef>
              <c:f>'20  feature - no theta'!$F$37</c:f>
              <c:strCache>
                <c:ptCount val="1"/>
                <c:pt idx="0">
                  <c:v>(2)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'20  feature - no theta'!$D$38:$D$500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'20  feature - no theta'!$F$38:$F$500</c:f>
              <c:numCache>
                <c:formatCode>General</c:formatCode>
                <c:ptCount val="463"/>
                <c:pt idx="9">
                  <c:v>159.561333749667</c:v>
                </c:pt>
                <c:pt idx="65">
                  <c:v>234.00036977318999</c:v>
                </c:pt>
                <c:pt idx="85">
                  <c:v>129.75839179821699</c:v>
                </c:pt>
                <c:pt idx="197">
                  <c:v>151.561141945717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25F5-41A8-A576-FE4EB58CCFE2}"/>
            </c:ext>
          </c:extLst>
        </c:ser>
        <c:ser>
          <c:idx val="8"/>
          <c:order val="8"/>
          <c:tx>
            <c:strRef>
              <c:f>'20  feature - no theta'!$G$37</c:f>
              <c:strCache>
                <c:ptCount val="1"/>
                <c:pt idx="0">
                  <c:v>(3)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'20  feature - no theta'!$D$38:$D$500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'20  feature - no theta'!$G$38:$G$500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25F5-41A8-A576-FE4EB58CCFE2}"/>
            </c:ext>
          </c:extLst>
        </c:ser>
        <c:ser>
          <c:idx val="9"/>
          <c:order val="9"/>
          <c:tx>
            <c:strRef>
              <c:f>'20  feature - no theta'!$H$37</c:f>
              <c:strCache>
                <c:ptCount val="1"/>
                <c:pt idx="0">
                  <c:v>(4)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'20  feature - no theta'!$D$38:$D$500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'20  feature - no theta'!$H$38:$H$500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25F5-41A8-A576-FE4EB58CCFE2}"/>
            </c:ext>
          </c:extLst>
        </c:ser>
        <c:ser>
          <c:idx val="10"/>
          <c:order val="10"/>
          <c:tx>
            <c:strRef>
              <c:f>'20  feature - no theta'!$I$37</c:f>
              <c:strCache>
                <c:ptCount val="1"/>
                <c:pt idx="0">
                  <c:v>(5)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'20  feature - no theta'!$D$38:$D$500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'20  feature - no theta'!$I$38:$I$500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25F5-41A8-A576-FE4EB58CCFE2}"/>
            </c:ext>
          </c:extLst>
        </c:ser>
        <c:ser>
          <c:idx val="11"/>
          <c:order val="11"/>
          <c:tx>
            <c:strRef>
              <c:f>'20  feature - no theta'!$J$37</c:f>
              <c:strCache>
                <c:ptCount val="1"/>
                <c:pt idx="0">
                  <c:v>(6)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'20  feature - no theta'!$D$38:$D$500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'20  feature - no theta'!$J$38:$J$500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25F5-41A8-A576-FE4EB58CCFE2}"/>
            </c:ext>
          </c:extLst>
        </c:ser>
        <c:ser>
          <c:idx val="12"/>
          <c:order val="12"/>
          <c:tx>
            <c:strRef>
              <c:f>'20  feature - no theta'!$K$37</c:f>
              <c:strCache>
                <c:ptCount val="1"/>
                <c:pt idx="0">
                  <c:v>(7)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'20  feature - no theta'!$D$38:$D$500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'20  feature - no theta'!$K$38:$K$500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25F5-41A8-A576-FE4EB58CCFE2}"/>
            </c:ext>
          </c:extLst>
        </c:ser>
        <c:ser>
          <c:idx val="13"/>
          <c:order val="13"/>
          <c:tx>
            <c:strRef>
              <c:f>'20  feature - no theta'!$L$37</c:f>
              <c:strCache>
                <c:ptCount val="1"/>
                <c:pt idx="0">
                  <c:v>(8)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'20  feature - no theta'!$D$38:$D$500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'20  feature - no theta'!$L$38:$L$500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25F5-41A8-A576-FE4EB58CCFE2}"/>
            </c:ext>
          </c:extLst>
        </c:ser>
        <c:ser>
          <c:idx val="14"/>
          <c:order val="14"/>
          <c:tx>
            <c:strRef>
              <c:f>'20  feature - no theta'!$M$37</c:f>
              <c:strCache>
                <c:ptCount val="1"/>
                <c:pt idx="0">
                  <c:v>(9)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'20  feature - no theta'!$D$38:$D$500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'20  feature - no theta'!$M$38:$M$500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25F5-41A8-A576-FE4EB58CCFE2}"/>
            </c:ext>
          </c:extLst>
        </c:ser>
        <c:ser>
          <c:idx val="15"/>
          <c:order val="15"/>
          <c:tx>
            <c:strRef>
              <c:f>'20  feature - no theta'!$N$37</c:f>
              <c:strCache>
                <c:ptCount val="1"/>
                <c:pt idx="0">
                  <c:v>(10)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'20  feature - no theta'!$D$38:$D$500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'20  feature - no theta'!$N$38:$N$500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25F5-41A8-A576-FE4EB58CCFE2}"/>
            </c:ext>
          </c:extLst>
        </c:ser>
        <c:ser>
          <c:idx val="16"/>
          <c:order val="16"/>
          <c:tx>
            <c:strRef>
              <c:f>'20  feature - no theta'!$O$37</c:f>
              <c:strCache>
                <c:ptCount val="1"/>
                <c:pt idx="0">
                  <c:v>(11)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'20  feature - no theta'!$D$38:$D$500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'20  feature - no theta'!$O$38:$O$500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25F5-41A8-A576-FE4EB58CCFE2}"/>
            </c:ext>
          </c:extLst>
        </c:ser>
        <c:ser>
          <c:idx val="17"/>
          <c:order val="17"/>
          <c:tx>
            <c:strRef>
              <c:f>'20  feature - no theta'!$P$37</c:f>
              <c:strCache>
                <c:ptCount val="1"/>
                <c:pt idx="0">
                  <c:v>(12)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'20  feature - no theta'!$D$38:$D$500</c:f>
              <c:numCache>
                <c:formatCode>General</c:formatCode>
                <c:ptCount val="463"/>
                <c:pt idx="0">
                  <c:v>94</c:v>
                </c:pt>
                <c:pt idx="1">
                  <c:v>194</c:v>
                </c:pt>
                <c:pt idx="2">
                  <c:v>151</c:v>
                </c:pt>
                <c:pt idx="3">
                  <c:v>96</c:v>
                </c:pt>
                <c:pt idx="4">
                  <c:v>132</c:v>
                </c:pt>
                <c:pt idx="5">
                  <c:v>115</c:v>
                </c:pt>
                <c:pt idx="6">
                  <c:v>90</c:v>
                </c:pt>
                <c:pt idx="7">
                  <c:v>199</c:v>
                </c:pt>
                <c:pt idx="8">
                  <c:v>197</c:v>
                </c:pt>
                <c:pt idx="9">
                  <c:v>92</c:v>
                </c:pt>
                <c:pt idx="10">
                  <c:v>94</c:v>
                </c:pt>
                <c:pt idx="11">
                  <c:v>101</c:v>
                </c:pt>
                <c:pt idx="12">
                  <c:v>96</c:v>
                </c:pt>
                <c:pt idx="13">
                  <c:v>101</c:v>
                </c:pt>
                <c:pt idx="14">
                  <c:v>92</c:v>
                </c:pt>
                <c:pt idx="15">
                  <c:v>104</c:v>
                </c:pt>
                <c:pt idx="16">
                  <c:v>94</c:v>
                </c:pt>
                <c:pt idx="17">
                  <c:v>145</c:v>
                </c:pt>
                <c:pt idx="18">
                  <c:v>139</c:v>
                </c:pt>
                <c:pt idx="19">
                  <c:v>115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87</c:v>
                </c:pt>
                <c:pt idx="130">
                  <c:v>155</c:v>
                </c:pt>
                <c:pt idx="131">
                  <c:v>110</c:v>
                </c:pt>
                <c:pt idx="132">
                  <c:v>87</c:v>
                </c:pt>
                <c:pt idx="133">
                  <c:v>110</c:v>
                </c:pt>
                <c:pt idx="134">
                  <c:v>104</c:v>
                </c:pt>
                <c:pt idx="135">
                  <c:v>113</c:v>
                </c:pt>
                <c:pt idx="136">
                  <c:v>120</c:v>
                </c:pt>
                <c:pt idx="137">
                  <c:v>96</c:v>
                </c:pt>
                <c:pt idx="138">
                  <c:v>84</c:v>
                </c:pt>
                <c:pt idx="139">
                  <c:v>107</c:v>
                </c:pt>
                <c:pt idx="140">
                  <c:v>105</c:v>
                </c:pt>
                <c:pt idx="141">
                  <c:v>82</c:v>
                </c:pt>
                <c:pt idx="142">
                  <c:v>150</c:v>
                </c:pt>
                <c:pt idx="143">
                  <c:v>126</c:v>
                </c:pt>
                <c:pt idx="144">
                  <c:v>94</c:v>
                </c:pt>
                <c:pt idx="145">
                  <c:v>86</c:v>
                </c:pt>
                <c:pt idx="146">
                  <c:v>137</c:v>
                </c:pt>
                <c:pt idx="147">
                  <c:v>108</c:v>
                </c:pt>
                <c:pt idx="148">
                  <c:v>104</c:v>
                </c:pt>
                <c:pt idx="149">
                  <c:v>80</c:v>
                </c:pt>
                <c:pt idx="150">
                  <c:v>150</c:v>
                </c:pt>
                <c:pt idx="151">
                  <c:v>110</c:v>
                </c:pt>
                <c:pt idx="152">
                  <c:v>92</c:v>
                </c:pt>
                <c:pt idx="153">
                  <c:v>84</c:v>
                </c:pt>
                <c:pt idx="154">
                  <c:v>145</c:v>
                </c:pt>
                <c:pt idx="155">
                  <c:v>123</c:v>
                </c:pt>
                <c:pt idx="156">
                  <c:v>100</c:v>
                </c:pt>
                <c:pt idx="157">
                  <c:v>87</c:v>
                </c:pt>
                <c:pt idx="158">
                  <c:v>86</c:v>
                </c:pt>
                <c:pt idx="159">
                  <c:v>126</c:v>
                </c:pt>
                <c:pt idx="160">
                  <c:v>110</c:v>
                </c:pt>
                <c:pt idx="161">
                  <c:v>95</c:v>
                </c:pt>
                <c:pt idx="162">
                  <c:v>88</c:v>
                </c:pt>
                <c:pt idx="163">
                  <c:v>149</c:v>
                </c:pt>
                <c:pt idx="164">
                  <c:v>143</c:v>
                </c:pt>
                <c:pt idx="165">
                  <c:v>133</c:v>
                </c:pt>
                <c:pt idx="166">
                  <c:v>88</c:v>
                </c:pt>
                <c:pt idx="167">
                  <c:v>83</c:v>
                </c:pt>
                <c:pt idx="168">
                  <c:v>143</c:v>
                </c:pt>
                <c:pt idx="169">
                  <c:v>114</c:v>
                </c:pt>
                <c:pt idx="170">
                  <c:v>108</c:v>
                </c:pt>
                <c:pt idx="171">
                  <c:v>79</c:v>
                </c:pt>
                <c:pt idx="172">
                  <c:v>135</c:v>
                </c:pt>
                <c:pt idx="173">
                  <c:v>119</c:v>
                </c:pt>
                <c:pt idx="174">
                  <c:v>107</c:v>
                </c:pt>
                <c:pt idx="175">
                  <c:v>146</c:v>
                </c:pt>
                <c:pt idx="176">
                  <c:v>121</c:v>
                </c:pt>
                <c:pt idx="177">
                  <c:v>90</c:v>
                </c:pt>
                <c:pt idx="178">
                  <c:v>86</c:v>
                </c:pt>
                <c:pt idx="179">
                  <c:v>132</c:v>
                </c:pt>
                <c:pt idx="180">
                  <c:v>109</c:v>
                </c:pt>
                <c:pt idx="181">
                  <c:v>95</c:v>
                </c:pt>
                <c:pt idx="182">
                  <c:v>89</c:v>
                </c:pt>
                <c:pt idx="183">
                  <c:v>126</c:v>
                </c:pt>
                <c:pt idx="184">
                  <c:v>116</c:v>
                </c:pt>
                <c:pt idx="185">
                  <c:v>108</c:v>
                </c:pt>
                <c:pt idx="186">
                  <c:v>112</c:v>
                </c:pt>
                <c:pt idx="187">
                  <c:v>95</c:v>
                </c:pt>
                <c:pt idx="188">
                  <c:v>94</c:v>
                </c:pt>
                <c:pt idx="189">
                  <c:v>92</c:v>
                </c:pt>
                <c:pt idx="190">
                  <c:v>131</c:v>
                </c:pt>
                <c:pt idx="191">
                  <c:v>125</c:v>
                </c:pt>
                <c:pt idx="192">
                  <c:v>105</c:v>
                </c:pt>
                <c:pt idx="193">
                  <c:v>86</c:v>
                </c:pt>
                <c:pt idx="194">
                  <c:v>126</c:v>
                </c:pt>
                <c:pt idx="195">
                  <c:v>116</c:v>
                </c:pt>
                <c:pt idx="196">
                  <c:v>111</c:v>
                </c:pt>
                <c:pt idx="197">
                  <c:v>90</c:v>
                </c:pt>
                <c:pt idx="198">
                  <c:v>125</c:v>
                </c:pt>
                <c:pt idx="199">
                  <c:v>95</c:v>
                </c:pt>
                <c:pt idx="200">
                  <c:v>93</c:v>
                </c:pt>
                <c:pt idx="201">
                  <c:v>81</c:v>
                </c:pt>
                <c:pt idx="202">
                  <c:v>92</c:v>
                </c:pt>
                <c:pt idx="203">
                  <c:v>86</c:v>
                </c:pt>
                <c:pt idx="204">
                  <c:v>82</c:v>
                </c:pt>
                <c:pt idx="205">
                  <c:v>127</c:v>
                </c:pt>
                <c:pt idx="206">
                  <c:v>103</c:v>
                </c:pt>
                <c:pt idx="207">
                  <c:v>86</c:v>
                </c:pt>
                <c:pt idx="208">
                  <c:v>79</c:v>
                </c:pt>
                <c:pt idx="209">
                  <c:v>160</c:v>
                </c:pt>
                <c:pt idx="210">
                  <c:v>135</c:v>
                </c:pt>
                <c:pt idx="211">
                  <c:v>106</c:v>
                </c:pt>
                <c:pt idx="212">
                  <c:v>80</c:v>
                </c:pt>
                <c:pt idx="213">
                  <c:v>124</c:v>
                </c:pt>
                <c:pt idx="214">
                  <c:v>112</c:v>
                </c:pt>
                <c:pt idx="215">
                  <c:v>96</c:v>
                </c:pt>
                <c:pt idx="216">
                  <c:v>77</c:v>
                </c:pt>
                <c:pt idx="217">
                  <c:v>137</c:v>
                </c:pt>
                <c:pt idx="218">
                  <c:v>130</c:v>
                </c:pt>
                <c:pt idx="219">
                  <c:v>121</c:v>
                </c:pt>
                <c:pt idx="220">
                  <c:v>91</c:v>
                </c:pt>
                <c:pt idx="221">
                  <c:v>137</c:v>
                </c:pt>
                <c:pt idx="222">
                  <c:v>119</c:v>
                </c:pt>
                <c:pt idx="223">
                  <c:v>99</c:v>
                </c:pt>
              </c:numCache>
            </c:numRef>
          </c:xVal>
          <c:yVal>
            <c:numRef>
              <c:f>'20  feature - no theta'!$P$38:$P$500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25F5-41A8-A576-FE4EB58CC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Commercial Glucose Meter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903500139682563E-2"/>
          <c:y val="3.012311634386609E-2"/>
          <c:w val="0.73089849317186495"/>
          <c:h val="0.897197200999225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7D9-42C3-9BF2-011942F75948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57D9-42C3-9BF2-011942F75948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57D9-42C3-9BF2-011942F75948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7D9-42C3-9BF2-011942F75948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09-57D9-42C3-9BF2-011942F75948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0B-57D9-42C3-9BF2-011942F75948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0D-57D9-42C3-9BF2-011942F75948}"/>
              </c:ext>
            </c:extLst>
          </c:dPt>
          <c:dPt>
            <c:idx val="9"/>
            <c:bubble3D val="0"/>
            <c:spPr/>
            <c:extLst>
              <c:ext xmlns:c16="http://schemas.microsoft.com/office/drawing/2014/chart" uri="{C3380CC4-5D6E-409C-BE32-E72D297353CC}">
                <c16:uniqueId val="{0000000F-57D9-42C3-9BF2-011942F75948}"/>
              </c:ext>
            </c:extLst>
          </c:dPt>
          <c:xVal>
            <c:numRef>
              <c:f>('EGA (mmol per L)'!$C$3:$C$7,'EGA (mmol per L)'!$C$12:$C$16)</c:f>
              <c:numCache>
                <c:formatCode>General</c:formatCode>
                <c:ptCount val="10"/>
                <c:pt idx="0">
                  <c:v>0</c:v>
                </c:pt>
                <c:pt idx="1">
                  <c:v>1.6666666666666667</c:v>
                </c:pt>
                <c:pt idx="2">
                  <c:v>7.7777777777777777</c:v>
                </c:pt>
                <c:pt idx="3">
                  <c:v>15.555555555555555</c:v>
                </c:pt>
                <c:pt idx="4">
                  <c:v>106.66666666666667</c:v>
                </c:pt>
                <c:pt idx="5">
                  <c:v>2.7777777777777777</c:v>
                </c:pt>
                <c:pt idx="6">
                  <c:v>2.7777777777777777</c:v>
                </c:pt>
                <c:pt idx="7">
                  <c:v>9.4444444444444446</c:v>
                </c:pt>
                <c:pt idx="8">
                  <c:v>21.388888888888889</c:v>
                </c:pt>
                <c:pt idx="9">
                  <c:v>61.111111111111114</c:v>
                </c:pt>
              </c:numCache>
            </c:numRef>
          </c:xVal>
          <c:yVal>
            <c:numRef>
              <c:f>('EGA (mmol per L)'!$G$3:$G$7,'EGA (mmol per L)'!$H$12:$H$16)</c:f>
              <c:numCache>
                <c:formatCode>General</c:formatCode>
                <c:ptCount val="10"/>
                <c:pt idx="0">
                  <c:v>2.7777777777777777</c:v>
                </c:pt>
                <c:pt idx="1">
                  <c:v>2.7777777777777777</c:v>
                </c:pt>
                <c:pt idx="2">
                  <c:v>9.4444444444444446</c:v>
                </c:pt>
                <c:pt idx="3">
                  <c:v>21.111111111111111</c:v>
                </c:pt>
                <c:pt idx="4">
                  <c:v>122.22222222222223</c:v>
                </c:pt>
                <c:pt idx="5">
                  <c:v>0</c:v>
                </c:pt>
                <c:pt idx="6">
                  <c:v>1.6666666666666667</c:v>
                </c:pt>
                <c:pt idx="7">
                  <c:v>8.0555555555555554</c:v>
                </c:pt>
                <c:pt idx="8">
                  <c:v>16.666666666666668</c:v>
                </c:pt>
                <c:pt idx="9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7D9-42C3-9BF2-011942F75948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57D9-42C3-9BF2-011942F75948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57D9-42C3-9BF2-011942F75948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57D9-42C3-9BF2-011942F75948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57D9-42C3-9BF2-011942F75948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57D9-42C3-9BF2-011942F75948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57D9-42C3-9BF2-011942F75948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57D9-42C3-9BF2-011942F75948}"/>
              </c:ext>
            </c:extLst>
          </c:dPt>
          <c:xVal>
            <c:numRef>
              <c:f>('EGA (mmol per L)'!$C$8:$C$11,'EGA (mmol per L)'!$C$17:$C$21)</c:f>
              <c:numCache>
                <c:formatCode>General</c:formatCode>
                <c:ptCount val="9"/>
                <c:pt idx="0">
                  <c:v>6.666666666666667</c:v>
                </c:pt>
                <c:pt idx="1">
                  <c:v>6.666666666666667</c:v>
                </c:pt>
                <c:pt idx="2">
                  <c:v>14.444444444444445</c:v>
                </c:pt>
                <c:pt idx="3">
                  <c:v>61.111111111111114</c:v>
                </c:pt>
                <c:pt idx="4">
                  <c:v>0</c:v>
                </c:pt>
                <c:pt idx="5">
                  <c:v>1.6666666666666667</c:v>
                </c:pt>
                <c:pt idx="6">
                  <c:v>2.7777777777777777</c:v>
                </c:pt>
                <c:pt idx="7">
                  <c:v>3.8888888888888888</c:v>
                </c:pt>
                <c:pt idx="8">
                  <c:v>57.777777777777779</c:v>
                </c:pt>
              </c:numCache>
            </c:numRef>
          </c:xVal>
          <c:yVal>
            <c:numRef>
              <c:f>('EGA (mmol per L)'!$J$8:$J$11,'EGA (mmol per L)'!$I$17:$I$21)</c:f>
              <c:numCache>
                <c:formatCode>General</c:formatCode>
                <c:ptCount val="9"/>
                <c:pt idx="0">
                  <c:v>0</c:v>
                </c:pt>
                <c:pt idx="1">
                  <c:v>1.6666666666666667</c:v>
                </c:pt>
                <c:pt idx="2">
                  <c:v>7.2222222222222223</c:v>
                </c:pt>
                <c:pt idx="3">
                  <c:v>27.777777777777779</c:v>
                </c:pt>
                <c:pt idx="4">
                  <c:v>3.3333333333333335</c:v>
                </c:pt>
                <c:pt idx="5">
                  <c:v>3.3333333333333335</c:v>
                </c:pt>
                <c:pt idx="6">
                  <c:v>4.4444444444444446</c:v>
                </c:pt>
                <c:pt idx="7">
                  <c:v>6.1111111111111107</c:v>
                </c:pt>
                <c:pt idx="8">
                  <c:v>122.22222222222223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57D9-42C3-9BF2-011942F75948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57D9-42C3-9BF2-011942F75948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57D9-42C3-9BF2-011942F75948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57D9-42C3-9BF2-011942F75948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57D9-42C3-9BF2-011942F75948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57D9-42C3-9BF2-011942F75948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57D9-42C3-9BF2-011942F75948}"/>
              </c:ext>
            </c:extLst>
          </c:dPt>
          <c:xVal>
            <c:numRef>
              <c:f>('EGA (mmol per L)'!$C$22:$C$24,'EGA (mmol per L)'!$C$25:$C$29)</c:f>
              <c:numCache>
                <c:formatCode>General</c:formatCode>
                <c:ptCount val="8"/>
                <c:pt idx="0">
                  <c:v>13.888888888888889</c:v>
                </c:pt>
                <c:pt idx="1">
                  <c:v>13.888888888888889</c:v>
                </c:pt>
                <c:pt idx="2">
                  <c:v>61.111111111111114</c:v>
                </c:pt>
                <c:pt idx="3">
                  <c:v>0</c:v>
                </c:pt>
                <c:pt idx="4">
                  <c:v>1.3888888888888888</c:v>
                </c:pt>
                <c:pt idx="5">
                  <c:v>2.7777777777777777</c:v>
                </c:pt>
                <c:pt idx="6">
                  <c:v>4.4444444444444446</c:v>
                </c:pt>
                <c:pt idx="7">
                  <c:v>27.777777777777779</c:v>
                </c:pt>
              </c:numCache>
            </c:numRef>
          </c:xVal>
          <c:yVal>
            <c:numRef>
              <c:f>('EGA (mmol per L)'!$L$22:$L$24,'EGA (mmol per L)'!$K$25:$K$29)</c:f>
              <c:numCache>
                <c:formatCode>General</c:formatCode>
                <c:ptCount val="8"/>
                <c:pt idx="0">
                  <c:v>0</c:v>
                </c:pt>
                <c:pt idx="1">
                  <c:v>2.2222222222222223</c:v>
                </c:pt>
                <c:pt idx="2">
                  <c:v>16.666666666666668</c:v>
                </c:pt>
                <c:pt idx="3">
                  <c:v>5.5555555555555554</c:v>
                </c:pt>
                <c:pt idx="4">
                  <c:v>5.5555555555555554</c:v>
                </c:pt>
                <c:pt idx="5">
                  <c:v>6.9444444444444446</c:v>
                </c:pt>
                <c:pt idx="6">
                  <c:v>11.944444444444445</c:v>
                </c:pt>
                <c:pt idx="7">
                  <c:v>122.22222222222223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57D9-42C3-9BF2-011942F75948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57D9-42C3-9BF2-011942F75948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57D9-42C3-9BF2-011942F75948}"/>
              </c:ext>
            </c:extLst>
          </c:dPt>
          <c:xVal>
            <c:numRef>
              <c:f>('EGA (mmol per L)'!$C$30:$C$32,'EGA (mmol per L)'!$C$33:$C$34)</c:f>
              <c:numCache>
                <c:formatCode>General</c:formatCode>
                <c:ptCount val="5"/>
                <c:pt idx="0">
                  <c:v>0</c:v>
                </c:pt>
                <c:pt idx="1">
                  <c:v>1.9444444444444444</c:v>
                </c:pt>
                <c:pt idx="2">
                  <c:v>11.111111111111111</c:v>
                </c:pt>
                <c:pt idx="3">
                  <c:v>0</c:v>
                </c:pt>
                <c:pt idx="4">
                  <c:v>122.22222222222223</c:v>
                </c:pt>
              </c:numCache>
            </c:numRef>
          </c:xVal>
          <c:yVal>
            <c:numRef>
              <c:f>('EGA (mmol per L)'!$M$30:$M$32,'EGA (mmol per L)'!$N$33:$N$34)</c:f>
              <c:numCache>
                <c:formatCode>General</c:formatCode>
                <c:ptCount val="5"/>
                <c:pt idx="0">
                  <c:v>8.3333333333333339</c:v>
                </c:pt>
                <c:pt idx="1">
                  <c:v>8.6111111111111107</c:v>
                </c:pt>
                <c:pt idx="2">
                  <c:v>122.22222222222223</c:v>
                </c:pt>
                <c:pt idx="3">
                  <c:v>0</c:v>
                </c:pt>
                <c:pt idx="4">
                  <c:v>122.22222222222223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57D9-42C3-9BF2-011942F75948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57D9-42C3-9BF2-011942F75948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xVal>
            <c:numRef>
              <c:f>[1]mgdL!$E$3</c:f>
              <c:numCache>
                <c:formatCode>General</c:formatCode>
                <c:ptCount val="1"/>
              </c:numCache>
            </c:numRef>
          </c:xVal>
          <c:yVal>
            <c:numRef>
              <c:f>[1]mgdL!$N$3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57D9-42C3-9BF2-011942F75948}"/>
            </c:ext>
          </c:extLst>
        </c:ser>
        <c:ser>
          <c:idx val="6"/>
          <c:order val="6"/>
          <c:tx>
            <c:strRef>
              <c:f>'EGA (mmol per L)'!$D$37</c:f>
              <c:strCache>
                <c:ptCount val="1"/>
                <c:pt idx="0">
                  <c:v>Glucose solution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5"/>
            <c:spPr>
              <a:solidFill>
                <a:srgbClr val="4F81BD"/>
              </a:solidFill>
            </c:spPr>
          </c:marker>
          <c:xVal>
            <c:numRef>
              <c:f>'EGA (mmol per L)'!$C$38:$C$255</c:f>
              <c:numCache>
                <c:formatCode>General</c:formatCode>
                <c:ptCount val="218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  <c:pt idx="101">
                  <c:v>6.4</c:v>
                </c:pt>
                <c:pt idx="102">
                  <c:v>6.4</c:v>
                </c:pt>
                <c:pt idx="103">
                  <c:v>6.4</c:v>
                </c:pt>
                <c:pt idx="104">
                  <c:v>6.4</c:v>
                </c:pt>
                <c:pt idx="105">
                  <c:v>6.4</c:v>
                </c:pt>
                <c:pt idx="106">
                  <c:v>6.4</c:v>
                </c:pt>
                <c:pt idx="107">
                  <c:v>6.4</c:v>
                </c:pt>
                <c:pt idx="108">
                  <c:v>6.4</c:v>
                </c:pt>
                <c:pt idx="109">
                  <c:v>6.4</c:v>
                </c:pt>
                <c:pt idx="110">
                  <c:v>19.7</c:v>
                </c:pt>
                <c:pt idx="111">
                  <c:v>19.7</c:v>
                </c:pt>
                <c:pt idx="112">
                  <c:v>19.7</c:v>
                </c:pt>
                <c:pt idx="113">
                  <c:v>19.7</c:v>
                </c:pt>
                <c:pt idx="114">
                  <c:v>19.7</c:v>
                </c:pt>
                <c:pt idx="115">
                  <c:v>19.7</c:v>
                </c:pt>
                <c:pt idx="116">
                  <c:v>19.7</c:v>
                </c:pt>
                <c:pt idx="117">
                  <c:v>19.7</c:v>
                </c:pt>
                <c:pt idx="118">
                  <c:v>19.7</c:v>
                </c:pt>
                <c:pt idx="119">
                  <c:v>19.7</c:v>
                </c:pt>
                <c:pt idx="120">
                  <c:v>19.7</c:v>
                </c:pt>
                <c:pt idx="121">
                  <c:v>19.7</c:v>
                </c:pt>
                <c:pt idx="122">
                  <c:v>19.7</c:v>
                </c:pt>
                <c:pt idx="123">
                  <c:v>19.7</c:v>
                </c:pt>
                <c:pt idx="124">
                  <c:v>19.7</c:v>
                </c:pt>
                <c:pt idx="125">
                  <c:v>19.7</c:v>
                </c:pt>
                <c:pt idx="126">
                  <c:v>19.7</c:v>
                </c:pt>
                <c:pt idx="127">
                  <c:v>19.7</c:v>
                </c:pt>
                <c:pt idx="128">
                  <c:v>19.7</c:v>
                </c:pt>
                <c:pt idx="129">
                  <c:v>19.7</c:v>
                </c:pt>
                <c:pt idx="130">
                  <c:v>19.7</c:v>
                </c:pt>
                <c:pt idx="131">
                  <c:v>19.7</c:v>
                </c:pt>
                <c:pt idx="132">
                  <c:v>19.7</c:v>
                </c:pt>
                <c:pt idx="133">
                  <c:v>19.7</c:v>
                </c:pt>
                <c:pt idx="134">
                  <c:v>19.7</c:v>
                </c:pt>
              </c:numCache>
            </c:numRef>
          </c:xVal>
          <c:yVal>
            <c:numRef>
              <c:f>'EGA (mmol per L)'!$D$38:$D$255</c:f>
              <c:numCache>
                <c:formatCode>General</c:formatCode>
                <c:ptCount val="218"/>
                <c:pt idx="0">
                  <c:v>2.2000000000000002</c:v>
                </c:pt>
                <c:pt idx="1">
                  <c:v>2.1</c:v>
                </c:pt>
                <c:pt idx="2">
                  <c:v>2.1</c:v>
                </c:pt>
                <c:pt idx="3">
                  <c:v>2.2999999999999998</c:v>
                </c:pt>
                <c:pt idx="4">
                  <c:v>2.1</c:v>
                </c:pt>
                <c:pt idx="5">
                  <c:v>2.2000000000000002</c:v>
                </c:pt>
                <c:pt idx="6">
                  <c:v>2.2999999999999998</c:v>
                </c:pt>
                <c:pt idx="7">
                  <c:v>2.2000000000000002</c:v>
                </c:pt>
                <c:pt idx="8">
                  <c:v>2.2000000000000002</c:v>
                </c:pt>
                <c:pt idx="9">
                  <c:v>2.2000000000000002</c:v>
                </c:pt>
                <c:pt idx="10">
                  <c:v>2.1</c:v>
                </c:pt>
                <c:pt idx="11">
                  <c:v>2.1</c:v>
                </c:pt>
                <c:pt idx="12">
                  <c:v>2.1</c:v>
                </c:pt>
                <c:pt idx="13">
                  <c:v>2.1</c:v>
                </c:pt>
                <c:pt idx="14">
                  <c:v>2.2000000000000002</c:v>
                </c:pt>
                <c:pt idx="15">
                  <c:v>2.1</c:v>
                </c:pt>
                <c:pt idx="16">
                  <c:v>2.2000000000000002</c:v>
                </c:pt>
                <c:pt idx="17">
                  <c:v>2.1</c:v>
                </c:pt>
                <c:pt idx="18">
                  <c:v>2.2000000000000002</c:v>
                </c:pt>
                <c:pt idx="19">
                  <c:v>2.1</c:v>
                </c:pt>
                <c:pt idx="20">
                  <c:v>6.3</c:v>
                </c:pt>
                <c:pt idx="21">
                  <c:v>6.3</c:v>
                </c:pt>
                <c:pt idx="22">
                  <c:v>6.3</c:v>
                </c:pt>
                <c:pt idx="23">
                  <c:v>6.3</c:v>
                </c:pt>
                <c:pt idx="24">
                  <c:v>6.4</c:v>
                </c:pt>
                <c:pt idx="25">
                  <c:v>6.4</c:v>
                </c:pt>
                <c:pt idx="26">
                  <c:v>6.3</c:v>
                </c:pt>
                <c:pt idx="27">
                  <c:v>6.4</c:v>
                </c:pt>
                <c:pt idx="28">
                  <c:v>6.3</c:v>
                </c:pt>
                <c:pt idx="29">
                  <c:v>6.3</c:v>
                </c:pt>
                <c:pt idx="30">
                  <c:v>6.3</c:v>
                </c:pt>
                <c:pt idx="31">
                  <c:v>6.4</c:v>
                </c:pt>
                <c:pt idx="32">
                  <c:v>6.3</c:v>
                </c:pt>
                <c:pt idx="33">
                  <c:v>6.4</c:v>
                </c:pt>
                <c:pt idx="34">
                  <c:v>6.4</c:v>
                </c:pt>
                <c:pt idx="35">
                  <c:v>6.4</c:v>
                </c:pt>
                <c:pt idx="36">
                  <c:v>6.5</c:v>
                </c:pt>
                <c:pt idx="37">
                  <c:v>6.3</c:v>
                </c:pt>
                <c:pt idx="38">
                  <c:v>6.3</c:v>
                </c:pt>
                <c:pt idx="39">
                  <c:v>6.3</c:v>
                </c:pt>
                <c:pt idx="40">
                  <c:v>19.600000000000001</c:v>
                </c:pt>
                <c:pt idx="41">
                  <c:v>19.5</c:v>
                </c:pt>
                <c:pt idx="42">
                  <c:v>19.899999999999999</c:v>
                </c:pt>
                <c:pt idx="43">
                  <c:v>19.600000000000001</c:v>
                </c:pt>
                <c:pt idx="44">
                  <c:v>20.3</c:v>
                </c:pt>
                <c:pt idx="45">
                  <c:v>20.8</c:v>
                </c:pt>
                <c:pt idx="46">
                  <c:v>20.100000000000001</c:v>
                </c:pt>
                <c:pt idx="47">
                  <c:v>19.899999999999999</c:v>
                </c:pt>
                <c:pt idx="48">
                  <c:v>20</c:v>
                </c:pt>
                <c:pt idx="49">
                  <c:v>19.899999999999999</c:v>
                </c:pt>
                <c:pt idx="50">
                  <c:v>19.5</c:v>
                </c:pt>
                <c:pt idx="51">
                  <c:v>20.3</c:v>
                </c:pt>
                <c:pt idx="52">
                  <c:v>19.399999999999999</c:v>
                </c:pt>
                <c:pt idx="53">
                  <c:v>19.7</c:v>
                </c:pt>
                <c:pt idx="54">
                  <c:v>19.600000000000001</c:v>
                </c:pt>
                <c:pt idx="55">
                  <c:v>19.8</c:v>
                </c:pt>
                <c:pt idx="56">
                  <c:v>19.8</c:v>
                </c:pt>
                <c:pt idx="57">
                  <c:v>19.899999999999999</c:v>
                </c:pt>
                <c:pt idx="58">
                  <c:v>20</c:v>
                </c:pt>
                <c:pt idx="59">
                  <c:v>19.5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57D9-42C3-9BF2-011942F75948}"/>
            </c:ext>
          </c:extLst>
        </c:ser>
        <c:ser>
          <c:idx val="7"/>
          <c:order val="7"/>
          <c:tx>
            <c:strRef>
              <c:f>'EGA (mmol per L)'!$E$37</c:f>
              <c:strCache>
                <c:ptCount val="1"/>
                <c:pt idx="0">
                  <c:v>plasma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'EGA (mmol per L)'!$C$38:$C$257</c:f>
              <c:numCache>
                <c:formatCode>General</c:formatCode>
                <c:ptCount val="220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  <c:pt idx="101">
                  <c:v>6.4</c:v>
                </c:pt>
                <c:pt idx="102">
                  <c:v>6.4</c:v>
                </c:pt>
                <c:pt idx="103">
                  <c:v>6.4</c:v>
                </c:pt>
                <c:pt idx="104">
                  <c:v>6.4</c:v>
                </c:pt>
                <c:pt idx="105">
                  <c:v>6.4</c:v>
                </c:pt>
                <c:pt idx="106">
                  <c:v>6.4</c:v>
                </c:pt>
                <c:pt idx="107">
                  <c:v>6.4</c:v>
                </c:pt>
                <c:pt idx="108">
                  <c:v>6.4</c:v>
                </c:pt>
                <c:pt idx="109">
                  <c:v>6.4</c:v>
                </c:pt>
                <c:pt idx="110">
                  <c:v>19.7</c:v>
                </c:pt>
                <c:pt idx="111">
                  <c:v>19.7</c:v>
                </c:pt>
                <c:pt idx="112">
                  <c:v>19.7</c:v>
                </c:pt>
                <c:pt idx="113">
                  <c:v>19.7</c:v>
                </c:pt>
                <c:pt idx="114">
                  <c:v>19.7</c:v>
                </c:pt>
                <c:pt idx="115">
                  <c:v>19.7</c:v>
                </c:pt>
                <c:pt idx="116">
                  <c:v>19.7</c:v>
                </c:pt>
                <c:pt idx="117">
                  <c:v>19.7</c:v>
                </c:pt>
                <c:pt idx="118">
                  <c:v>19.7</c:v>
                </c:pt>
                <c:pt idx="119">
                  <c:v>19.7</c:v>
                </c:pt>
                <c:pt idx="120">
                  <c:v>19.7</c:v>
                </c:pt>
                <c:pt idx="121">
                  <c:v>19.7</c:v>
                </c:pt>
                <c:pt idx="122">
                  <c:v>19.7</c:v>
                </c:pt>
                <c:pt idx="123">
                  <c:v>19.7</c:v>
                </c:pt>
                <c:pt idx="124">
                  <c:v>19.7</c:v>
                </c:pt>
                <c:pt idx="125">
                  <c:v>19.7</c:v>
                </c:pt>
                <c:pt idx="126">
                  <c:v>19.7</c:v>
                </c:pt>
                <c:pt idx="127">
                  <c:v>19.7</c:v>
                </c:pt>
                <c:pt idx="128">
                  <c:v>19.7</c:v>
                </c:pt>
                <c:pt idx="129">
                  <c:v>19.7</c:v>
                </c:pt>
                <c:pt idx="130">
                  <c:v>19.7</c:v>
                </c:pt>
                <c:pt idx="131">
                  <c:v>19.7</c:v>
                </c:pt>
                <c:pt idx="132">
                  <c:v>19.7</c:v>
                </c:pt>
                <c:pt idx="133">
                  <c:v>19.7</c:v>
                </c:pt>
                <c:pt idx="134">
                  <c:v>19.7</c:v>
                </c:pt>
              </c:numCache>
            </c:numRef>
          </c:xVal>
          <c:yVal>
            <c:numRef>
              <c:f>'EGA (mmol per L)'!$E$38:$E$257</c:f>
              <c:numCache>
                <c:formatCode>General</c:formatCode>
                <c:ptCount val="220"/>
                <c:pt idx="60">
                  <c:v>3.4</c:v>
                </c:pt>
                <c:pt idx="61">
                  <c:v>3.1</c:v>
                </c:pt>
                <c:pt idx="62">
                  <c:v>3.1</c:v>
                </c:pt>
                <c:pt idx="63">
                  <c:v>3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</c:v>
                </c:pt>
                <c:pt idx="69">
                  <c:v>3</c:v>
                </c:pt>
                <c:pt idx="70">
                  <c:v>3.4</c:v>
                </c:pt>
                <c:pt idx="71">
                  <c:v>3.4</c:v>
                </c:pt>
                <c:pt idx="72">
                  <c:v>3.4</c:v>
                </c:pt>
                <c:pt idx="73">
                  <c:v>3.1</c:v>
                </c:pt>
                <c:pt idx="74">
                  <c:v>3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3.1</c:v>
                </c:pt>
                <c:pt idx="81">
                  <c:v>3.4</c:v>
                </c:pt>
                <c:pt idx="82">
                  <c:v>3.1</c:v>
                </c:pt>
                <c:pt idx="83">
                  <c:v>3.4</c:v>
                </c:pt>
                <c:pt idx="84">
                  <c:v>3.1</c:v>
                </c:pt>
                <c:pt idx="85">
                  <c:v>6.5</c:v>
                </c:pt>
                <c:pt idx="86">
                  <c:v>6.5</c:v>
                </c:pt>
                <c:pt idx="87">
                  <c:v>6.7</c:v>
                </c:pt>
                <c:pt idx="88">
                  <c:v>6.9</c:v>
                </c:pt>
                <c:pt idx="89">
                  <c:v>6.9</c:v>
                </c:pt>
                <c:pt idx="90">
                  <c:v>6.7</c:v>
                </c:pt>
                <c:pt idx="91">
                  <c:v>6.6</c:v>
                </c:pt>
                <c:pt idx="92">
                  <c:v>6.7</c:v>
                </c:pt>
                <c:pt idx="93">
                  <c:v>6.8</c:v>
                </c:pt>
                <c:pt idx="94">
                  <c:v>6.9</c:v>
                </c:pt>
                <c:pt idx="95">
                  <c:v>6.5</c:v>
                </c:pt>
                <c:pt idx="96">
                  <c:v>6.5</c:v>
                </c:pt>
                <c:pt idx="97">
                  <c:v>6.5</c:v>
                </c:pt>
                <c:pt idx="98">
                  <c:v>6.7</c:v>
                </c:pt>
                <c:pt idx="99">
                  <c:v>6.8</c:v>
                </c:pt>
                <c:pt idx="100">
                  <c:v>6.7</c:v>
                </c:pt>
                <c:pt idx="101">
                  <c:v>6.9</c:v>
                </c:pt>
                <c:pt idx="102">
                  <c:v>6.7</c:v>
                </c:pt>
                <c:pt idx="103">
                  <c:v>6.8</c:v>
                </c:pt>
                <c:pt idx="104">
                  <c:v>6.7</c:v>
                </c:pt>
                <c:pt idx="105">
                  <c:v>6.5</c:v>
                </c:pt>
                <c:pt idx="106">
                  <c:v>6.6</c:v>
                </c:pt>
                <c:pt idx="107">
                  <c:v>6.7</c:v>
                </c:pt>
                <c:pt idx="108">
                  <c:v>6.6</c:v>
                </c:pt>
                <c:pt idx="109">
                  <c:v>6.9</c:v>
                </c:pt>
                <c:pt idx="110">
                  <c:v>21.5</c:v>
                </c:pt>
                <c:pt idx="111">
                  <c:v>21</c:v>
                </c:pt>
                <c:pt idx="112">
                  <c:v>21.9</c:v>
                </c:pt>
                <c:pt idx="113">
                  <c:v>21.7</c:v>
                </c:pt>
                <c:pt idx="114">
                  <c:v>20.399999999999999</c:v>
                </c:pt>
                <c:pt idx="115">
                  <c:v>21.5</c:v>
                </c:pt>
                <c:pt idx="116">
                  <c:v>20</c:v>
                </c:pt>
                <c:pt idx="117">
                  <c:v>21.2</c:v>
                </c:pt>
                <c:pt idx="118">
                  <c:v>20.3</c:v>
                </c:pt>
                <c:pt idx="119">
                  <c:v>20.7</c:v>
                </c:pt>
                <c:pt idx="120">
                  <c:v>21.5</c:v>
                </c:pt>
                <c:pt idx="121">
                  <c:v>21.3</c:v>
                </c:pt>
                <c:pt idx="122">
                  <c:v>20.399999999999999</c:v>
                </c:pt>
                <c:pt idx="123">
                  <c:v>20.8</c:v>
                </c:pt>
                <c:pt idx="124">
                  <c:v>20.5</c:v>
                </c:pt>
                <c:pt idx="125">
                  <c:v>21.6</c:v>
                </c:pt>
                <c:pt idx="126">
                  <c:v>21.5</c:v>
                </c:pt>
                <c:pt idx="127">
                  <c:v>21</c:v>
                </c:pt>
                <c:pt idx="128">
                  <c:v>22.3</c:v>
                </c:pt>
                <c:pt idx="129">
                  <c:v>20.3</c:v>
                </c:pt>
                <c:pt idx="130">
                  <c:v>21</c:v>
                </c:pt>
                <c:pt idx="131">
                  <c:v>20.9</c:v>
                </c:pt>
                <c:pt idx="132">
                  <c:v>21.8</c:v>
                </c:pt>
                <c:pt idx="133">
                  <c:v>21</c:v>
                </c:pt>
                <c:pt idx="134">
                  <c:v>20.6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57D9-42C3-9BF2-011942F75948}"/>
            </c:ext>
          </c:extLst>
        </c:ser>
        <c:ser>
          <c:idx val="8"/>
          <c:order val="8"/>
          <c:tx>
            <c:strRef>
              <c:f>'EGA (mmol per L)'!$F$37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'EGA (mmol per L)'!$C$38:$C$138</c:f>
              <c:numCache>
                <c:formatCode>General</c:formatCode>
                <c:ptCount val="101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</c:numCache>
            </c:numRef>
          </c:xVal>
          <c:yVal>
            <c:numRef>
              <c:f>'EGA (mmol per L)'!$F$38:$F$138</c:f>
              <c:numCache>
                <c:formatCode>General</c:formatCode>
                <c:ptCount val="1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57D9-42C3-9BF2-011942F75948}"/>
            </c:ext>
          </c:extLst>
        </c:ser>
        <c:ser>
          <c:idx val="9"/>
          <c:order val="9"/>
          <c:tx>
            <c:strRef>
              <c:f>'EGA (mmol per L)'!$G$37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'EGA (mmol per L)'!$C$38:$C$138</c:f>
              <c:numCache>
                <c:formatCode>General</c:formatCode>
                <c:ptCount val="101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</c:numCache>
            </c:numRef>
          </c:xVal>
          <c:yVal>
            <c:numRef>
              <c:f>'EGA (mmol per L)'!$G$38:$G$138</c:f>
              <c:numCache>
                <c:formatCode>General</c:formatCode>
                <c:ptCount val="1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57D9-42C3-9BF2-011942F75948}"/>
            </c:ext>
          </c:extLst>
        </c:ser>
        <c:ser>
          <c:idx val="10"/>
          <c:order val="10"/>
          <c:tx>
            <c:strRef>
              <c:f>'EGA (mmol per L)'!$H$37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'EGA (mmol per L)'!$C$38:$C$138</c:f>
              <c:numCache>
                <c:formatCode>General</c:formatCode>
                <c:ptCount val="101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</c:numCache>
            </c:numRef>
          </c:xVal>
          <c:yVal>
            <c:numRef>
              <c:f>'EGA (mmol per L)'!$H$38:$H$137</c:f>
              <c:numCache>
                <c:formatCode>General</c:formatCode>
                <c:ptCount val="1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57D9-42C3-9BF2-011942F75948}"/>
            </c:ext>
          </c:extLst>
        </c:ser>
        <c:ser>
          <c:idx val="11"/>
          <c:order val="11"/>
          <c:tx>
            <c:strRef>
              <c:f>'EGA (mmol per L)'!$I$37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'EGA (mmol per L)'!$C$38:$C$138</c:f>
              <c:numCache>
                <c:formatCode>General</c:formatCode>
                <c:ptCount val="101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</c:numCache>
            </c:numRef>
          </c:xVal>
          <c:yVal>
            <c:numRef>
              <c:f>'EGA (mmol per L)'!$I$38:$I$137</c:f>
              <c:numCache>
                <c:formatCode>General</c:formatCode>
                <c:ptCount val="1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57D9-42C3-9BF2-011942F75948}"/>
            </c:ext>
          </c:extLst>
        </c:ser>
        <c:ser>
          <c:idx val="12"/>
          <c:order val="12"/>
          <c:tx>
            <c:strRef>
              <c:f>'EGA (mmol per L)'!$J$37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'EGA (mmol per L)'!$C$38:$C$138</c:f>
              <c:numCache>
                <c:formatCode>General</c:formatCode>
                <c:ptCount val="101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</c:numCache>
            </c:numRef>
          </c:xVal>
          <c:yVal>
            <c:numRef>
              <c:f>'EGA (mmol per L)'!$J$38:$J$138</c:f>
              <c:numCache>
                <c:formatCode>General</c:formatCode>
                <c:ptCount val="1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57D9-42C3-9BF2-011942F75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410368"/>
        <c:axId val="110424832"/>
      </c:scatterChart>
      <c:valAx>
        <c:axId val="110410368"/>
        <c:scaling>
          <c:orientation val="minMax"/>
          <c:max val="3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en-US"/>
                  <a:t>YSI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10424832"/>
        <c:crosses val="autoZero"/>
        <c:crossBetween val="midCat"/>
        <c:majorUnit val="5"/>
      </c:valAx>
      <c:valAx>
        <c:axId val="110424832"/>
        <c:scaling>
          <c:orientation val="minMax"/>
          <c:max val="35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en-US"/>
                  <a:t>Meter reading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10410368"/>
        <c:crosses val="autoZero"/>
        <c:crossBetween val="midCat"/>
        <c:majorUnit val="5"/>
      </c:valAx>
      <c:spPr>
        <a:ln>
          <a:solidFill>
            <a:schemeClr val="tx1"/>
          </a:solidFill>
          <a:prstDash val="solid"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81262664116141858"/>
          <c:y val="3.4669237773849698E-2"/>
          <c:w val="0.17698250503477975"/>
          <c:h val="0.16703723722846334"/>
        </c:manualLayout>
      </c:layout>
      <c:overlay val="1"/>
      <c:spPr>
        <a:solidFill>
          <a:schemeClr val="lt1"/>
        </a:solidFill>
        <a:ln w="25400" cap="flat" cmpd="sng" algn="ctr">
          <a:solidFill>
            <a:schemeClr val="dk1"/>
          </a:solidFill>
          <a:prstDash val="solid"/>
        </a:ln>
        <a:effectLst/>
      </c:spPr>
      <c:txPr>
        <a:bodyPr/>
        <a:lstStyle/>
        <a:p>
          <a:pPr>
            <a:defRPr sz="140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2269049422796"/>
          <c:y val="6.1390878016446229E-2"/>
          <c:w val="0.79945663341507778"/>
          <c:h val="0.8541582954121799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xVal>
          <c:yVal>
            <c:numRef>
              <c:f>工作表1!$B$3:$B$7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C8-469C-8BB4-BBB358C2508A}"/>
            </c:ext>
          </c:extLst>
        </c:ser>
        <c:ser>
          <c:idx val="1"/>
          <c:order val="1"/>
          <c:tx>
            <c:strRef>
              <c:f>工作表1!$C$2</c:f>
              <c:strCache>
                <c:ptCount val="1"/>
                <c:pt idx="0">
                  <c:v>upper zone 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xVal>
          <c:yVal>
            <c:numRef>
              <c:f>工作表1!$C$3:$C$7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C8-469C-8BB4-BBB358C2508A}"/>
            </c:ext>
          </c:extLst>
        </c:ser>
        <c:ser>
          <c:idx val="2"/>
          <c:order val="2"/>
          <c:tx>
            <c:strRef>
              <c:f>工作表1!$D$2</c:f>
              <c:strCache>
                <c:ptCount val="1"/>
                <c:pt idx="0">
                  <c:v>lower zone 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工作表1!$A$12:$A$16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385</c:v>
                </c:pt>
                <c:pt idx="4">
                  <c:v>550</c:v>
                </c:pt>
              </c:numCache>
            </c:numRef>
          </c:xVal>
          <c:yVal>
            <c:numRef>
              <c:f>工作表1!$D$12:$D$16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145</c:v>
                </c:pt>
                <c:pt idx="3">
                  <c:v>300</c:v>
                </c:pt>
                <c:pt idx="4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C8-469C-8BB4-BBB358C2508A}"/>
            </c:ext>
          </c:extLst>
        </c:ser>
        <c:ser>
          <c:idx val="3"/>
          <c:order val="3"/>
          <c:tx>
            <c:strRef>
              <c:f>工作表1!$E$2</c:f>
              <c:strCache>
                <c:ptCount val="1"/>
                <c:pt idx="0">
                  <c:v>upper zone 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工作表1!$A$17:$A$21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260</c:v>
                </c:pt>
              </c:numCache>
            </c:numRef>
          </c:xVal>
          <c:yVal>
            <c:numRef>
              <c:f>工作表1!$E$17:$E$21</c:f>
              <c:numCache>
                <c:formatCode>General</c:formatCode>
                <c:ptCount val="5"/>
                <c:pt idx="0">
                  <c:v>60</c:v>
                </c:pt>
                <c:pt idx="1">
                  <c:v>60</c:v>
                </c:pt>
                <c:pt idx="2">
                  <c:v>80</c:v>
                </c:pt>
                <c:pt idx="3">
                  <c:v>110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6C8-469C-8BB4-BBB358C2508A}"/>
            </c:ext>
          </c:extLst>
        </c:ser>
        <c:ser>
          <c:idx val="4"/>
          <c:order val="4"/>
          <c:tx>
            <c:strRef>
              <c:f>工作表1!$F$2</c:f>
              <c:strCache>
                <c:ptCount val="1"/>
                <c:pt idx="0">
                  <c:v>lower zone 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工作表1!$A$8:$A$11</c:f>
              <c:numCache>
                <c:formatCode>General</c:formatCode>
                <c:ptCount val="4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</c:numCache>
            </c:numRef>
          </c:xVal>
          <c:yVal>
            <c:numRef>
              <c:f>工作表1!$F$8:$F$11</c:f>
              <c:numCache>
                <c:formatCode>General</c:formatCode>
                <c:ptCount val="4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6C8-469C-8BB4-BBB358C2508A}"/>
            </c:ext>
          </c:extLst>
        </c:ser>
        <c:ser>
          <c:idx val="5"/>
          <c:order val="5"/>
          <c:tx>
            <c:strRef>
              <c:f>工作表1!$G$2</c:f>
              <c:strCache>
                <c:ptCount val="1"/>
                <c:pt idx="0">
                  <c:v>upper zone 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工作表1!$A$25:$A$29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80</c:v>
                </c:pt>
                <c:pt idx="4">
                  <c:v>125</c:v>
                </c:pt>
              </c:numCache>
            </c:numRef>
          </c:xVal>
          <c:yVal>
            <c:numRef>
              <c:f>工作表1!$G$25:$G$29</c:f>
              <c:numCache>
                <c:formatCode>General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125</c:v>
                </c:pt>
                <c:pt idx="3">
                  <c:v>215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6C8-469C-8BB4-BBB358C2508A}"/>
            </c:ext>
          </c:extLst>
        </c:ser>
        <c:ser>
          <c:idx val="6"/>
          <c:order val="6"/>
          <c:tx>
            <c:strRef>
              <c:f>工作表1!$H$2</c:f>
              <c:strCache>
                <c:ptCount val="1"/>
                <c:pt idx="0">
                  <c:v>lower zone D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工作表1!$A$22:$A$24</c:f>
              <c:numCache>
                <c:formatCode>General</c:formatCode>
                <c:ptCount val="3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</c:numCache>
            </c:numRef>
          </c:xVal>
          <c:yVal>
            <c:numRef>
              <c:f>工作表1!$H$22:$H$24</c:f>
              <c:numCache>
                <c:formatCode>General</c:formatCode>
                <c:ptCount val="3"/>
                <c:pt idx="0">
                  <c:v>0</c:v>
                </c:pt>
                <c:pt idx="1">
                  <c:v>40</c:v>
                </c:pt>
                <c:pt idx="2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6C8-469C-8BB4-BBB358C2508A}"/>
            </c:ext>
          </c:extLst>
        </c:ser>
        <c:ser>
          <c:idx val="7"/>
          <c:order val="7"/>
          <c:tx>
            <c:strRef>
              <c:f>工作表1!$I$2</c:f>
              <c:strCache>
                <c:ptCount val="1"/>
                <c:pt idx="0">
                  <c:v>upper zone 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工作表1!$A$30:$A$32</c:f>
              <c:numCache>
                <c:formatCode>General</c:formatCode>
                <c:ptCount val="3"/>
                <c:pt idx="0">
                  <c:v>0</c:v>
                </c:pt>
                <c:pt idx="1">
                  <c:v>35</c:v>
                </c:pt>
                <c:pt idx="2">
                  <c:v>50</c:v>
                </c:pt>
              </c:numCache>
            </c:numRef>
          </c:xVal>
          <c:yVal>
            <c:numRef>
              <c:f>工作表1!$I$30:$I$32</c:f>
              <c:numCache>
                <c:formatCode>General</c:formatCode>
                <c:ptCount val="3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6C8-469C-8BB4-BBB358C2508A}"/>
            </c:ext>
          </c:extLst>
        </c:ser>
        <c:ser>
          <c:idx val="8"/>
          <c:order val="8"/>
          <c:tx>
            <c:strRef>
              <c:f>工作表1!$J$2</c:f>
              <c:strCache>
                <c:ptCount val="1"/>
                <c:pt idx="0">
                  <c:v>lower zone E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工作表1!$A$33:$A$34</c:f>
              <c:numCache>
                <c:formatCode>General</c:formatCode>
                <c:ptCount val="2"/>
                <c:pt idx="0">
                  <c:v>0</c:v>
                </c:pt>
                <c:pt idx="1">
                  <c:v>550</c:v>
                </c:pt>
              </c:numCache>
            </c:numRef>
          </c:xVal>
          <c:yVal>
            <c:numRef>
              <c:f>工作表1!$J$33:$J$34</c:f>
              <c:numCache>
                <c:formatCode>General</c:formatCode>
                <c:ptCount val="2"/>
                <c:pt idx="0">
                  <c:v>0</c:v>
                </c:pt>
                <c:pt idx="1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6C8-469C-8BB4-BBB358C25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523584"/>
        <c:axId val="593909888"/>
      </c:scatterChart>
      <c:valAx>
        <c:axId val="425523584"/>
        <c:scaling>
          <c:orientation val="minMax"/>
          <c:max val="5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400"/>
                  <a:t>Reference (mg/dL)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93909888"/>
        <c:crosses val="autoZero"/>
        <c:crossBetween val="midCat"/>
      </c:valAx>
      <c:valAx>
        <c:axId val="593909888"/>
        <c:scaling>
          <c:orientation val="minMax"/>
          <c:max val="5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400"/>
                  <a:t>Test (mg/dL)</a:t>
                </a:r>
              </a:p>
            </c:rich>
          </c:tx>
          <c:layout>
            <c:manualLayout>
              <c:xMode val="edge"/>
              <c:yMode val="edge"/>
              <c:x val="5.6496910580787721E-2"/>
              <c:y val="0.378263882888440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552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2269049422796"/>
          <c:y val="6.1390878016446229E-2"/>
          <c:w val="0.79945663341507778"/>
          <c:h val="0.8541582954121799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xVal>
          <c:yVal>
            <c:numRef>
              <c:f>工作表1!$B$3:$B$7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C9-4286-850E-343A683ECB76}"/>
            </c:ext>
          </c:extLst>
        </c:ser>
        <c:ser>
          <c:idx val="1"/>
          <c:order val="1"/>
          <c:tx>
            <c:strRef>
              <c:f>工作表1!$C$2</c:f>
              <c:strCache>
                <c:ptCount val="1"/>
                <c:pt idx="0">
                  <c:v>upper zone 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xVal>
          <c:yVal>
            <c:numRef>
              <c:f>工作表1!$C$3:$C$7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C9-4286-850E-343A683ECB76}"/>
            </c:ext>
          </c:extLst>
        </c:ser>
        <c:ser>
          <c:idx val="2"/>
          <c:order val="2"/>
          <c:tx>
            <c:strRef>
              <c:f>工作表1!$D$2</c:f>
              <c:strCache>
                <c:ptCount val="1"/>
                <c:pt idx="0">
                  <c:v>lower zone 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工作表1!$A$12:$A$16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385</c:v>
                </c:pt>
                <c:pt idx="4">
                  <c:v>550</c:v>
                </c:pt>
              </c:numCache>
            </c:numRef>
          </c:xVal>
          <c:yVal>
            <c:numRef>
              <c:f>工作表1!$D$12:$D$16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145</c:v>
                </c:pt>
                <c:pt idx="3">
                  <c:v>300</c:v>
                </c:pt>
                <c:pt idx="4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BC9-4286-850E-343A683ECB76}"/>
            </c:ext>
          </c:extLst>
        </c:ser>
        <c:ser>
          <c:idx val="3"/>
          <c:order val="3"/>
          <c:tx>
            <c:strRef>
              <c:f>工作表1!$E$2</c:f>
              <c:strCache>
                <c:ptCount val="1"/>
                <c:pt idx="0">
                  <c:v>upper zone 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工作表1!$A$17:$A$21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260</c:v>
                </c:pt>
              </c:numCache>
            </c:numRef>
          </c:xVal>
          <c:yVal>
            <c:numRef>
              <c:f>工作表1!$E$17:$E$21</c:f>
              <c:numCache>
                <c:formatCode>General</c:formatCode>
                <c:ptCount val="5"/>
                <c:pt idx="0">
                  <c:v>60</c:v>
                </c:pt>
                <c:pt idx="1">
                  <c:v>60</c:v>
                </c:pt>
                <c:pt idx="2">
                  <c:v>80</c:v>
                </c:pt>
                <c:pt idx="3">
                  <c:v>110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BC9-4286-850E-343A683ECB76}"/>
            </c:ext>
          </c:extLst>
        </c:ser>
        <c:ser>
          <c:idx val="4"/>
          <c:order val="4"/>
          <c:tx>
            <c:strRef>
              <c:f>工作表1!$F$2</c:f>
              <c:strCache>
                <c:ptCount val="1"/>
                <c:pt idx="0">
                  <c:v>lower zone 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工作表1!$A$8:$A$11</c:f>
              <c:numCache>
                <c:formatCode>General</c:formatCode>
                <c:ptCount val="4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</c:numCache>
            </c:numRef>
          </c:xVal>
          <c:yVal>
            <c:numRef>
              <c:f>工作表1!$F$8:$F$11</c:f>
              <c:numCache>
                <c:formatCode>General</c:formatCode>
                <c:ptCount val="4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BC9-4286-850E-343A683ECB76}"/>
            </c:ext>
          </c:extLst>
        </c:ser>
        <c:ser>
          <c:idx val="5"/>
          <c:order val="5"/>
          <c:tx>
            <c:strRef>
              <c:f>工作表1!$G$2</c:f>
              <c:strCache>
                <c:ptCount val="1"/>
                <c:pt idx="0">
                  <c:v>upper zone 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工作表1!$A$25:$A$29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80</c:v>
                </c:pt>
                <c:pt idx="4">
                  <c:v>125</c:v>
                </c:pt>
              </c:numCache>
            </c:numRef>
          </c:xVal>
          <c:yVal>
            <c:numRef>
              <c:f>工作表1!$G$25:$G$29</c:f>
              <c:numCache>
                <c:formatCode>General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125</c:v>
                </c:pt>
                <c:pt idx="3">
                  <c:v>215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BC9-4286-850E-343A683ECB76}"/>
            </c:ext>
          </c:extLst>
        </c:ser>
        <c:ser>
          <c:idx val="6"/>
          <c:order val="6"/>
          <c:tx>
            <c:strRef>
              <c:f>工作表1!$H$2</c:f>
              <c:strCache>
                <c:ptCount val="1"/>
                <c:pt idx="0">
                  <c:v>lower zone D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工作表1!$A$22:$A$24</c:f>
              <c:numCache>
                <c:formatCode>General</c:formatCode>
                <c:ptCount val="3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</c:numCache>
            </c:numRef>
          </c:xVal>
          <c:yVal>
            <c:numRef>
              <c:f>工作表1!$H$22:$H$24</c:f>
              <c:numCache>
                <c:formatCode>General</c:formatCode>
                <c:ptCount val="3"/>
                <c:pt idx="0">
                  <c:v>0</c:v>
                </c:pt>
                <c:pt idx="1">
                  <c:v>40</c:v>
                </c:pt>
                <c:pt idx="2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BC9-4286-850E-343A683ECB76}"/>
            </c:ext>
          </c:extLst>
        </c:ser>
        <c:ser>
          <c:idx val="7"/>
          <c:order val="7"/>
          <c:tx>
            <c:strRef>
              <c:f>工作表1!$I$2</c:f>
              <c:strCache>
                <c:ptCount val="1"/>
                <c:pt idx="0">
                  <c:v>upper zone 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工作表1!$A$30:$A$32</c:f>
              <c:numCache>
                <c:formatCode>General</c:formatCode>
                <c:ptCount val="3"/>
                <c:pt idx="0">
                  <c:v>0</c:v>
                </c:pt>
                <c:pt idx="1">
                  <c:v>35</c:v>
                </c:pt>
                <c:pt idx="2">
                  <c:v>50</c:v>
                </c:pt>
              </c:numCache>
            </c:numRef>
          </c:xVal>
          <c:yVal>
            <c:numRef>
              <c:f>工作表1!$I$30:$I$32</c:f>
              <c:numCache>
                <c:formatCode>General</c:formatCode>
                <c:ptCount val="3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BC9-4286-850E-343A683ECB76}"/>
            </c:ext>
          </c:extLst>
        </c:ser>
        <c:ser>
          <c:idx val="8"/>
          <c:order val="8"/>
          <c:tx>
            <c:strRef>
              <c:f>工作表1!$J$2</c:f>
              <c:strCache>
                <c:ptCount val="1"/>
                <c:pt idx="0">
                  <c:v>lower zone E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工作表1!$A$33:$A$34</c:f>
              <c:numCache>
                <c:formatCode>General</c:formatCode>
                <c:ptCount val="2"/>
                <c:pt idx="0">
                  <c:v>0</c:v>
                </c:pt>
                <c:pt idx="1">
                  <c:v>550</c:v>
                </c:pt>
              </c:numCache>
            </c:numRef>
          </c:xVal>
          <c:yVal>
            <c:numRef>
              <c:f>工作表1!$J$33:$J$34</c:f>
              <c:numCache>
                <c:formatCode>General</c:formatCode>
                <c:ptCount val="2"/>
                <c:pt idx="0">
                  <c:v>0</c:v>
                </c:pt>
                <c:pt idx="1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BC9-4286-850E-343A683EC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523584"/>
        <c:axId val="593909888"/>
      </c:scatterChart>
      <c:valAx>
        <c:axId val="425523584"/>
        <c:scaling>
          <c:orientation val="minMax"/>
          <c:max val="5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400"/>
                  <a:t>Reference (mg/dL)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93909888"/>
        <c:crosses val="autoZero"/>
        <c:crossBetween val="midCat"/>
      </c:valAx>
      <c:valAx>
        <c:axId val="593909888"/>
        <c:scaling>
          <c:orientation val="minMax"/>
          <c:max val="5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400"/>
                  <a:t>Test (mg/dL)</a:t>
                </a:r>
              </a:p>
            </c:rich>
          </c:tx>
          <c:layout>
            <c:manualLayout>
              <c:xMode val="edge"/>
              <c:yMode val="edge"/>
              <c:x val="5.6496910580787721E-2"/>
              <c:y val="0.378263882888440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552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955207</xdr:colOff>
      <xdr:row>35</xdr:row>
      <xdr:rowOff>77560</xdr:rowOff>
    </xdr:from>
    <xdr:to>
      <xdr:col>16</xdr:col>
      <xdr:colOff>340179</xdr:colOff>
      <xdr:row>58</xdr:row>
      <xdr:rowOff>40821</xdr:rowOff>
    </xdr:to>
    <xdr:grpSp>
      <xdr:nvGrpSpPr>
        <xdr:cNvPr id="2" name="群組 1"/>
        <xdr:cNvGrpSpPr/>
      </xdr:nvGrpSpPr>
      <xdr:grpSpPr>
        <a:xfrm>
          <a:off x="7704350" y="7221310"/>
          <a:ext cx="6569543" cy="4957082"/>
          <a:chOff x="12820649" y="213632"/>
          <a:chExt cx="7127422" cy="4947703"/>
        </a:xfrm>
      </xdr:grpSpPr>
      <xdr:graphicFrame macro="">
        <xdr:nvGraphicFramePr>
          <xdr:cNvPr id="3" name="圖表 2"/>
          <xdr:cNvGraphicFramePr/>
        </xdr:nvGraphicFramePr>
        <xdr:xfrm>
          <a:off x="12820649" y="213632"/>
          <a:ext cx="7127422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文字方塊 3"/>
          <xdr:cNvSpPr txBox="1"/>
        </xdr:nvSpPr>
        <xdr:spPr>
          <a:xfrm>
            <a:off x="17690490" y="625500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5" name="文字方塊 4"/>
          <xdr:cNvSpPr txBox="1"/>
        </xdr:nvSpPr>
        <xdr:spPr>
          <a:xfrm>
            <a:off x="17870903" y="131461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6" name="文字方塊 5"/>
          <xdr:cNvSpPr txBox="1"/>
        </xdr:nvSpPr>
        <xdr:spPr>
          <a:xfrm>
            <a:off x="18103281" y="2004580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7" name="文字方塊 6"/>
          <xdr:cNvSpPr txBox="1"/>
        </xdr:nvSpPr>
        <xdr:spPr>
          <a:xfrm>
            <a:off x="16465549" y="61060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8" name="文字方塊 7"/>
          <xdr:cNvSpPr txBox="1"/>
        </xdr:nvSpPr>
        <xdr:spPr>
          <a:xfrm>
            <a:off x="15322375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9" name="文字方塊 8"/>
          <xdr:cNvSpPr txBox="1"/>
        </xdr:nvSpPr>
        <xdr:spPr>
          <a:xfrm>
            <a:off x="18142519" y="285430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10" name="文字方塊 9"/>
          <xdr:cNvSpPr txBox="1"/>
        </xdr:nvSpPr>
        <xdr:spPr>
          <a:xfrm>
            <a:off x="18208119" y="369757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1" name="文字方塊 10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2" name="文字方塊 11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  <xdr:twoCellAnchor>
    <xdr:from>
      <xdr:col>17</xdr:col>
      <xdr:colOff>0</xdr:colOff>
      <xdr:row>36</xdr:row>
      <xdr:rowOff>0</xdr:rowOff>
    </xdr:from>
    <xdr:to>
      <xdr:col>26</xdr:col>
      <xdr:colOff>446328</xdr:colOff>
      <xdr:row>58</xdr:row>
      <xdr:rowOff>167368</xdr:rowOff>
    </xdr:to>
    <xdr:grpSp>
      <xdr:nvGrpSpPr>
        <xdr:cNvPr id="13" name="群組 12"/>
        <xdr:cNvGrpSpPr/>
      </xdr:nvGrpSpPr>
      <xdr:grpSpPr>
        <a:xfrm>
          <a:off x="14614071" y="7347857"/>
          <a:ext cx="6569543" cy="4957082"/>
          <a:chOff x="12820649" y="213632"/>
          <a:chExt cx="7127422" cy="4947703"/>
        </a:xfrm>
      </xdr:grpSpPr>
      <xdr:graphicFrame macro="">
        <xdr:nvGraphicFramePr>
          <xdr:cNvPr id="14" name="圖表 13"/>
          <xdr:cNvGraphicFramePr/>
        </xdr:nvGraphicFramePr>
        <xdr:xfrm>
          <a:off x="12820649" y="213632"/>
          <a:ext cx="7127422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15" name="文字方塊 14"/>
          <xdr:cNvSpPr txBox="1"/>
        </xdr:nvSpPr>
        <xdr:spPr>
          <a:xfrm>
            <a:off x="17690490" y="625500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16" name="文字方塊 15"/>
          <xdr:cNvSpPr txBox="1"/>
        </xdr:nvSpPr>
        <xdr:spPr>
          <a:xfrm>
            <a:off x="17870903" y="131461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17" name="文字方塊 16"/>
          <xdr:cNvSpPr txBox="1"/>
        </xdr:nvSpPr>
        <xdr:spPr>
          <a:xfrm>
            <a:off x="18103281" y="2004580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18" name="文字方塊 17"/>
          <xdr:cNvSpPr txBox="1"/>
        </xdr:nvSpPr>
        <xdr:spPr>
          <a:xfrm>
            <a:off x="16465549" y="61060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19" name="文字方塊 18"/>
          <xdr:cNvSpPr txBox="1"/>
        </xdr:nvSpPr>
        <xdr:spPr>
          <a:xfrm>
            <a:off x="15322375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20" name="文字方塊 19"/>
          <xdr:cNvSpPr txBox="1"/>
        </xdr:nvSpPr>
        <xdr:spPr>
          <a:xfrm>
            <a:off x="18142519" y="285430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21" name="文字方塊 20"/>
          <xdr:cNvSpPr txBox="1"/>
        </xdr:nvSpPr>
        <xdr:spPr>
          <a:xfrm>
            <a:off x="18208119" y="369757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22" name="文字方塊 21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23" name="文字方塊 22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955207</xdr:colOff>
      <xdr:row>35</xdr:row>
      <xdr:rowOff>77560</xdr:rowOff>
    </xdr:from>
    <xdr:to>
      <xdr:col>16</xdr:col>
      <xdr:colOff>340179</xdr:colOff>
      <xdr:row>58</xdr:row>
      <xdr:rowOff>40821</xdr:rowOff>
    </xdr:to>
    <xdr:grpSp>
      <xdr:nvGrpSpPr>
        <xdr:cNvPr id="2" name="群組 1"/>
        <xdr:cNvGrpSpPr/>
      </xdr:nvGrpSpPr>
      <xdr:grpSpPr>
        <a:xfrm>
          <a:off x="7704350" y="7221310"/>
          <a:ext cx="6569543" cy="4957082"/>
          <a:chOff x="12820649" y="213632"/>
          <a:chExt cx="7127422" cy="4947703"/>
        </a:xfrm>
      </xdr:grpSpPr>
      <xdr:graphicFrame macro="">
        <xdr:nvGraphicFramePr>
          <xdr:cNvPr id="3" name="圖表 2"/>
          <xdr:cNvGraphicFramePr/>
        </xdr:nvGraphicFramePr>
        <xdr:xfrm>
          <a:off x="12820649" y="213632"/>
          <a:ext cx="7127422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文字方塊 3"/>
          <xdr:cNvSpPr txBox="1"/>
        </xdr:nvSpPr>
        <xdr:spPr>
          <a:xfrm>
            <a:off x="17690490" y="625500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5" name="文字方塊 4"/>
          <xdr:cNvSpPr txBox="1"/>
        </xdr:nvSpPr>
        <xdr:spPr>
          <a:xfrm>
            <a:off x="17870903" y="131461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6" name="文字方塊 5"/>
          <xdr:cNvSpPr txBox="1"/>
        </xdr:nvSpPr>
        <xdr:spPr>
          <a:xfrm>
            <a:off x="18103281" y="2004580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7" name="文字方塊 6"/>
          <xdr:cNvSpPr txBox="1"/>
        </xdr:nvSpPr>
        <xdr:spPr>
          <a:xfrm>
            <a:off x="16465549" y="61060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8" name="文字方塊 7"/>
          <xdr:cNvSpPr txBox="1"/>
        </xdr:nvSpPr>
        <xdr:spPr>
          <a:xfrm>
            <a:off x="15322375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9" name="文字方塊 8"/>
          <xdr:cNvSpPr txBox="1"/>
        </xdr:nvSpPr>
        <xdr:spPr>
          <a:xfrm>
            <a:off x="18142519" y="285430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10" name="文字方塊 9"/>
          <xdr:cNvSpPr txBox="1"/>
        </xdr:nvSpPr>
        <xdr:spPr>
          <a:xfrm>
            <a:off x="18208119" y="369757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1" name="文字方塊 10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2" name="文字方塊 11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  <xdr:twoCellAnchor>
    <xdr:from>
      <xdr:col>17</xdr:col>
      <xdr:colOff>0</xdr:colOff>
      <xdr:row>36</xdr:row>
      <xdr:rowOff>0</xdr:rowOff>
    </xdr:from>
    <xdr:to>
      <xdr:col>26</xdr:col>
      <xdr:colOff>446328</xdr:colOff>
      <xdr:row>58</xdr:row>
      <xdr:rowOff>167368</xdr:rowOff>
    </xdr:to>
    <xdr:grpSp>
      <xdr:nvGrpSpPr>
        <xdr:cNvPr id="13" name="群組 12"/>
        <xdr:cNvGrpSpPr/>
      </xdr:nvGrpSpPr>
      <xdr:grpSpPr>
        <a:xfrm>
          <a:off x="14614071" y="7347857"/>
          <a:ext cx="6569543" cy="4957082"/>
          <a:chOff x="12820649" y="213632"/>
          <a:chExt cx="7127422" cy="4947703"/>
        </a:xfrm>
      </xdr:grpSpPr>
      <xdr:graphicFrame macro="">
        <xdr:nvGraphicFramePr>
          <xdr:cNvPr id="14" name="圖表 13"/>
          <xdr:cNvGraphicFramePr/>
        </xdr:nvGraphicFramePr>
        <xdr:xfrm>
          <a:off x="12820649" y="213632"/>
          <a:ext cx="7127422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15" name="文字方塊 14"/>
          <xdr:cNvSpPr txBox="1"/>
        </xdr:nvSpPr>
        <xdr:spPr>
          <a:xfrm>
            <a:off x="17690490" y="625500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16" name="文字方塊 15"/>
          <xdr:cNvSpPr txBox="1"/>
        </xdr:nvSpPr>
        <xdr:spPr>
          <a:xfrm>
            <a:off x="17870903" y="131461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17" name="文字方塊 16"/>
          <xdr:cNvSpPr txBox="1"/>
        </xdr:nvSpPr>
        <xdr:spPr>
          <a:xfrm>
            <a:off x="18103281" y="2004580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18" name="文字方塊 17"/>
          <xdr:cNvSpPr txBox="1"/>
        </xdr:nvSpPr>
        <xdr:spPr>
          <a:xfrm>
            <a:off x="16465549" y="61060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19" name="文字方塊 18"/>
          <xdr:cNvSpPr txBox="1"/>
        </xdr:nvSpPr>
        <xdr:spPr>
          <a:xfrm>
            <a:off x="15322375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20" name="文字方塊 19"/>
          <xdr:cNvSpPr txBox="1"/>
        </xdr:nvSpPr>
        <xdr:spPr>
          <a:xfrm>
            <a:off x="18142519" y="285430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21" name="文字方塊 20"/>
          <xdr:cNvSpPr txBox="1"/>
        </xdr:nvSpPr>
        <xdr:spPr>
          <a:xfrm>
            <a:off x="18208119" y="369757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22" name="文字方塊 21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23" name="文字方塊 22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465350</xdr:colOff>
      <xdr:row>34</xdr:row>
      <xdr:rowOff>63953</xdr:rowOff>
    </xdr:from>
    <xdr:to>
      <xdr:col>23</xdr:col>
      <xdr:colOff>40822</xdr:colOff>
      <xdr:row>57</xdr:row>
      <xdr:rowOff>40821</xdr:rowOff>
    </xdr:to>
    <xdr:grpSp>
      <xdr:nvGrpSpPr>
        <xdr:cNvPr id="2" name="群組 1"/>
        <xdr:cNvGrpSpPr/>
      </xdr:nvGrpSpPr>
      <xdr:grpSpPr>
        <a:xfrm>
          <a:off x="12167493" y="7003596"/>
          <a:ext cx="6569543" cy="4957082"/>
          <a:chOff x="12820649" y="213632"/>
          <a:chExt cx="7127422" cy="4947703"/>
        </a:xfrm>
      </xdr:grpSpPr>
      <xdr:graphicFrame macro="">
        <xdr:nvGraphicFramePr>
          <xdr:cNvPr id="3" name="圖表 2"/>
          <xdr:cNvGraphicFramePr/>
        </xdr:nvGraphicFramePr>
        <xdr:xfrm>
          <a:off x="12820649" y="213632"/>
          <a:ext cx="7127422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文字方塊 3"/>
          <xdr:cNvSpPr txBox="1"/>
        </xdr:nvSpPr>
        <xdr:spPr>
          <a:xfrm>
            <a:off x="17690490" y="625500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5" name="文字方塊 4"/>
          <xdr:cNvSpPr txBox="1"/>
        </xdr:nvSpPr>
        <xdr:spPr>
          <a:xfrm>
            <a:off x="17870903" y="131461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6" name="文字方塊 5"/>
          <xdr:cNvSpPr txBox="1"/>
        </xdr:nvSpPr>
        <xdr:spPr>
          <a:xfrm>
            <a:off x="18103281" y="2004580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7" name="文字方塊 6"/>
          <xdr:cNvSpPr txBox="1"/>
        </xdr:nvSpPr>
        <xdr:spPr>
          <a:xfrm>
            <a:off x="16465549" y="61060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8" name="文字方塊 7"/>
          <xdr:cNvSpPr txBox="1"/>
        </xdr:nvSpPr>
        <xdr:spPr>
          <a:xfrm>
            <a:off x="15322375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9" name="文字方塊 8"/>
          <xdr:cNvSpPr txBox="1"/>
        </xdr:nvSpPr>
        <xdr:spPr>
          <a:xfrm>
            <a:off x="18142519" y="285430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10" name="文字方塊 9"/>
          <xdr:cNvSpPr txBox="1"/>
        </xdr:nvSpPr>
        <xdr:spPr>
          <a:xfrm>
            <a:off x="18208119" y="369757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1" name="文字方塊 10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2" name="文字方塊 11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38</xdr:row>
      <xdr:rowOff>0</xdr:rowOff>
    </xdr:from>
    <xdr:to>
      <xdr:col>12</xdr:col>
      <xdr:colOff>623221</xdr:colOff>
      <xdr:row>60</xdr:row>
      <xdr:rowOff>140155</xdr:rowOff>
    </xdr:to>
    <xdr:grpSp>
      <xdr:nvGrpSpPr>
        <xdr:cNvPr id="13" name="群組 12"/>
        <xdr:cNvGrpSpPr/>
      </xdr:nvGrpSpPr>
      <xdr:grpSpPr>
        <a:xfrm>
          <a:off x="4503964" y="7796893"/>
          <a:ext cx="6569543" cy="4902655"/>
          <a:chOff x="12835411" y="240796"/>
          <a:chExt cx="7127422" cy="4947703"/>
        </a:xfrm>
      </xdr:grpSpPr>
      <xdr:graphicFrame macro="">
        <xdr:nvGraphicFramePr>
          <xdr:cNvPr id="14" name="圖表 13"/>
          <xdr:cNvGraphicFramePr/>
        </xdr:nvGraphicFramePr>
        <xdr:xfrm>
          <a:off x="12835411" y="240796"/>
          <a:ext cx="7127422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15" name="文字方塊 14"/>
          <xdr:cNvSpPr txBox="1"/>
        </xdr:nvSpPr>
        <xdr:spPr>
          <a:xfrm>
            <a:off x="17690490" y="625500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16" name="文字方塊 15"/>
          <xdr:cNvSpPr txBox="1"/>
        </xdr:nvSpPr>
        <xdr:spPr>
          <a:xfrm>
            <a:off x="17870903" y="131461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17" name="文字方塊 16"/>
          <xdr:cNvSpPr txBox="1"/>
        </xdr:nvSpPr>
        <xdr:spPr>
          <a:xfrm>
            <a:off x="18103281" y="2004580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18" name="文字方塊 17"/>
          <xdr:cNvSpPr txBox="1"/>
        </xdr:nvSpPr>
        <xdr:spPr>
          <a:xfrm>
            <a:off x="16465549" y="61060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19" name="文字方塊 18"/>
          <xdr:cNvSpPr txBox="1"/>
        </xdr:nvSpPr>
        <xdr:spPr>
          <a:xfrm>
            <a:off x="15322375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20" name="文字方塊 19"/>
          <xdr:cNvSpPr txBox="1"/>
        </xdr:nvSpPr>
        <xdr:spPr>
          <a:xfrm>
            <a:off x="18142519" y="285430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21" name="文字方塊 20"/>
          <xdr:cNvSpPr txBox="1"/>
        </xdr:nvSpPr>
        <xdr:spPr>
          <a:xfrm>
            <a:off x="18208119" y="369757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22" name="文字方塊 21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23" name="文字方塊 22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39</xdr:row>
      <xdr:rowOff>0</xdr:rowOff>
    </xdr:from>
    <xdr:to>
      <xdr:col>12</xdr:col>
      <xdr:colOff>623221</xdr:colOff>
      <xdr:row>61</xdr:row>
      <xdr:rowOff>148660</xdr:rowOff>
    </xdr:to>
    <xdr:grpSp>
      <xdr:nvGrpSpPr>
        <xdr:cNvPr id="13" name="群組 12"/>
        <xdr:cNvGrpSpPr/>
      </xdr:nvGrpSpPr>
      <xdr:grpSpPr>
        <a:xfrm>
          <a:off x="4417219" y="8370094"/>
          <a:ext cx="6576346" cy="4863535"/>
          <a:chOff x="12835411" y="240796"/>
          <a:chExt cx="7127422" cy="4947703"/>
        </a:xfrm>
      </xdr:grpSpPr>
      <xdr:graphicFrame macro="">
        <xdr:nvGraphicFramePr>
          <xdr:cNvPr id="14" name="圖表 13"/>
          <xdr:cNvGraphicFramePr/>
        </xdr:nvGraphicFramePr>
        <xdr:xfrm>
          <a:off x="12835411" y="240796"/>
          <a:ext cx="7127422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15" name="文字方塊 14"/>
          <xdr:cNvSpPr txBox="1"/>
        </xdr:nvSpPr>
        <xdr:spPr>
          <a:xfrm>
            <a:off x="17690490" y="625500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16" name="文字方塊 15"/>
          <xdr:cNvSpPr txBox="1"/>
        </xdr:nvSpPr>
        <xdr:spPr>
          <a:xfrm>
            <a:off x="17870903" y="131461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17" name="文字方塊 16"/>
          <xdr:cNvSpPr txBox="1"/>
        </xdr:nvSpPr>
        <xdr:spPr>
          <a:xfrm>
            <a:off x="18103281" y="2004580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18" name="文字方塊 17"/>
          <xdr:cNvSpPr txBox="1"/>
        </xdr:nvSpPr>
        <xdr:spPr>
          <a:xfrm>
            <a:off x="16465549" y="61060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19" name="文字方塊 18"/>
          <xdr:cNvSpPr txBox="1"/>
        </xdr:nvSpPr>
        <xdr:spPr>
          <a:xfrm>
            <a:off x="15322375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20" name="文字方塊 19"/>
          <xdr:cNvSpPr txBox="1"/>
        </xdr:nvSpPr>
        <xdr:spPr>
          <a:xfrm>
            <a:off x="18142519" y="285430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21" name="文字方塊 20"/>
          <xdr:cNvSpPr txBox="1"/>
        </xdr:nvSpPr>
        <xdr:spPr>
          <a:xfrm>
            <a:off x="18208119" y="369757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22" name="文字方塊 21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23" name="文字方塊 22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285749</xdr:colOff>
      <xdr:row>37</xdr:row>
      <xdr:rowOff>119062</xdr:rowOff>
    </xdr:from>
    <xdr:to>
      <xdr:col>11</xdr:col>
      <xdr:colOff>992313</xdr:colOff>
      <xdr:row>60</xdr:row>
      <xdr:rowOff>41504</xdr:rowOff>
    </xdr:to>
    <xdr:grpSp>
      <xdr:nvGrpSpPr>
        <xdr:cNvPr id="46" name="群組 45"/>
        <xdr:cNvGrpSpPr/>
      </xdr:nvGrpSpPr>
      <xdr:grpSpPr>
        <a:xfrm>
          <a:off x="3774280" y="8048625"/>
          <a:ext cx="6576346" cy="4863535"/>
          <a:chOff x="12835411" y="240796"/>
          <a:chExt cx="7127422" cy="4947703"/>
        </a:xfrm>
      </xdr:grpSpPr>
      <xdr:graphicFrame macro="">
        <xdr:nvGraphicFramePr>
          <xdr:cNvPr id="47" name="圖表 46"/>
          <xdr:cNvGraphicFramePr/>
        </xdr:nvGraphicFramePr>
        <xdr:xfrm>
          <a:off x="12835411" y="240796"/>
          <a:ext cx="7127422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8" name="文字方塊 47"/>
          <xdr:cNvSpPr txBox="1"/>
        </xdr:nvSpPr>
        <xdr:spPr>
          <a:xfrm>
            <a:off x="17690490" y="625500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49" name="文字方塊 48"/>
          <xdr:cNvSpPr txBox="1"/>
        </xdr:nvSpPr>
        <xdr:spPr>
          <a:xfrm>
            <a:off x="17870903" y="131461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50" name="文字方塊 49"/>
          <xdr:cNvSpPr txBox="1"/>
        </xdr:nvSpPr>
        <xdr:spPr>
          <a:xfrm>
            <a:off x="18103281" y="2004580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51" name="文字方塊 50"/>
          <xdr:cNvSpPr txBox="1"/>
        </xdr:nvSpPr>
        <xdr:spPr>
          <a:xfrm>
            <a:off x="16465549" y="61060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52" name="文字方塊 51"/>
          <xdr:cNvSpPr txBox="1"/>
        </xdr:nvSpPr>
        <xdr:spPr>
          <a:xfrm>
            <a:off x="15322375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53" name="文字方塊 52"/>
          <xdr:cNvSpPr txBox="1"/>
        </xdr:nvSpPr>
        <xdr:spPr>
          <a:xfrm>
            <a:off x="18142519" y="285430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54" name="文字方塊 53"/>
          <xdr:cNvSpPr txBox="1"/>
        </xdr:nvSpPr>
        <xdr:spPr>
          <a:xfrm>
            <a:off x="18208119" y="369757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55" name="文字方塊 54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56" name="文字方塊 55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38</xdr:row>
      <xdr:rowOff>0</xdr:rowOff>
    </xdr:from>
    <xdr:to>
      <xdr:col>12</xdr:col>
      <xdr:colOff>623221</xdr:colOff>
      <xdr:row>60</xdr:row>
      <xdr:rowOff>136754</xdr:rowOff>
    </xdr:to>
    <xdr:grpSp>
      <xdr:nvGrpSpPr>
        <xdr:cNvPr id="101" name="群組 100"/>
        <xdr:cNvGrpSpPr/>
      </xdr:nvGrpSpPr>
      <xdr:grpSpPr>
        <a:xfrm>
          <a:off x="4417219" y="8143875"/>
          <a:ext cx="6576346" cy="4863535"/>
          <a:chOff x="12835411" y="240796"/>
          <a:chExt cx="7127422" cy="4947703"/>
        </a:xfrm>
      </xdr:grpSpPr>
      <xdr:graphicFrame macro="">
        <xdr:nvGraphicFramePr>
          <xdr:cNvPr id="102" name="圖表 101"/>
          <xdr:cNvGraphicFramePr/>
        </xdr:nvGraphicFramePr>
        <xdr:xfrm>
          <a:off x="12835411" y="240796"/>
          <a:ext cx="7127422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103" name="文字方塊 102"/>
          <xdr:cNvSpPr txBox="1"/>
        </xdr:nvSpPr>
        <xdr:spPr>
          <a:xfrm>
            <a:off x="17690490" y="625500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104" name="文字方塊 103"/>
          <xdr:cNvSpPr txBox="1"/>
        </xdr:nvSpPr>
        <xdr:spPr>
          <a:xfrm>
            <a:off x="17870903" y="131461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105" name="文字方塊 104"/>
          <xdr:cNvSpPr txBox="1"/>
        </xdr:nvSpPr>
        <xdr:spPr>
          <a:xfrm>
            <a:off x="18103281" y="2004580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106" name="文字方塊 105"/>
          <xdr:cNvSpPr txBox="1"/>
        </xdr:nvSpPr>
        <xdr:spPr>
          <a:xfrm>
            <a:off x="16465549" y="61060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107" name="文字方塊 106"/>
          <xdr:cNvSpPr txBox="1"/>
        </xdr:nvSpPr>
        <xdr:spPr>
          <a:xfrm>
            <a:off x="15322375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108" name="文字方塊 107"/>
          <xdr:cNvSpPr txBox="1"/>
        </xdr:nvSpPr>
        <xdr:spPr>
          <a:xfrm>
            <a:off x="18142519" y="285430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109" name="文字方塊 108"/>
          <xdr:cNvSpPr txBox="1"/>
        </xdr:nvSpPr>
        <xdr:spPr>
          <a:xfrm>
            <a:off x="18208119" y="369757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10" name="文字方塊 109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11" name="文字方塊 110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142874</xdr:colOff>
      <xdr:row>37</xdr:row>
      <xdr:rowOff>107156</xdr:rowOff>
    </xdr:from>
    <xdr:to>
      <xdr:col>12</xdr:col>
      <xdr:colOff>766095</xdr:colOff>
      <xdr:row>60</xdr:row>
      <xdr:rowOff>29598</xdr:rowOff>
    </xdr:to>
    <xdr:grpSp>
      <xdr:nvGrpSpPr>
        <xdr:cNvPr id="2" name="群組 1"/>
        <xdr:cNvGrpSpPr/>
      </xdr:nvGrpSpPr>
      <xdr:grpSpPr>
        <a:xfrm>
          <a:off x="4560093" y="8036719"/>
          <a:ext cx="6576346" cy="4863535"/>
          <a:chOff x="13158010" y="228684"/>
          <a:chExt cx="7127422" cy="4947703"/>
        </a:xfrm>
      </xdr:grpSpPr>
      <xdr:graphicFrame macro="">
        <xdr:nvGraphicFramePr>
          <xdr:cNvPr id="3" name="圖表 2"/>
          <xdr:cNvGraphicFramePr/>
        </xdr:nvGraphicFramePr>
        <xdr:xfrm>
          <a:off x="13158010" y="228684"/>
          <a:ext cx="7127422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文字方塊 3"/>
          <xdr:cNvSpPr txBox="1"/>
        </xdr:nvSpPr>
        <xdr:spPr>
          <a:xfrm>
            <a:off x="17690490" y="625500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5" name="文字方塊 4"/>
          <xdr:cNvSpPr txBox="1"/>
        </xdr:nvSpPr>
        <xdr:spPr>
          <a:xfrm>
            <a:off x="17870903" y="131461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6" name="文字方塊 5"/>
          <xdr:cNvSpPr txBox="1"/>
        </xdr:nvSpPr>
        <xdr:spPr>
          <a:xfrm>
            <a:off x="18103281" y="2004580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7" name="文字方塊 6"/>
          <xdr:cNvSpPr txBox="1"/>
        </xdr:nvSpPr>
        <xdr:spPr>
          <a:xfrm>
            <a:off x="16465549" y="61060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8" name="文字方塊 7"/>
          <xdr:cNvSpPr txBox="1"/>
        </xdr:nvSpPr>
        <xdr:spPr>
          <a:xfrm>
            <a:off x="15322375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9" name="文字方塊 8"/>
          <xdr:cNvSpPr txBox="1"/>
        </xdr:nvSpPr>
        <xdr:spPr>
          <a:xfrm>
            <a:off x="18142519" y="285430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10" name="文字方塊 9"/>
          <xdr:cNvSpPr txBox="1"/>
        </xdr:nvSpPr>
        <xdr:spPr>
          <a:xfrm>
            <a:off x="18208119" y="369757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1" name="文字方塊 10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2" name="文字方塊 11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39</xdr:row>
      <xdr:rowOff>0</xdr:rowOff>
    </xdr:from>
    <xdr:to>
      <xdr:col>12</xdr:col>
      <xdr:colOff>623221</xdr:colOff>
      <xdr:row>61</xdr:row>
      <xdr:rowOff>148660</xdr:rowOff>
    </xdr:to>
    <xdr:grpSp>
      <xdr:nvGrpSpPr>
        <xdr:cNvPr id="2" name="群組 1"/>
        <xdr:cNvGrpSpPr/>
      </xdr:nvGrpSpPr>
      <xdr:grpSpPr>
        <a:xfrm>
          <a:off x="4417219" y="8370094"/>
          <a:ext cx="6576346" cy="4863535"/>
          <a:chOff x="12835411" y="240796"/>
          <a:chExt cx="7127422" cy="4947703"/>
        </a:xfrm>
      </xdr:grpSpPr>
      <xdr:graphicFrame macro="">
        <xdr:nvGraphicFramePr>
          <xdr:cNvPr id="3" name="圖表 2"/>
          <xdr:cNvGraphicFramePr/>
        </xdr:nvGraphicFramePr>
        <xdr:xfrm>
          <a:off x="12835411" y="240796"/>
          <a:ext cx="7127422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文字方塊 3"/>
          <xdr:cNvSpPr txBox="1"/>
        </xdr:nvSpPr>
        <xdr:spPr>
          <a:xfrm>
            <a:off x="17690490" y="625500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5" name="文字方塊 4"/>
          <xdr:cNvSpPr txBox="1"/>
        </xdr:nvSpPr>
        <xdr:spPr>
          <a:xfrm>
            <a:off x="17870903" y="131461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6" name="文字方塊 5"/>
          <xdr:cNvSpPr txBox="1"/>
        </xdr:nvSpPr>
        <xdr:spPr>
          <a:xfrm>
            <a:off x="18103281" y="2004580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7" name="文字方塊 6"/>
          <xdr:cNvSpPr txBox="1"/>
        </xdr:nvSpPr>
        <xdr:spPr>
          <a:xfrm>
            <a:off x="16465549" y="61060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8" name="文字方塊 7"/>
          <xdr:cNvSpPr txBox="1"/>
        </xdr:nvSpPr>
        <xdr:spPr>
          <a:xfrm>
            <a:off x="15322375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9" name="文字方塊 8"/>
          <xdr:cNvSpPr txBox="1"/>
        </xdr:nvSpPr>
        <xdr:spPr>
          <a:xfrm>
            <a:off x="18142519" y="285430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10" name="文字方塊 9"/>
          <xdr:cNvSpPr txBox="1"/>
        </xdr:nvSpPr>
        <xdr:spPr>
          <a:xfrm>
            <a:off x="18208119" y="369757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1" name="文字方塊 10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2" name="文字方塊 11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119061</xdr:colOff>
      <xdr:row>37</xdr:row>
      <xdr:rowOff>71437</xdr:rowOff>
    </xdr:from>
    <xdr:to>
      <xdr:col>12</xdr:col>
      <xdr:colOff>742282</xdr:colOff>
      <xdr:row>59</xdr:row>
      <xdr:rowOff>208191</xdr:rowOff>
    </xdr:to>
    <xdr:grpSp>
      <xdr:nvGrpSpPr>
        <xdr:cNvPr id="2" name="群組 1"/>
        <xdr:cNvGrpSpPr/>
      </xdr:nvGrpSpPr>
      <xdr:grpSpPr>
        <a:xfrm>
          <a:off x="4536280" y="8001000"/>
          <a:ext cx="6576346" cy="4863535"/>
          <a:chOff x="12835411" y="240796"/>
          <a:chExt cx="7127422" cy="4947703"/>
        </a:xfrm>
      </xdr:grpSpPr>
      <xdr:graphicFrame macro="">
        <xdr:nvGraphicFramePr>
          <xdr:cNvPr id="3" name="圖表 2"/>
          <xdr:cNvGraphicFramePr/>
        </xdr:nvGraphicFramePr>
        <xdr:xfrm>
          <a:off x="12835411" y="240796"/>
          <a:ext cx="7127422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文字方塊 3"/>
          <xdr:cNvSpPr txBox="1"/>
        </xdr:nvSpPr>
        <xdr:spPr>
          <a:xfrm>
            <a:off x="17690490" y="625500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5" name="文字方塊 4"/>
          <xdr:cNvSpPr txBox="1"/>
        </xdr:nvSpPr>
        <xdr:spPr>
          <a:xfrm>
            <a:off x="17870903" y="131461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6" name="文字方塊 5"/>
          <xdr:cNvSpPr txBox="1"/>
        </xdr:nvSpPr>
        <xdr:spPr>
          <a:xfrm>
            <a:off x="18103281" y="2004580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7" name="文字方塊 6"/>
          <xdr:cNvSpPr txBox="1"/>
        </xdr:nvSpPr>
        <xdr:spPr>
          <a:xfrm>
            <a:off x="16465549" y="61060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8" name="文字方塊 7"/>
          <xdr:cNvSpPr txBox="1"/>
        </xdr:nvSpPr>
        <xdr:spPr>
          <a:xfrm>
            <a:off x="15322375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9" name="文字方塊 8"/>
          <xdr:cNvSpPr txBox="1"/>
        </xdr:nvSpPr>
        <xdr:spPr>
          <a:xfrm>
            <a:off x="18142519" y="285430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10" name="文字方塊 9"/>
          <xdr:cNvSpPr txBox="1"/>
        </xdr:nvSpPr>
        <xdr:spPr>
          <a:xfrm>
            <a:off x="18208119" y="369757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1" name="文字方塊 10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2" name="文字方塊 11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421822</xdr:colOff>
      <xdr:row>36</xdr:row>
      <xdr:rowOff>176893</xdr:rowOff>
    </xdr:from>
    <xdr:to>
      <xdr:col>12</xdr:col>
      <xdr:colOff>664030</xdr:colOff>
      <xdr:row>60</xdr:row>
      <xdr:rowOff>85725</xdr:rowOff>
    </xdr:to>
    <xdr:grpSp>
      <xdr:nvGrpSpPr>
        <xdr:cNvPr id="20" name="群組 19"/>
        <xdr:cNvGrpSpPr/>
      </xdr:nvGrpSpPr>
      <xdr:grpSpPr>
        <a:xfrm>
          <a:off x="4313465" y="7524750"/>
          <a:ext cx="7127422" cy="5133975"/>
          <a:chOff x="12126685" y="812346"/>
          <a:chExt cx="7127422" cy="5133975"/>
        </a:xfrm>
      </xdr:grpSpPr>
      <xdr:graphicFrame macro="">
        <xdr:nvGraphicFramePr>
          <xdr:cNvPr id="21" name="圖表 20"/>
          <xdr:cNvGraphicFramePr/>
        </xdr:nvGraphicFramePr>
        <xdr:xfrm>
          <a:off x="12126685" y="812346"/>
          <a:ext cx="7127422" cy="51339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22" name="文字方塊 21"/>
          <xdr:cNvSpPr txBox="1"/>
        </xdr:nvSpPr>
        <xdr:spPr>
          <a:xfrm>
            <a:off x="16305446" y="1676376"/>
            <a:ext cx="266291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A</a:t>
            </a:r>
            <a:endParaRPr lang="zh-TW" altLang="en-US" sz="1100"/>
          </a:p>
        </xdr:txBody>
      </xdr:sp>
      <xdr:sp macro="" textlink="">
        <xdr:nvSpPr>
          <xdr:cNvPr id="23" name="文字方塊 22"/>
          <xdr:cNvSpPr txBox="1"/>
        </xdr:nvSpPr>
        <xdr:spPr>
          <a:xfrm>
            <a:off x="16729983" y="2069625"/>
            <a:ext cx="266291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A</a:t>
            </a:r>
            <a:endParaRPr lang="zh-TW" altLang="en-US" sz="1100"/>
          </a:p>
        </xdr:txBody>
      </xdr:sp>
      <xdr:sp macro="" textlink="">
        <xdr:nvSpPr>
          <xdr:cNvPr id="24" name="文字方塊 23"/>
          <xdr:cNvSpPr txBox="1"/>
        </xdr:nvSpPr>
        <xdr:spPr>
          <a:xfrm>
            <a:off x="17064723" y="3007160"/>
            <a:ext cx="261418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B</a:t>
            </a:r>
            <a:endParaRPr lang="zh-TW" altLang="en-US" sz="1100"/>
          </a:p>
        </xdr:txBody>
      </xdr:sp>
      <xdr:sp macro="" textlink="">
        <xdr:nvSpPr>
          <xdr:cNvPr id="25" name="文字方塊 24"/>
          <xdr:cNvSpPr txBox="1"/>
        </xdr:nvSpPr>
        <xdr:spPr>
          <a:xfrm>
            <a:off x="15170609" y="1587928"/>
            <a:ext cx="261418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B</a:t>
            </a:r>
            <a:endParaRPr lang="zh-TW" altLang="en-US" sz="1100"/>
          </a:p>
        </xdr:txBody>
      </xdr:sp>
      <xdr:sp macro="" textlink="">
        <xdr:nvSpPr>
          <xdr:cNvPr id="26" name="文字方塊 25"/>
          <xdr:cNvSpPr txBox="1"/>
        </xdr:nvSpPr>
        <xdr:spPr>
          <a:xfrm>
            <a:off x="14154157" y="1419199"/>
            <a:ext cx="25987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C</a:t>
            </a:r>
            <a:endParaRPr lang="zh-TW" altLang="en-US" sz="1100"/>
          </a:p>
        </xdr:txBody>
      </xdr:sp>
      <xdr:sp macro="" textlink="">
        <xdr:nvSpPr>
          <xdr:cNvPr id="27" name="文字方塊 26"/>
          <xdr:cNvSpPr txBox="1"/>
        </xdr:nvSpPr>
        <xdr:spPr>
          <a:xfrm>
            <a:off x="17176301" y="3932454"/>
            <a:ext cx="25987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C</a:t>
            </a:r>
            <a:endParaRPr lang="zh-TW" altLang="en-US" sz="1100"/>
          </a:p>
        </xdr:txBody>
      </xdr:sp>
      <xdr:sp macro="" textlink="">
        <xdr:nvSpPr>
          <xdr:cNvPr id="28" name="文字方塊 27"/>
          <xdr:cNvSpPr txBox="1"/>
        </xdr:nvSpPr>
        <xdr:spPr>
          <a:xfrm>
            <a:off x="17131397" y="4935300"/>
            <a:ext cx="27148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D</a:t>
            </a:r>
            <a:endParaRPr lang="zh-TW" altLang="en-US" sz="1100"/>
          </a:p>
        </xdr:txBody>
      </xdr:sp>
      <xdr:sp macro="" textlink="">
        <xdr:nvSpPr>
          <xdr:cNvPr id="29" name="文字方塊 28"/>
          <xdr:cNvSpPr txBox="1"/>
        </xdr:nvSpPr>
        <xdr:spPr>
          <a:xfrm>
            <a:off x="13313236" y="1405592"/>
            <a:ext cx="27148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D</a:t>
            </a:r>
            <a:endParaRPr lang="zh-TW" altLang="en-US" sz="1100"/>
          </a:p>
        </xdr:txBody>
      </xdr:sp>
      <xdr:sp macro="" textlink="">
        <xdr:nvSpPr>
          <xdr:cNvPr id="30" name="文字方塊 29"/>
          <xdr:cNvSpPr txBox="1"/>
        </xdr:nvSpPr>
        <xdr:spPr>
          <a:xfrm>
            <a:off x="12695471" y="1460020"/>
            <a:ext cx="253531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E</a:t>
            </a:r>
            <a:endParaRPr lang="zh-TW" altLang="en-US" sz="1100"/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9531</xdr:colOff>
      <xdr:row>2</xdr:row>
      <xdr:rowOff>61912</xdr:rowOff>
    </xdr:from>
    <xdr:to>
      <xdr:col>17</xdr:col>
      <xdr:colOff>571500</xdr:colOff>
      <xdr:row>18</xdr:row>
      <xdr:rowOff>19050</xdr:rowOff>
    </xdr:to>
    <xdr:graphicFrame macro="">
      <xdr:nvGraphicFramePr>
        <xdr:cNvPr id="3" name="圖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3</xdr:row>
      <xdr:rowOff>76200</xdr:rowOff>
    </xdr:from>
    <xdr:to>
      <xdr:col>13</xdr:col>
      <xdr:colOff>257169</xdr:colOff>
      <xdr:row>19</xdr:row>
      <xdr:rowOff>33338</xdr:rowOff>
    </xdr:to>
    <xdr:graphicFrame macro="">
      <xdr:nvGraphicFramePr>
        <xdr:cNvPr id="2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ebby.yen\AppData\Local\Microsoft\Windows\Temporary%20Internet%20Files\Content.Outlook\ZGCYMY93\error%20grid%20analysis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gdL (2)"/>
      <sheetName val="mgdL"/>
      <sheetName val="工作表2"/>
      <sheetName val="工作表3"/>
    </sheetNames>
    <sheetDataSet>
      <sheetData sheetId="0">
        <row r="3">
          <cell r="B3">
            <v>0</v>
          </cell>
        </row>
      </sheetData>
      <sheetData sheetId="1">
        <row r="3">
          <cell r="B3">
            <v>0</v>
          </cell>
          <cell r="C3">
            <v>0</v>
          </cell>
          <cell r="F3">
            <v>50</v>
          </cell>
        </row>
        <row r="4">
          <cell r="B4">
            <v>30</v>
          </cell>
          <cell r="C4">
            <v>30</v>
          </cell>
          <cell r="F4">
            <v>50</v>
          </cell>
        </row>
        <row r="5">
          <cell r="B5">
            <v>140</v>
          </cell>
          <cell r="C5">
            <v>140</v>
          </cell>
          <cell r="F5">
            <v>170</v>
          </cell>
        </row>
        <row r="6">
          <cell r="B6">
            <v>280</v>
          </cell>
          <cell r="C6">
            <v>280</v>
          </cell>
          <cell r="F6">
            <v>380</v>
          </cell>
        </row>
        <row r="7">
          <cell r="B7">
            <v>430</v>
          </cell>
          <cell r="C7">
            <v>430</v>
          </cell>
          <cell r="F7">
            <v>550</v>
          </cell>
        </row>
        <row r="8">
          <cell r="B8">
            <v>120</v>
          </cell>
          <cell r="C8">
            <v>120</v>
          </cell>
          <cell r="I8">
            <v>0</v>
          </cell>
        </row>
        <row r="9">
          <cell r="B9">
            <v>120</v>
          </cell>
          <cell r="C9">
            <v>120</v>
          </cell>
          <cell r="I9">
            <v>30</v>
          </cell>
        </row>
        <row r="10">
          <cell r="B10">
            <v>260</v>
          </cell>
          <cell r="C10">
            <v>260</v>
          </cell>
          <cell r="I10">
            <v>130</v>
          </cell>
        </row>
        <row r="11">
          <cell r="B11">
            <v>550</v>
          </cell>
          <cell r="C11">
            <v>550</v>
          </cell>
          <cell r="I11">
            <v>250</v>
          </cell>
        </row>
        <row r="12">
          <cell r="B12">
            <v>50</v>
          </cell>
          <cell r="G12">
            <v>0</v>
          </cell>
        </row>
        <row r="13">
          <cell r="B13">
            <v>50</v>
          </cell>
          <cell r="G13">
            <v>30</v>
          </cell>
        </row>
        <row r="14">
          <cell r="B14">
            <v>170</v>
          </cell>
          <cell r="G14">
            <v>145</v>
          </cell>
        </row>
        <row r="15">
          <cell r="B15">
            <v>385</v>
          </cell>
          <cell r="G15">
            <v>300</v>
          </cell>
        </row>
        <row r="16">
          <cell r="B16">
            <v>550</v>
          </cell>
          <cell r="G16">
            <v>450</v>
          </cell>
        </row>
        <row r="17">
          <cell r="B17">
            <v>0</v>
          </cell>
          <cell r="H17">
            <v>60</v>
          </cell>
        </row>
        <row r="18">
          <cell r="B18">
            <v>30</v>
          </cell>
          <cell r="H18">
            <v>60</v>
          </cell>
        </row>
        <row r="19">
          <cell r="B19">
            <v>50</v>
          </cell>
          <cell r="H19">
            <v>80</v>
          </cell>
        </row>
        <row r="20">
          <cell r="B20">
            <v>70</v>
          </cell>
          <cell r="H20">
            <v>110</v>
          </cell>
        </row>
        <row r="21">
          <cell r="B21">
            <v>260</v>
          </cell>
          <cell r="H21">
            <v>550</v>
          </cell>
        </row>
        <row r="22">
          <cell r="B22">
            <v>250</v>
          </cell>
          <cell r="K22">
            <v>0</v>
          </cell>
        </row>
        <row r="23">
          <cell r="B23">
            <v>250</v>
          </cell>
          <cell r="K23">
            <v>40</v>
          </cell>
        </row>
        <row r="24">
          <cell r="B24">
            <v>550</v>
          </cell>
          <cell r="K24">
            <v>150</v>
          </cell>
        </row>
        <row r="25">
          <cell r="B25">
            <v>0</v>
          </cell>
          <cell r="J25">
            <v>100</v>
          </cell>
        </row>
        <row r="26">
          <cell r="B26">
            <v>25</v>
          </cell>
          <cell r="J26">
            <v>100</v>
          </cell>
        </row>
        <row r="27">
          <cell r="B27">
            <v>50</v>
          </cell>
          <cell r="J27">
            <v>125</v>
          </cell>
        </row>
        <row r="28">
          <cell r="B28">
            <v>80</v>
          </cell>
          <cell r="J28">
            <v>215</v>
          </cell>
        </row>
        <row r="29">
          <cell r="B29">
            <v>125</v>
          </cell>
          <cell r="J29">
            <v>550</v>
          </cell>
        </row>
        <row r="30">
          <cell r="B30">
            <v>0</v>
          </cell>
          <cell r="L30">
            <v>150</v>
          </cell>
        </row>
        <row r="31">
          <cell r="B31">
            <v>35</v>
          </cell>
          <cell r="L31">
            <v>155</v>
          </cell>
        </row>
        <row r="32">
          <cell r="B32">
            <v>50</v>
          </cell>
          <cell r="L32">
            <v>550</v>
          </cell>
        </row>
        <row r="33">
          <cell r="B33">
            <v>0</v>
          </cell>
          <cell r="M33">
            <v>0</v>
          </cell>
        </row>
        <row r="34">
          <cell r="B34">
            <v>550</v>
          </cell>
          <cell r="M34">
            <v>550</v>
          </cell>
        </row>
      </sheetData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O126"/>
  <sheetViews>
    <sheetView topLeftCell="D34" zoomScale="70" zoomScaleNormal="70" workbookViewId="0">
      <selection activeCell="B61" sqref="B61"/>
    </sheetView>
  </sheetViews>
  <sheetFormatPr defaultRowHeight="16.5" x14ac:dyDescent="0.25"/>
  <cols>
    <col min="1" max="3" width="9" style="1"/>
    <col min="4" max="7" width="12.125" style="1" customWidth="1"/>
    <col min="8" max="8" width="13.125" style="1" customWidth="1"/>
    <col min="9" max="9" width="14.125" style="1" customWidth="1"/>
    <col min="10" max="11" width="13.25" style="1" customWidth="1"/>
    <col min="12" max="12" width="12.375" style="1" customWidth="1"/>
    <col min="13" max="13" width="12.125" style="1" customWidth="1"/>
    <col min="14" max="14" width="11.5" style="1" customWidth="1"/>
    <col min="15" max="16384" width="9" style="1"/>
  </cols>
  <sheetData>
    <row r="1" spans="3:15" x14ac:dyDescent="0.25">
      <c r="C1" s="1" t="s">
        <v>4</v>
      </c>
      <c r="G1" s="1" t="s">
        <v>5</v>
      </c>
    </row>
    <row r="2" spans="3:15" x14ac:dyDescent="0.25"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9</v>
      </c>
    </row>
    <row r="3" spans="3:15" x14ac:dyDescent="0.25">
      <c r="C3" s="1">
        <v>0</v>
      </c>
      <c r="D3" s="1">
        <v>0</v>
      </c>
      <c r="G3" s="1">
        <v>50</v>
      </c>
    </row>
    <row r="4" spans="3:15" x14ac:dyDescent="0.25">
      <c r="C4" s="1">
        <v>30</v>
      </c>
      <c r="D4" s="1">
        <v>30</v>
      </c>
      <c r="G4" s="1">
        <v>50</v>
      </c>
    </row>
    <row r="5" spans="3:15" x14ac:dyDescent="0.25">
      <c r="C5" s="1">
        <v>140</v>
      </c>
      <c r="D5" s="1">
        <v>140</v>
      </c>
      <c r="G5" s="1">
        <v>170</v>
      </c>
    </row>
    <row r="6" spans="3:15" x14ac:dyDescent="0.25">
      <c r="C6" s="1">
        <v>280</v>
      </c>
      <c r="D6" s="1">
        <v>280</v>
      </c>
      <c r="G6" s="1">
        <v>380</v>
      </c>
    </row>
    <row r="7" spans="3:15" x14ac:dyDescent="0.25">
      <c r="C7" s="1">
        <v>860</v>
      </c>
      <c r="D7" s="1">
        <v>430</v>
      </c>
      <c r="G7" s="1">
        <v>1100</v>
      </c>
    </row>
    <row r="8" spans="3:15" x14ac:dyDescent="0.25">
      <c r="C8" s="1">
        <v>120</v>
      </c>
      <c r="D8" s="1">
        <v>120</v>
      </c>
      <c r="J8" s="1">
        <v>0</v>
      </c>
    </row>
    <row r="9" spans="3:15" x14ac:dyDescent="0.25">
      <c r="C9" s="1">
        <v>120</v>
      </c>
      <c r="D9" s="1">
        <v>120</v>
      </c>
      <c r="J9" s="1">
        <v>30</v>
      </c>
    </row>
    <row r="10" spans="3:15" x14ac:dyDescent="0.25">
      <c r="C10" s="1">
        <v>260</v>
      </c>
      <c r="D10" s="1">
        <v>260</v>
      </c>
      <c r="J10" s="1">
        <v>130</v>
      </c>
    </row>
    <row r="11" spans="3:15" x14ac:dyDescent="0.25">
      <c r="C11" s="1">
        <v>550</v>
      </c>
      <c r="D11" s="1">
        <v>550</v>
      </c>
      <c r="J11" s="1">
        <v>250</v>
      </c>
    </row>
    <row r="12" spans="3:15" x14ac:dyDescent="0.25">
      <c r="C12" s="1">
        <v>50</v>
      </c>
      <c r="H12" s="1">
        <v>0</v>
      </c>
    </row>
    <row r="13" spans="3:15" x14ac:dyDescent="0.25">
      <c r="C13" s="1">
        <v>50</v>
      </c>
      <c r="H13" s="1">
        <v>30</v>
      </c>
    </row>
    <row r="14" spans="3:15" x14ac:dyDescent="0.25">
      <c r="C14" s="1">
        <v>170</v>
      </c>
      <c r="H14" s="1">
        <v>145</v>
      </c>
    </row>
    <row r="15" spans="3:15" x14ac:dyDescent="0.25">
      <c r="C15" s="1">
        <v>385</v>
      </c>
      <c r="H15" s="1">
        <v>300</v>
      </c>
    </row>
    <row r="16" spans="3:15" x14ac:dyDescent="0.25">
      <c r="C16" s="1">
        <v>550</v>
      </c>
      <c r="H16" s="1">
        <v>450</v>
      </c>
    </row>
    <row r="17" spans="3:13" x14ac:dyDescent="0.25">
      <c r="C17" s="1">
        <v>0</v>
      </c>
      <c r="I17" s="1">
        <v>60</v>
      </c>
    </row>
    <row r="18" spans="3:13" x14ac:dyDescent="0.25">
      <c r="C18" s="1">
        <v>30</v>
      </c>
      <c r="I18" s="1">
        <v>60</v>
      </c>
    </row>
    <row r="19" spans="3:13" x14ac:dyDescent="0.25">
      <c r="C19" s="1">
        <v>50</v>
      </c>
      <c r="I19" s="1">
        <v>80</v>
      </c>
    </row>
    <row r="20" spans="3:13" x14ac:dyDescent="0.25">
      <c r="C20" s="1">
        <v>70</v>
      </c>
      <c r="I20" s="1">
        <v>110</v>
      </c>
    </row>
    <row r="21" spans="3:13" x14ac:dyDescent="0.25">
      <c r="C21" s="1">
        <v>520</v>
      </c>
      <c r="I21" s="1">
        <v>1100</v>
      </c>
    </row>
    <row r="22" spans="3:13" x14ac:dyDescent="0.25">
      <c r="C22" s="1">
        <v>250</v>
      </c>
      <c r="L22" s="1">
        <v>0</v>
      </c>
    </row>
    <row r="23" spans="3:13" x14ac:dyDescent="0.25">
      <c r="C23" s="1">
        <v>250</v>
      </c>
      <c r="L23" s="1">
        <v>40</v>
      </c>
    </row>
    <row r="24" spans="3:13" x14ac:dyDescent="0.25">
      <c r="C24" s="1">
        <v>550</v>
      </c>
      <c r="L24" s="1">
        <v>150</v>
      </c>
    </row>
    <row r="25" spans="3:13" x14ac:dyDescent="0.25">
      <c r="C25" s="1">
        <v>0</v>
      </c>
      <c r="K25" s="1">
        <v>100</v>
      </c>
    </row>
    <row r="26" spans="3:13" x14ac:dyDescent="0.25">
      <c r="C26" s="1">
        <v>25</v>
      </c>
      <c r="K26" s="1">
        <v>100</v>
      </c>
    </row>
    <row r="27" spans="3:13" x14ac:dyDescent="0.25">
      <c r="C27" s="1">
        <v>50</v>
      </c>
      <c r="K27" s="1">
        <v>125</v>
      </c>
    </row>
    <row r="28" spans="3:13" x14ac:dyDescent="0.25">
      <c r="C28" s="1">
        <v>80</v>
      </c>
      <c r="K28" s="1">
        <v>215</v>
      </c>
    </row>
    <row r="29" spans="3:13" x14ac:dyDescent="0.25">
      <c r="C29" s="1">
        <v>250</v>
      </c>
      <c r="K29" s="1">
        <v>1100</v>
      </c>
    </row>
    <row r="30" spans="3:13" x14ac:dyDescent="0.25">
      <c r="C30" s="1">
        <v>0</v>
      </c>
      <c r="M30" s="1">
        <v>150</v>
      </c>
    </row>
    <row r="31" spans="3:13" x14ac:dyDescent="0.25">
      <c r="C31" s="1">
        <v>35</v>
      </c>
      <c r="M31" s="1">
        <v>155</v>
      </c>
    </row>
    <row r="32" spans="3:13" x14ac:dyDescent="0.25">
      <c r="C32" s="1">
        <v>100</v>
      </c>
      <c r="M32" s="1">
        <v>1100</v>
      </c>
    </row>
    <row r="33" spans="3:14" x14ac:dyDescent="0.25">
      <c r="C33" s="1">
        <v>0</v>
      </c>
      <c r="N33" s="1">
        <v>0</v>
      </c>
    </row>
    <row r="34" spans="3:14" x14ac:dyDescent="0.25">
      <c r="C34" s="1">
        <v>550</v>
      </c>
      <c r="N34" s="1">
        <v>550</v>
      </c>
    </row>
    <row r="37" spans="3:14" ht="17.25" x14ac:dyDescent="0.25">
      <c r="C37" s="2" t="s">
        <v>18</v>
      </c>
      <c r="D37" s="15">
        <v>940</v>
      </c>
      <c r="E37" s="15">
        <v>970</v>
      </c>
      <c r="F37" s="15">
        <v>1200</v>
      </c>
      <c r="G37" s="16">
        <v>1300</v>
      </c>
      <c r="H37" s="17"/>
    </row>
    <row r="38" spans="3:14" ht="17.25" x14ac:dyDescent="0.25">
      <c r="C38" s="3">
        <v>119</v>
      </c>
      <c r="D38" s="18">
        <v>97.542586447888254</v>
      </c>
      <c r="E38" s="19">
        <v>146.70110524616558</v>
      </c>
      <c r="F38" s="19">
        <v>136.7205246595058</v>
      </c>
      <c r="G38" s="18">
        <v>188.16364883389284</v>
      </c>
    </row>
    <row r="39" spans="3:14" ht="17.25" x14ac:dyDescent="0.25">
      <c r="C39" s="3">
        <v>145</v>
      </c>
      <c r="D39" s="18">
        <v>80.216154219028553</v>
      </c>
      <c r="E39" s="19">
        <v>139.4385631113976</v>
      </c>
      <c r="F39" s="19">
        <v>126.51375415024908</v>
      </c>
      <c r="G39" s="18">
        <v>77.261502506903867</v>
      </c>
    </row>
    <row r="40" spans="3:14" ht="17.25" x14ac:dyDescent="0.25">
      <c r="C40" s="3">
        <v>204</v>
      </c>
      <c r="D40" s="18">
        <v>101.03360470245325</v>
      </c>
      <c r="E40" s="19">
        <v>156.34908625410122</v>
      </c>
      <c r="F40" s="19">
        <v>165.03237410164971</v>
      </c>
      <c r="G40" s="18">
        <v>113.32341464615784</v>
      </c>
    </row>
    <row r="41" spans="3:14" ht="17.25" x14ac:dyDescent="0.25">
      <c r="C41" s="3">
        <v>220</v>
      </c>
      <c r="D41" s="18">
        <v>128.19218932468868</v>
      </c>
      <c r="E41" s="19">
        <v>175.81002746920865</v>
      </c>
      <c r="F41" s="19">
        <v>171.6993622389711</v>
      </c>
      <c r="G41" s="18">
        <v>129.75137071600807</v>
      </c>
    </row>
    <row r="42" spans="3:14" ht="17.25" x14ac:dyDescent="0.25">
      <c r="C42" s="3">
        <v>249</v>
      </c>
      <c r="D42" s="18">
        <v>294.53088370790732</v>
      </c>
      <c r="E42" s="19">
        <v>238.46230284929933</v>
      </c>
      <c r="F42" s="19">
        <v>207.58170071634368</v>
      </c>
      <c r="G42" s="18">
        <v>179.57189012189639</v>
      </c>
    </row>
    <row r="43" spans="3:14" ht="17.25" x14ac:dyDescent="0.25">
      <c r="C43" s="3">
        <v>186</v>
      </c>
      <c r="D43" s="18">
        <v>243.39230700401467</v>
      </c>
      <c r="E43" s="19">
        <v>254.29530314583786</v>
      </c>
      <c r="F43" s="19">
        <v>206.46361799220816</v>
      </c>
      <c r="G43" s="18">
        <v>377.16890617229751</v>
      </c>
    </row>
    <row r="44" spans="3:14" ht="17.25" x14ac:dyDescent="0.25">
      <c r="C44" s="3">
        <v>266</v>
      </c>
      <c r="D44" s="18">
        <v>323.60259368330111</v>
      </c>
      <c r="E44" s="19">
        <v>309.68618678276022</v>
      </c>
      <c r="F44" s="19">
        <v>272.64855920714461</v>
      </c>
      <c r="G44" s="18">
        <v>377.16890617229751</v>
      </c>
    </row>
    <row r="45" spans="3:14" ht="17.25" x14ac:dyDescent="0.25">
      <c r="C45" s="3">
        <v>160</v>
      </c>
      <c r="D45" s="18">
        <v>120.06624451983592</v>
      </c>
      <c r="E45" s="19">
        <v>145.35481708956473</v>
      </c>
      <c r="F45" s="19">
        <v>170.01794480548577</v>
      </c>
      <c r="G45" s="18">
        <v>209.83190308659121</v>
      </c>
    </row>
    <row r="46" spans="3:14" ht="17.25" x14ac:dyDescent="0.25">
      <c r="C46" s="3">
        <v>218</v>
      </c>
      <c r="D46" s="18">
        <v>172.48670090030546</v>
      </c>
      <c r="E46" s="19">
        <v>201.02049400645421</v>
      </c>
      <c r="F46" s="19">
        <v>253.80226791349517</v>
      </c>
      <c r="G46" s="18">
        <v>189.02210283087845</v>
      </c>
    </row>
    <row r="47" spans="3:14" ht="17.25" x14ac:dyDescent="0.25">
      <c r="C47" s="3">
        <v>131</v>
      </c>
      <c r="D47" s="18">
        <v>254.52432416268061</v>
      </c>
      <c r="E47" s="19">
        <v>91.35400070672685</v>
      </c>
      <c r="F47" s="19">
        <v>34.951711311823644</v>
      </c>
      <c r="G47" s="18">
        <v>28.55429716967889</v>
      </c>
    </row>
    <row r="48" spans="3:14" ht="17.25" x14ac:dyDescent="0.25">
      <c r="C48" s="3">
        <v>189</v>
      </c>
      <c r="D48" s="18">
        <v>278.79584430214737</v>
      </c>
      <c r="E48" s="19">
        <v>208.9394286461532</v>
      </c>
      <c r="F48" s="19">
        <v>276.86477435937587</v>
      </c>
      <c r="G48" s="18">
        <v>188.01483366301554</v>
      </c>
    </row>
    <row r="49" spans="3:7" ht="17.25" x14ac:dyDescent="0.25">
      <c r="C49" s="3">
        <v>139</v>
      </c>
      <c r="D49" s="18">
        <v>131.61656702574894</v>
      </c>
      <c r="E49" s="19">
        <v>158.58868469233022</v>
      </c>
      <c r="F49" s="19">
        <v>172.30448095169911</v>
      </c>
      <c r="G49" s="18">
        <v>168.16722408038203</v>
      </c>
    </row>
    <row r="50" spans="3:7" ht="17.25" x14ac:dyDescent="0.25">
      <c r="C50" s="3"/>
      <c r="D50" s="4"/>
      <c r="E50" s="5"/>
      <c r="F50" s="5"/>
    </row>
    <row r="51" spans="3:7" ht="17.25" x14ac:dyDescent="0.25">
      <c r="C51" s="3"/>
      <c r="D51" s="4"/>
      <c r="E51" s="5"/>
      <c r="F51" s="5"/>
    </row>
    <row r="52" spans="3:7" ht="17.25" x14ac:dyDescent="0.25">
      <c r="C52" s="3"/>
      <c r="D52" s="4"/>
      <c r="E52" s="5"/>
      <c r="F52" s="5"/>
    </row>
    <row r="53" spans="3:7" ht="17.25" x14ac:dyDescent="0.25">
      <c r="C53" s="3"/>
      <c r="D53" s="4"/>
      <c r="E53" s="5"/>
      <c r="F53" s="5"/>
    </row>
    <row r="54" spans="3:7" ht="17.25" x14ac:dyDescent="0.25">
      <c r="C54" s="3"/>
      <c r="D54" s="4"/>
      <c r="E54" s="5"/>
      <c r="F54" s="5"/>
    </row>
    <row r="55" spans="3:7" ht="17.25" x14ac:dyDescent="0.25">
      <c r="C55" s="3"/>
      <c r="D55" s="4"/>
      <c r="E55" s="5"/>
      <c r="F55" s="5"/>
    </row>
    <row r="56" spans="3:7" ht="17.25" x14ac:dyDescent="0.25">
      <c r="C56" s="3"/>
      <c r="D56" s="4"/>
      <c r="E56" s="5"/>
      <c r="F56" s="5"/>
    </row>
    <row r="57" spans="3:7" ht="17.25" x14ac:dyDescent="0.25">
      <c r="C57" s="3"/>
      <c r="D57" s="4"/>
      <c r="E57" s="5"/>
      <c r="F57" s="5"/>
    </row>
    <row r="58" spans="3:7" ht="17.25" x14ac:dyDescent="0.25">
      <c r="C58" s="3"/>
      <c r="D58" s="4"/>
      <c r="E58" s="5"/>
      <c r="F58" s="5"/>
    </row>
    <row r="59" spans="3:7" ht="17.25" x14ac:dyDescent="0.25">
      <c r="C59" s="3"/>
      <c r="D59" s="4"/>
      <c r="E59" s="5"/>
      <c r="F59" s="5"/>
    </row>
    <row r="60" spans="3:7" ht="17.25" x14ac:dyDescent="0.25">
      <c r="C60" s="3"/>
      <c r="D60" s="4"/>
      <c r="E60" s="5"/>
      <c r="F60" s="5"/>
    </row>
    <row r="61" spans="3:7" ht="17.25" x14ac:dyDescent="0.25">
      <c r="C61" s="3"/>
      <c r="D61" s="4"/>
      <c r="E61" s="5"/>
      <c r="F61" s="5"/>
    </row>
    <row r="62" spans="3:7" ht="17.25" x14ac:dyDescent="0.25">
      <c r="C62" s="3"/>
      <c r="D62" s="4"/>
      <c r="E62" s="5"/>
      <c r="F62" s="5"/>
    </row>
    <row r="63" spans="3:7" ht="17.25" x14ac:dyDescent="0.25">
      <c r="C63" s="3"/>
      <c r="D63" s="4"/>
      <c r="E63" s="5"/>
      <c r="F63" s="5"/>
    </row>
    <row r="64" spans="3:7" ht="17.25" x14ac:dyDescent="0.25">
      <c r="C64" s="3"/>
      <c r="D64" s="4"/>
      <c r="E64" s="5"/>
      <c r="F64" s="5"/>
    </row>
    <row r="65" spans="3:6" ht="17.25" x14ac:dyDescent="0.25">
      <c r="C65" s="3"/>
      <c r="D65" s="4"/>
      <c r="E65" s="5"/>
      <c r="F65" s="5"/>
    </row>
    <row r="66" spans="3:6" ht="17.25" x14ac:dyDescent="0.25">
      <c r="C66" s="3"/>
      <c r="D66" s="4"/>
      <c r="E66" s="5"/>
      <c r="F66" s="5"/>
    </row>
    <row r="67" spans="3:6" ht="17.25" x14ac:dyDescent="0.25">
      <c r="C67" s="3"/>
      <c r="D67" s="4"/>
      <c r="E67" s="5"/>
      <c r="F67" s="5"/>
    </row>
    <row r="68" spans="3:6" ht="17.25" x14ac:dyDescent="0.25">
      <c r="C68" s="3"/>
      <c r="D68" s="4"/>
      <c r="E68" s="5"/>
      <c r="F68" s="5"/>
    </row>
    <row r="69" spans="3:6" ht="17.25" x14ac:dyDescent="0.25">
      <c r="C69" s="3"/>
      <c r="D69" s="4"/>
      <c r="E69" s="5"/>
      <c r="F69" s="5"/>
    </row>
    <row r="70" spans="3:6" ht="17.25" x14ac:dyDescent="0.25">
      <c r="C70" s="3"/>
      <c r="D70" s="4"/>
      <c r="E70" s="5"/>
      <c r="F70" s="5"/>
    </row>
    <row r="71" spans="3:6" ht="17.25" x14ac:dyDescent="0.25">
      <c r="C71" s="3"/>
      <c r="D71" s="4"/>
      <c r="E71" s="5"/>
      <c r="F71" s="5"/>
    </row>
    <row r="72" spans="3:6" ht="17.25" x14ac:dyDescent="0.25">
      <c r="C72" s="3"/>
      <c r="D72" s="4"/>
      <c r="E72" s="5"/>
      <c r="F72" s="5"/>
    </row>
    <row r="73" spans="3:6" ht="17.25" x14ac:dyDescent="0.25">
      <c r="C73" s="3"/>
      <c r="D73" s="4"/>
      <c r="E73" s="5"/>
      <c r="F73" s="5"/>
    </row>
    <row r="74" spans="3:6" ht="17.25" x14ac:dyDescent="0.25">
      <c r="C74" s="3"/>
      <c r="D74" s="4"/>
      <c r="E74" s="5"/>
      <c r="F74" s="5"/>
    </row>
    <row r="75" spans="3:6" ht="17.25" x14ac:dyDescent="0.25">
      <c r="C75" s="3"/>
      <c r="D75" s="4"/>
      <c r="E75" s="5"/>
      <c r="F75" s="5"/>
    </row>
    <row r="76" spans="3:6" ht="17.25" x14ac:dyDescent="0.25">
      <c r="C76" s="3"/>
      <c r="D76" s="4"/>
      <c r="E76" s="5"/>
      <c r="F76" s="5"/>
    </row>
    <row r="77" spans="3:6" ht="17.25" x14ac:dyDescent="0.25">
      <c r="C77" s="3"/>
      <c r="D77" s="4"/>
      <c r="E77" s="5"/>
      <c r="F77" s="5"/>
    </row>
    <row r="78" spans="3:6" ht="17.25" x14ac:dyDescent="0.25">
      <c r="C78" s="3"/>
      <c r="D78" s="4"/>
      <c r="E78" s="5"/>
      <c r="F78" s="5"/>
    </row>
    <row r="79" spans="3:6" ht="17.25" x14ac:dyDescent="0.25">
      <c r="C79" s="3"/>
      <c r="D79" s="4"/>
      <c r="E79" s="5"/>
      <c r="F79" s="5"/>
    </row>
    <row r="80" spans="3:6" ht="17.25" x14ac:dyDescent="0.25">
      <c r="C80" s="3"/>
      <c r="D80" s="4"/>
      <c r="E80" s="5"/>
      <c r="F80" s="5"/>
    </row>
    <row r="81" spans="3:6" ht="17.25" x14ac:dyDescent="0.25">
      <c r="C81" s="3"/>
      <c r="D81" s="4"/>
      <c r="E81" s="5"/>
      <c r="F81" s="5"/>
    </row>
    <row r="82" spans="3:6" ht="17.25" x14ac:dyDescent="0.25">
      <c r="C82" s="3"/>
      <c r="D82" s="4"/>
      <c r="E82" s="5"/>
      <c r="F82" s="5"/>
    </row>
    <row r="83" spans="3:6" ht="17.25" x14ac:dyDescent="0.25">
      <c r="C83" s="3"/>
      <c r="D83" s="4"/>
      <c r="E83" s="5"/>
      <c r="F83" s="5"/>
    </row>
    <row r="84" spans="3:6" ht="17.25" x14ac:dyDescent="0.25">
      <c r="C84" s="3"/>
      <c r="D84" s="4"/>
      <c r="E84" s="5"/>
      <c r="F84" s="5"/>
    </row>
    <row r="85" spans="3:6" ht="17.25" x14ac:dyDescent="0.25">
      <c r="C85" s="3"/>
      <c r="D85" s="4"/>
      <c r="E85" s="5"/>
      <c r="F85" s="5"/>
    </row>
    <row r="86" spans="3:6" ht="17.25" x14ac:dyDescent="0.25">
      <c r="C86" s="3"/>
      <c r="D86" s="4"/>
      <c r="E86" s="5"/>
      <c r="F86" s="5"/>
    </row>
    <row r="87" spans="3:6" ht="17.25" x14ac:dyDescent="0.25">
      <c r="C87" s="3"/>
      <c r="D87" s="4"/>
      <c r="E87" s="5"/>
      <c r="F87" s="5"/>
    </row>
    <row r="88" spans="3:6" ht="17.25" x14ac:dyDescent="0.25">
      <c r="C88" s="3"/>
      <c r="D88" s="4"/>
      <c r="E88" s="5"/>
      <c r="F88" s="5"/>
    </row>
    <row r="89" spans="3:6" ht="17.25" x14ac:dyDescent="0.25">
      <c r="C89" s="3"/>
      <c r="D89" s="4"/>
      <c r="E89" s="5"/>
      <c r="F89" s="5"/>
    </row>
    <row r="90" spans="3:6" ht="17.25" x14ac:dyDescent="0.25">
      <c r="C90" s="3"/>
      <c r="D90" s="4"/>
      <c r="E90" s="5"/>
      <c r="F90" s="5"/>
    </row>
    <row r="91" spans="3:6" ht="17.25" x14ac:dyDescent="0.25">
      <c r="C91" s="3"/>
      <c r="D91" s="4"/>
      <c r="E91" s="5"/>
      <c r="F91" s="5"/>
    </row>
    <row r="92" spans="3:6" ht="17.25" x14ac:dyDescent="0.25">
      <c r="C92" s="3"/>
      <c r="D92" s="4"/>
      <c r="E92" s="5"/>
      <c r="F92" s="5"/>
    </row>
    <row r="93" spans="3:6" ht="17.25" x14ac:dyDescent="0.25">
      <c r="C93" s="3"/>
      <c r="D93" s="4"/>
      <c r="E93" s="5"/>
      <c r="F93" s="5"/>
    </row>
    <row r="94" spans="3:6" ht="17.25" x14ac:dyDescent="0.25">
      <c r="C94" s="3"/>
      <c r="D94" s="4"/>
      <c r="E94" s="5"/>
      <c r="F94" s="5"/>
    </row>
    <row r="95" spans="3:6" ht="17.25" x14ac:dyDescent="0.25">
      <c r="C95" s="3"/>
      <c r="D95" s="4"/>
      <c r="E95" s="5"/>
      <c r="F95" s="5"/>
    </row>
    <row r="96" spans="3:6" ht="17.25" x14ac:dyDescent="0.25">
      <c r="C96" s="3"/>
      <c r="D96" s="4"/>
      <c r="E96" s="5"/>
      <c r="F96" s="5"/>
    </row>
    <row r="97" spans="3:6" ht="17.25" x14ac:dyDescent="0.25">
      <c r="C97" s="3"/>
      <c r="D97" s="4"/>
      <c r="E97" s="5"/>
      <c r="F97" s="5"/>
    </row>
    <row r="98" spans="3:6" ht="17.25" x14ac:dyDescent="0.25">
      <c r="C98" s="3"/>
      <c r="D98" s="4"/>
      <c r="E98" s="5"/>
      <c r="F98" s="5"/>
    </row>
    <row r="99" spans="3:6" ht="17.25" x14ac:dyDescent="0.25">
      <c r="C99" s="3"/>
      <c r="D99" s="4"/>
      <c r="E99" s="5"/>
      <c r="F99" s="5"/>
    </row>
    <row r="100" spans="3:6" ht="17.25" x14ac:dyDescent="0.25">
      <c r="C100" s="3"/>
      <c r="D100" s="4"/>
      <c r="E100" s="5"/>
      <c r="F100" s="5"/>
    </row>
    <row r="101" spans="3:6" ht="17.25" x14ac:dyDescent="0.25">
      <c r="C101" s="3"/>
      <c r="D101" s="4"/>
      <c r="E101" s="5"/>
      <c r="F101" s="5"/>
    </row>
    <row r="102" spans="3:6" ht="17.25" x14ac:dyDescent="0.25">
      <c r="C102" s="3"/>
      <c r="D102" s="4"/>
      <c r="E102" s="5"/>
      <c r="F102" s="5"/>
    </row>
    <row r="103" spans="3:6" ht="17.25" x14ac:dyDescent="0.25">
      <c r="C103" s="3"/>
      <c r="D103" s="4"/>
      <c r="E103" s="5"/>
      <c r="F103" s="5"/>
    </row>
    <row r="104" spans="3:6" ht="17.25" x14ac:dyDescent="0.25">
      <c r="C104" s="3"/>
      <c r="D104" s="4"/>
      <c r="E104" s="5"/>
      <c r="F104" s="5"/>
    </row>
    <row r="105" spans="3:6" ht="17.25" x14ac:dyDescent="0.25">
      <c r="C105" s="3"/>
      <c r="D105" s="4"/>
      <c r="E105" s="5"/>
      <c r="F105" s="5"/>
    </row>
    <row r="106" spans="3:6" ht="17.25" x14ac:dyDescent="0.25">
      <c r="C106" s="3"/>
      <c r="D106" s="4"/>
      <c r="E106" s="5"/>
      <c r="F106" s="5"/>
    </row>
    <row r="107" spans="3:6" ht="17.25" x14ac:dyDescent="0.25">
      <c r="C107" s="3"/>
      <c r="D107" s="4"/>
      <c r="E107" s="5"/>
      <c r="F107" s="5"/>
    </row>
    <row r="108" spans="3:6" ht="17.25" x14ac:dyDescent="0.25">
      <c r="C108" s="3"/>
      <c r="D108" s="4"/>
      <c r="E108" s="5"/>
      <c r="F108" s="5"/>
    </row>
    <row r="109" spans="3:6" ht="17.25" x14ac:dyDescent="0.25">
      <c r="C109" s="3"/>
      <c r="D109" s="4"/>
      <c r="E109" s="5"/>
      <c r="F109" s="5"/>
    </row>
    <row r="110" spans="3:6" ht="17.25" x14ac:dyDescent="0.25">
      <c r="C110" s="3"/>
      <c r="D110" s="4"/>
      <c r="E110" s="5"/>
      <c r="F110" s="5"/>
    </row>
    <row r="111" spans="3:6" ht="17.25" x14ac:dyDescent="0.25">
      <c r="C111" s="3"/>
      <c r="D111" s="4"/>
      <c r="E111" s="5"/>
      <c r="F111" s="5"/>
    </row>
    <row r="112" spans="3:6" ht="17.25" x14ac:dyDescent="0.25">
      <c r="C112" s="3"/>
      <c r="D112" s="4"/>
      <c r="E112" s="5"/>
      <c r="F112" s="5"/>
    </row>
    <row r="113" spans="3:6" ht="17.25" x14ac:dyDescent="0.25">
      <c r="C113" s="3"/>
      <c r="D113" s="4"/>
      <c r="E113" s="5"/>
      <c r="F113" s="5"/>
    </row>
    <row r="114" spans="3:6" ht="17.25" x14ac:dyDescent="0.25">
      <c r="C114" s="3"/>
      <c r="D114" s="4"/>
      <c r="E114" s="5"/>
      <c r="F114" s="5"/>
    </row>
    <row r="115" spans="3:6" ht="17.25" x14ac:dyDescent="0.25">
      <c r="C115" s="3"/>
      <c r="D115" s="4"/>
      <c r="E115" s="5"/>
      <c r="F115" s="5"/>
    </row>
    <row r="116" spans="3:6" ht="17.25" x14ac:dyDescent="0.25">
      <c r="C116" s="3"/>
      <c r="D116" s="4"/>
      <c r="E116" s="5"/>
      <c r="F116" s="5"/>
    </row>
    <row r="117" spans="3:6" ht="17.25" x14ac:dyDescent="0.25">
      <c r="C117" s="3"/>
      <c r="D117" s="4"/>
      <c r="E117" s="5"/>
      <c r="F117" s="5"/>
    </row>
    <row r="118" spans="3:6" ht="17.25" x14ac:dyDescent="0.25">
      <c r="C118" s="3"/>
      <c r="D118" s="4"/>
      <c r="E118" s="5"/>
      <c r="F118" s="5"/>
    </row>
    <row r="119" spans="3:6" ht="17.25" x14ac:dyDescent="0.25">
      <c r="C119" s="3"/>
      <c r="D119" s="4"/>
      <c r="E119" s="5"/>
      <c r="F119" s="5"/>
    </row>
    <row r="120" spans="3:6" ht="17.25" x14ac:dyDescent="0.25">
      <c r="C120" s="3"/>
      <c r="D120" s="4"/>
      <c r="E120" s="5"/>
      <c r="F120" s="5"/>
    </row>
    <row r="121" spans="3:6" ht="17.25" x14ac:dyDescent="0.25">
      <c r="C121" s="3"/>
      <c r="D121" s="4"/>
      <c r="E121" s="5"/>
      <c r="F121" s="5"/>
    </row>
    <row r="122" spans="3:6" ht="17.25" x14ac:dyDescent="0.25">
      <c r="C122" s="3"/>
      <c r="D122" s="4"/>
      <c r="E122" s="5"/>
      <c r="F122" s="5"/>
    </row>
    <row r="123" spans="3:6" ht="17.25" x14ac:dyDescent="0.25">
      <c r="C123" s="3"/>
      <c r="D123" s="4"/>
      <c r="E123" s="5"/>
      <c r="F123" s="5"/>
    </row>
    <row r="124" spans="3:6" ht="17.25" x14ac:dyDescent="0.25">
      <c r="C124" s="3"/>
      <c r="D124" s="4"/>
      <c r="E124" s="5"/>
      <c r="F124" s="5"/>
    </row>
    <row r="125" spans="3:6" ht="17.25" x14ac:dyDescent="0.25">
      <c r="C125" s="3"/>
      <c r="D125" s="4"/>
      <c r="E125" s="5"/>
      <c r="F125" s="5"/>
    </row>
    <row r="126" spans="3:6" ht="17.25" x14ac:dyDescent="0.25">
      <c r="C126" s="3"/>
      <c r="D126" s="4"/>
      <c r="E126" s="5"/>
      <c r="F126" s="5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O126"/>
  <sheetViews>
    <sheetView topLeftCell="A34" zoomScale="70" zoomScaleNormal="70" workbookViewId="0">
      <selection activeCell="I60" sqref="I60"/>
    </sheetView>
  </sheetViews>
  <sheetFormatPr defaultRowHeight="16.5" x14ac:dyDescent="0.25"/>
  <cols>
    <col min="1" max="3" width="9" style="1"/>
    <col min="4" max="7" width="12.125" style="1" customWidth="1"/>
    <col min="8" max="8" width="13.125" style="1" customWidth="1"/>
    <col min="9" max="9" width="14.125" style="1" customWidth="1"/>
    <col min="10" max="11" width="13.25" style="1" customWidth="1"/>
    <col min="12" max="12" width="12.375" style="1" customWidth="1"/>
    <col min="13" max="13" width="12.125" style="1" customWidth="1"/>
    <col min="14" max="14" width="11.5" style="1" customWidth="1"/>
    <col min="15" max="16384" width="9" style="1"/>
  </cols>
  <sheetData>
    <row r="1" spans="3:15" x14ac:dyDescent="0.25">
      <c r="C1" s="1" t="s">
        <v>4</v>
      </c>
      <c r="G1" s="1" t="s">
        <v>5</v>
      </c>
    </row>
    <row r="2" spans="3:15" x14ac:dyDescent="0.25"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9</v>
      </c>
    </row>
    <row r="3" spans="3:15" x14ac:dyDescent="0.25">
      <c r="C3" s="1">
        <v>0</v>
      </c>
      <c r="D3" s="1">
        <v>0</v>
      </c>
      <c r="G3" s="1">
        <v>50</v>
      </c>
    </row>
    <row r="4" spans="3:15" x14ac:dyDescent="0.25">
      <c r="C4" s="1">
        <v>30</v>
      </c>
      <c r="D4" s="1">
        <v>30</v>
      </c>
      <c r="G4" s="1">
        <v>50</v>
      </c>
    </row>
    <row r="5" spans="3:15" x14ac:dyDescent="0.25">
      <c r="C5" s="1">
        <v>140</v>
      </c>
      <c r="D5" s="1">
        <v>140</v>
      </c>
      <c r="G5" s="1">
        <v>170</v>
      </c>
    </row>
    <row r="6" spans="3:15" x14ac:dyDescent="0.25">
      <c r="C6" s="1">
        <v>280</v>
      </c>
      <c r="D6" s="1">
        <v>280</v>
      </c>
      <c r="G6" s="1">
        <v>380</v>
      </c>
    </row>
    <row r="7" spans="3:15" x14ac:dyDescent="0.25">
      <c r="C7" s="1">
        <v>860</v>
      </c>
      <c r="D7" s="1">
        <v>430</v>
      </c>
      <c r="G7" s="1">
        <v>1100</v>
      </c>
    </row>
    <row r="8" spans="3:15" x14ac:dyDescent="0.25">
      <c r="C8" s="1">
        <v>120</v>
      </c>
      <c r="D8" s="1">
        <v>120</v>
      </c>
      <c r="J8" s="1">
        <v>0</v>
      </c>
    </row>
    <row r="9" spans="3:15" x14ac:dyDescent="0.25">
      <c r="C9" s="1">
        <v>120</v>
      </c>
      <c r="D9" s="1">
        <v>120</v>
      </c>
      <c r="J9" s="1">
        <v>30</v>
      </c>
    </row>
    <row r="10" spans="3:15" x14ac:dyDescent="0.25">
      <c r="C10" s="1">
        <v>260</v>
      </c>
      <c r="D10" s="1">
        <v>260</v>
      </c>
      <c r="J10" s="1">
        <v>130</v>
      </c>
    </row>
    <row r="11" spans="3:15" x14ac:dyDescent="0.25">
      <c r="C11" s="1">
        <v>550</v>
      </c>
      <c r="D11" s="1">
        <v>550</v>
      </c>
      <c r="J11" s="1">
        <v>250</v>
      </c>
    </row>
    <row r="12" spans="3:15" x14ac:dyDescent="0.25">
      <c r="C12" s="1">
        <v>50</v>
      </c>
      <c r="H12" s="1">
        <v>0</v>
      </c>
    </row>
    <row r="13" spans="3:15" x14ac:dyDescent="0.25">
      <c r="C13" s="1">
        <v>50</v>
      </c>
      <c r="H13" s="1">
        <v>30</v>
      </c>
    </row>
    <row r="14" spans="3:15" x14ac:dyDescent="0.25">
      <c r="C14" s="1">
        <v>170</v>
      </c>
      <c r="H14" s="1">
        <v>145</v>
      </c>
    </row>
    <row r="15" spans="3:15" x14ac:dyDescent="0.25">
      <c r="C15" s="1">
        <v>385</v>
      </c>
      <c r="H15" s="1">
        <v>300</v>
      </c>
    </row>
    <row r="16" spans="3:15" x14ac:dyDescent="0.25">
      <c r="C16" s="1">
        <v>550</v>
      </c>
      <c r="H16" s="1">
        <v>450</v>
      </c>
    </row>
    <row r="17" spans="3:13" x14ac:dyDescent="0.25">
      <c r="C17" s="1">
        <v>0</v>
      </c>
      <c r="I17" s="1">
        <v>60</v>
      </c>
    </row>
    <row r="18" spans="3:13" x14ac:dyDescent="0.25">
      <c r="C18" s="1">
        <v>30</v>
      </c>
      <c r="I18" s="1">
        <v>60</v>
      </c>
    </row>
    <row r="19" spans="3:13" x14ac:dyDescent="0.25">
      <c r="C19" s="1">
        <v>50</v>
      </c>
      <c r="I19" s="1">
        <v>80</v>
      </c>
    </row>
    <row r="20" spans="3:13" x14ac:dyDescent="0.25">
      <c r="C20" s="1">
        <v>70</v>
      </c>
      <c r="I20" s="1">
        <v>110</v>
      </c>
    </row>
    <row r="21" spans="3:13" x14ac:dyDescent="0.25">
      <c r="C21" s="1">
        <v>520</v>
      </c>
      <c r="I21" s="1">
        <v>1100</v>
      </c>
    </row>
    <row r="22" spans="3:13" x14ac:dyDescent="0.25">
      <c r="C22" s="1">
        <v>250</v>
      </c>
      <c r="L22" s="1">
        <v>0</v>
      </c>
    </row>
    <row r="23" spans="3:13" x14ac:dyDescent="0.25">
      <c r="C23" s="1">
        <v>250</v>
      </c>
      <c r="L23" s="1">
        <v>40</v>
      </c>
    </row>
    <row r="24" spans="3:13" x14ac:dyDescent="0.25">
      <c r="C24" s="1">
        <v>550</v>
      </c>
      <c r="L24" s="1">
        <v>150</v>
      </c>
    </row>
    <row r="25" spans="3:13" x14ac:dyDescent="0.25">
      <c r="C25" s="1">
        <v>0</v>
      </c>
      <c r="K25" s="1">
        <v>100</v>
      </c>
    </row>
    <row r="26" spans="3:13" x14ac:dyDescent="0.25">
      <c r="C26" s="1">
        <v>25</v>
      </c>
      <c r="K26" s="1">
        <v>100</v>
      </c>
    </row>
    <row r="27" spans="3:13" x14ac:dyDescent="0.25">
      <c r="C27" s="1">
        <v>50</v>
      </c>
      <c r="K27" s="1">
        <v>125</v>
      </c>
    </row>
    <row r="28" spans="3:13" x14ac:dyDescent="0.25">
      <c r="C28" s="1">
        <v>80</v>
      </c>
      <c r="K28" s="1">
        <v>215</v>
      </c>
    </row>
    <row r="29" spans="3:13" x14ac:dyDescent="0.25">
      <c r="C29" s="1">
        <v>250</v>
      </c>
      <c r="K29" s="1">
        <v>1100</v>
      </c>
    </row>
    <row r="30" spans="3:13" x14ac:dyDescent="0.25">
      <c r="C30" s="1">
        <v>0</v>
      </c>
      <c r="M30" s="1">
        <v>150</v>
      </c>
    </row>
    <row r="31" spans="3:13" x14ac:dyDescent="0.25">
      <c r="C31" s="1">
        <v>35</v>
      </c>
      <c r="M31" s="1">
        <v>155</v>
      </c>
    </row>
    <row r="32" spans="3:13" x14ac:dyDescent="0.25">
      <c r="C32" s="1">
        <v>100</v>
      </c>
      <c r="M32" s="1">
        <v>1100</v>
      </c>
    </row>
    <row r="33" spans="3:14" x14ac:dyDescent="0.25">
      <c r="C33" s="1">
        <v>0</v>
      </c>
      <c r="N33" s="1">
        <v>0</v>
      </c>
    </row>
    <row r="34" spans="3:14" x14ac:dyDescent="0.25">
      <c r="C34" s="1">
        <v>550</v>
      </c>
      <c r="N34" s="1">
        <v>550</v>
      </c>
    </row>
    <row r="37" spans="3:14" ht="17.25" x14ac:dyDescent="0.25">
      <c r="C37" s="2" t="s">
        <v>18</v>
      </c>
      <c r="D37" s="15">
        <v>940</v>
      </c>
      <c r="E37" s="15">
        <v>970</v>
      </c>
      <c r="F37" s="15">
        <v>1200</v>
      </c>
      <c r="G37" s="16">
        <v>1300</v>
      </c>
      <c r="H37" s="17"/>
    </row>
    <row r="38" spans="3:14" ht="17.25" x14ac:dyDescent="0.25">
      <c r="C38" s="3">
        <v>125</v>
      </c>
      <c r="D38" s="18">
        <v>157.14254588727411</v>
      </c>
      <c r="E38" s="19">
        <v>135.72288734538432</v>
      </c>
      <c r="F38" s="19">
        <v>12.944642702932633</v>
      </c>
      <c r="G38" s="18"/>
    </row>
    <row r="39" spans="3:14" ht="17.25" x14ac:dyDescent="0.25">
      <c r="C39" s="3">
        <v>170</v>
      </c>
      <c r="D39" s="18">
        <v>128.86005310609346</v>
      </c>
      <c r="E39" s="19">
        <v>137.93052064908017</v>
      </c>
      <c r="F39" s="19">
        <v>58.607024568448594</v>
      </c>
      <c r="G39" s="18"/>
    </row>
    <row r="40" spans="3:14" ht="17.25" x14ac:dyDescent="0.25">
      <c r="C40" s="3">
        <v>205</v>
      </c>
      <c r="D40" s="18">
        <v>246.298594510805</v>
      </c>
      <c r="E40" s="19">
        <v>155.29926167316012</v>
      </c>
      <c r="F40" s="19">
        <v>109.79792226473732</v>
      </c>
      <c r="G40" s="18"/>
    </row>
    <row r="41" spans="3:14" ht="17.25" x14ac:dyDescent="0.25">
      <c r="C41" s="3">
        <v>287</v>
      </c>
      <c r="D41" s="18">
        <v>303.16295261169091</v>
      </c>
      <c r="E41" s="19">
        <v>279.96422934639804</v>
      </c>
      <c r="F41" s="19">
        <v>105.74635428557421</v>
      </c>
      <c r="G41" s="18"/>
    </row>
    <row r="42" spans="3:14" ht="17.25" x14ac:dyDescent="0.25">
      <c r="C42" s="3">
        <v>209</v>
      </c>
      <c r="D42" s="18">
        <v>160.53585388413663</v>
      </c>
      <c r="E42" s="19">
        <v>287.08310098597735</v>
      </c>
      <c r="F42" s="19">
        <v>708.90405617830743</v>
      </c>
      <c r="G42" s="18"/>
    </row>
    <row r="43" spans="3:14" ht="17.25" x14ac:dyDescent="0.25">
      <c r="C43" s="3"/>
      <c r="D43" s="18"/>
      <c r="E43" s="19"/>
      <c r="F43" s="19"/>
      <c r="G43" s="18"/>
    </row>
    <row r="44" spans="3:14" ht="17.25" x14ac:dyDescent="0.25">
      <c r="C44" s="3"/>
      <c r="D44" s="18"/>
      <c r="E44" s="19"/>
      <c r="F44" s="19"/>
      <c r="G44" s="18"/>
    </row>
    <row r="45" spans="3:14" ht="17.25" x14ac:dyDescent="0.25">
      <c r="C45" s="3"/>
      <c r="D45" s="18"/>
      <c r="E45" s="19"/>
      <c r="F45" s="19"/>
      <c r="G45" s="18"/>
    </row>
    <row r="46" spans="3:14" ht="17.25" x14ac:dyDescent="0.25">
      <c r="C46" s="3"/>
      <c r="D46" s="18"/>
      <c r="E46" s="19"/>
      <c r="F46" s="19"/>
      <c r="G46" s="18"/>
    </row>
    <row r="47" spans="3:14" ht="17.25" x14ac:dyDescent="0.25">
      <c r="C47" s="3"/>
      <c r="D47" s="18"/>
      <c r="E47" s="19"/>
      <c r="F47" s="19"/>
      <c r="G47" s="18"/>
    </row>
    <row r="48" spans="3:14" ht="17.25" x14ac:dyDescent="0.25">
      <c r="C48" s="3"/>
      <c r="D48" s="18"/>
      <c r="E48" s="19"/>
      <c r="F48" s="19"/>
      <c r="G48" s="18"/>
    </row>
    <row r="49" spans="3:7" ht="17.25" x14ac:dyDescent="0.25">
      <c r="C49" s="3"/>
      <c r="D49" s="18"/>
      <c r="E49" s="19"/>
      <c r="F49" s="19"/>
      <c r="G49" s="18"/>
    </row>
    <row r="50" spans="3:7" ht="17.25" x14ac:dyDescent="0.25">
      <c r="C50" s="3"/>
      <c r="D50" s="4"/>
      <c r="E50" s="5"/>
      <c r="F50" s="5"/>
    </row>
    <row r="51" spans="3:7" ht="17.25" x14ac:dyDescent="0.25">
      <c r="C51" s="3"/>
      <c r="D51" s="4"/>
      <c r="E51" s="5"/>
      <c r="F51" s="5"/>
    </row>
    <row r="52" spans="3:7" ht="17.25" x14ac:dyDescent="0.25">
      <c r="C52" s="3"/>
      <c r="D52" s="4"/>
      <c r="E52" s="5"/>
      <c r="F52" s="5"/>
    </row>
    <row r="53" spans="3:7" ht="17.25" x14ac:dyDescent="0.25">
      <c r="C53" s="3"/>
      <c r="D53" s="4"/>
      <c r="E53" s="5"/>
      <c r="F53" s="5"/>
    </row>
    <row r="54" spans="3:7" ht="17.25" x14ac:dyDescent="0.25">
      <c r="C54" s="3"/>
      <c r="D54" s="4"/>
      <c r="E54" s="5"/>
      <c r="F54" s="5"/>
    </row>
    <row r="55" spans="3:7" ht="17.25" x14ac:dyDescent="0.25">
      <c r="C55" s="3"/>
      <c r="D55" s="4"/>
      <c r="E55" s="5"/>
      <c r="F55" s="5"/>
    </row>
    <row r="56" spans="3:7" ht="17.25" x14ac:dyDescent="0.25">
      <c r="C56" s="3"/>
      <c r="D56" s="4"/>
      <c r="E56" s="5"/>
      <c r="F56" s="5"/>
    </row>
    <row r="57" spans="3:7" ht="17.25" x14ac:dyDescent="0.25">
      <c r="C57" s="3"/>
      <c r="D57" s="4"/>
      <c r="E57" s="5"/>
      <c r="F57" s="5"/>
    </row>
    <row r="58" spans="3:7" ht="17.25" x14ac:dyDescent="0.25">
      <c r="C58" s="3"/>
      <c r="D58" s="4"/>
      <c r="E58" s="5"/>
      <c r="F58" s="5"/>
    </row>
    <row r="59" spans="3:7" ht="17.25" x14ac:dyDescent="0.25">
      <c r="C59" s="3"/>
      <c r="D59" s="4"/>
      <c r="E59" s="5"/>
      <c r="F59" s="5"/>
    </row>
    <row r="60" spans="3:7" ht="17.25" x14ac:dyDescent="0.25">
      <c r="C60" s="3"/>
      <c r="D60" s="4"/>
      <c r="E60" s="5"/>
      <c r="F60" s="5"/>
    </row>
    <row r="61" spans="3:7" ht="17.25" x14ac:dyDescent="0.25">
      <c r="C61" s="3"/>
      <c r="D61" s="4"/>
      <c r="E61" s="5"/>
      <c r="F61" s="5"/>
    </row>
    <row r="62" spans="3:7" ht="17.25" x14ac:dyDescent="0.25">
      <c r="C62" s="3"/>
      <c r="D62" s="4"/>
      <c r="E62" s="5"/>
      <c r="F62" s="5"/>
    </row>
    <row r="63" spans="3:7" ht="17.25" x14ac:dyDescent="0.25">
      <c r="C63" s="3"/>
      <c r="D63" s="4"/>
      <c r="E63" s="5"/>
      <c r="F63" s="5"/>
    </row>
    <row r="64" spans="3:7" ht="17.25" x14ac:dyDescent="0.25">
      <c r="C64" s="3"/>
      <c r="D64" s="4"/>
      <c r="E64" s="5"/>
      <c r="F64" s="5"/>
    </row>
    <row r="65" spans="3:6" ht="17.25" x14ac:dyDescent="0.25">
      <c r="C65" s="3"/>
      <c r="D65" s="4"/>
      <c r="E65" s="5"/>
      <c r="F65" s="5"/>
    </row>
    <row r="66" spans="3:6" ht="17.25" x14ac:dyDescent="0.25">
      <c r="C66" s="3"/>
      <c r="D66" s="4"/>
      <c r="E66" s="5"/>
      <c r="F66" s="5"/>
    </row>
    <row r="67" spans="3:6" ht="17.25" x14ac:dyDescent="0.25">
      <c r="C67" s="3"/>
      <c r="D67" s="4"/>
      <c r="E67" s="5"/>
      <c r="F67" s="5"/>
    </row>
    <row r="68" spans="3:6" ht="17.25" x14ac:dyDescent="0.25">
      <c r="C68" s="3"/>
      <c r="D68" s="4"/>
      <c r="E68" s="5"/>
      <c r="F68" s="5"/>
    </row>
    <row r="69" spans="3:6" ht="17.25" x14ac:dyDescent="0.25">
      <c r="C69" s="3"/>
      <c r="D69" s="4"/>
      <c r="E69" s="5"/>
      <c r="F69" s="5"/>
    </row>
    <row r="70" spans="3:6" ht="17.25" x14ac:dyDescent="0.25">
      <c r="C70" s="3"/>
      <c r="D70" s="4"/>
      <c r="E70" s="5"/>
      <c r="F70" s="5"/>
    </row>
    <row r="71" spans="3:6" ht="17.25" x14ac:dyDescent="0.25">
      <c r="C71" s="3"/>
      <c r="D71" s="4"/>
      <c r="E71" s="5"/>
      <c r="F71" s="5"/>
    </row>
    <row r="72" spans="3:6" ht="17.25" x14ac:dyDescent="0.25">
      <c r="C72" s="3"/>
      <c r="D72" s="4"/>
      <c r="E72" s="5"/>
      <c r="F72" s="5"/>
    </row>
    <row r="73" spans="3:6" ht="17.25" x14ac:dyDescent="0.25">
      <c r="C73" s="3"/>
      <c r="D73" s="4"/>
      <c r="E73" s="5"/>
      <c r="F73" s="5"/>
    </row>
    <row r="74" spans="3:6" ht="17.25" x14ac:dyDescent="0.25">
      <c r="C74" s="3"/>
      <c r="D74" s="4"/>
      <c r="E74" s="5"/>
      <c r="F74" s="5"/>
    </row>
    <row r="75" spans="3:6" ht="17.25" x14ac:dyDescent="0.25">
      <c r="C75" s="3"/>
      <c r="D75" s="4"/>
      <c r="E75" s="5"/>
      <c r="F75" s="5"/>
    </row>
    <row r="76" spans="3:6" ht="17.25" x14ac:dyDescent="0.25">
      <c r="C76" s="3"/>
      <c r="D76" s="4"/>
      <c r="E76" s="5"/>
      <c r="F76" s="5"/>
    </row>
    <row r="77" spans="3:6" ht="17.25" x14ac:dyDescent="0.25">
      <c r="C77" s="3"/>
      <c r="D77" s="4"/>
      <c r="E77" s="5"/>
      <c r="F77" s="5"/>
    </row>
    <row r="78" spans="3:6" ht="17.25" x14ac:dyDescent="0.25">
      <c r="C78" s="3"/>
      <c r="D78" s="4"/>
      <c r="E78" s="5"/>
      <c r="F78" s="5"/>
    </row>
    <row r="79" spans="3:6" ht="17.25" x14ac:dyDescent="0.25">
      <c r="C79" s="3"/>
      <c r="D79" s="4"/>
      <c r="E79" s="5"/>
      <c r="F79" s="5"/>
    </row>
    <row r="80" spans="3:6" ht="17.25" x14ac:dyDescent="0.25">
      <c r="C80" s="3"/>
      <c r="D80" s="4"/>
      <c r="E80" s="5"/>
      <c r="F80" s="5"/>
    </row>
    <row r="81" spans="3:6" ht="17.25" x14ac:dyDescent="0.25">
      <c r="C81" s="3"/>
      <c r="D81" s="4"/>
      <c r="E81" s="5"/>
      <c r="F81" s="5"/>
    </row>
    <row r="82" spans="3:6" ht="17.25" x14ac:dyDescent="0.25">
      <c r="C82" s="3"/>
      <c r="D82" s="4"/>
      <c r="E82" s="5"/>
      <c r="F82" s="5"/>
    </row>
    <row r="83" spans="3:6" ht="17.25" x14ac:dyDescent="0.25">
      <c r="C83" s="3"/>
      <c r="D83" s="4"/>
      <c r="E83" s="5"/>
      <c r="F83" s="5"/>
    </row>
    <row r="84" spans="3:6" ht="17.25" x14ac:dyDescent="0.25">
      <c r="C84" s="3"/>
      <c r="D84" s="4"/>
      <c r="E84" s="5"/>
      <c r="F84" s="5"/>
    </row>
    <row r="85" spans="3:6" ht="17.25" x14ac:dyDescent="0.25">
      <c r="C85" s="3"/>
      <c r="D85" s="4"/>
      <c r="E85" s="5"/>
      <c r="F85" s="5"/>
    </row>
    <row r="86" spans="3:6" ht="17.25" x14ac:dyDescent="0.25">
      <c r="C86" s="3"/>
      <c r="D86" s="4"/>
      <c r="E86" s="5"/>
      <c r="F86" s="5"/>
    </row>
    <row r="87" spans="3:6" ht="17.25" x14ac:dyDescent="0.25">
      <c r="C87" s="3"/>
      <c r="D87" s="4"/>
      <c r="E87" s="5"/>
      <c r="F87" s="5"/>
    </row>
    <row r="88" spans="3:6" ht="17.25" x14ac:dyDescent="0.25">
      <c r="C88" s="3"/>
      <c r="D88" s="4"/>
      <c r="E88" s="5"/>
      <c r="F88" s="5"/>
    </row>
    <row r="89" spans="3:6" ht="17.25" x14ac:dyDescent="0.25">
      <c r="C89" s="3"/>
      <c r="D89" s="4"/>
      <c r="E89" s="5"/>
      <c r="F89" s="5"/>
    </row>
    <row r="90" spans="3:6" ht="17.25" x14ac:dyDescent="0.25">
      <c r="C90" s="3"/>
      <c r="D90" s="4"/>
      <c r="E90" s="5"/>
      <c r="F90" s="5"/>
    </row>
    <row r="91" spans="3:6" ht="17.25" x14ac:dyDescent="0.25">
      <c r="C91" s="3"/>
      <c r="D91" s="4"/>
      <c r="E91" s="5"/>
      <c r="F91" s="5"/>
    </row>
    <row r="92" spans="3:6" ht="17.25" x14ac:dyDescent="0.25">
      <c r="C92" s="3"/>
      <c r="D92" s="4"/>
      <c r="E92" s="5"/>
      <c r="F92" s="5"/>
    </row>
    <row r="93" spans="3:6" ht="17.25" x14ac:dyDescent="0.25">
      <c r="C93" s="3"/>
      <c r="D93" s="4"/>
      <c r="E93" s="5"/>
      <c r="F93" s="5"/>
    </row>
    <row r="94" spans="3:6" ht="17.25" x14ac:dyDescent="0.25">
      <c r="C94" s="3"/>
      <c r="D94" s="4"/>
      <c r="E94" s="5"/>
      <c r="F94" s="5"/>
    </row>
    <row r="95" spans="3:6" ht="17.25" x14ac:dyDescent="0.25">
      <c r="C95" s="3"/>
      <c r="D95" s="4"/>
      <c r="E95" s="5"/>
      <c r="F95" s="5"/>
    </row>
    <row r="96" spans="3:6" ht="17.25" x14ac:dyDescent="0.25">
      <c r="C96" s="3"/>
      <c r="D96" s="4"/>
      <c r="E96" s="5"/>
      <c r="F96" s="5"/>
    </row>
    <row r="97" spans="3:6" ht="17.25" x14ac:dyDescent="0.25">
      <c r="C97" s="3"/>
      <c r="D97" s="4"/>
      <c r="E97" s="5"/>
      <c r="F97" s="5"/>
    </row>
    <row r="98" spans="3:6" ht="17.25" x14ac:dyDescent="0.25">
      <c r="C98" s="3"/>
      <c r="D98" s="4"/>
      <c r="E98" s="5"/>
      <c r="F98" s="5"/>
    </row>
    <row r="99" spans="3:6" ht="17.25" x14ac:dyDescent="0.25">
      <c r="C99" s="3"/>
      <c r="D99" s="4"/>
      <c r="E99" s="5"/>
      <c r="F99" s="5"/>
    </row>
    <row r="100" spans="3:6" ht="17.25" x14ac:dyDescent="0.25">
      <c r="C100" s="3"/>
      <c r="D100" s="4"/>
      <c r="E100" s="5"/>
      <c r="F100" s="5"/>
    </row>
    <row r="101" spans="3:6" ht="17.25" x14ac:dyDescent="0.25">
      <c r="C101" s="3"/>
      <c r="D101" s="4"/>
      <c r="E101" s="5"/>
      <c r="F101" s="5"/>
    </row>
    <row r="102" spans="3:6" ht="17.25" x14ac:dyDescent="0.25">
      <c r="C102" s="3"/>
      <c r="D102" s="4"/>
      <c r="E102" s="5"/>
      <c r="F102" s="5"/>
    </row>
    <row r="103" spans="3:6" ht="17.25" x14ac:dyDescent="0.25">
      <c r="C103" s="3"/>
      <c r="D103" s="4"/>
      <c r="E103" s="5"/>
      <c r="F103" s="5"/>
    </row>
    <row r="104" spans="3:6" ht="17.25" x14ac:dyDescent="0.25">
      <c r="C104" s="3"/>
      <c r="D104" s="4"/>
      <c r="E104" s="5"/>
      <c r="F104" s="5"/>
    </row>
    <row r="105" spans="3:6" ht="17.25" x14ac:dyDescent="0.25">
      <c r="C105" s="3"/>
      <c r="D105" s="4"/>
      <c r="E105" s="5"/>
      <c r="F105" s="5"/>
    </row>
    <row r="106" spans="3:6" ht="17.25" x14ac:dyDescent="0.25">
      <c r="C106" s="3"/>
      <c r="D106" s="4"/>
      <c r="E106" s="5"/>
      <c r="F106" s="5"/>
    </row>
    <row r="107" spans="3:6" ht="17.25" x14ac:dyDescent="0.25">
      <c r="C107" s="3"/>
      <c r="D107" s="4"/>
      <c r="E107" s="5"/>
      <c r="F107" s="5"/>
    </row>
    <row r="108" spans="3:6" ht="17.25" x14ac:dyDescent="0.25">
      <c r="C108" s="3"/>
      <c r="D108" s="4"/>
      <c r="E108" s="5"/>
      <c r="F108" s="5"/>
    </row>
    <row r="109" spans="3:6" ht="17.25" x14ac:dyDescent="0.25">
      <c r="C109" s="3"/>
      <c r="D109" s="4"/>
      <c r="E109" s="5"/>
      <c r="F109" s="5"/>
    </row>
    <row r="110" spans="3:6" ht="17.25" x14ac:dyDescent="0.25">
      <c r="C110" s="3"/>
      <c r="D110" s="4"/>
      <c r="E110" s="5"/>
      <c r="F110" s="5"/>
    </row>
    <row r="111" spans="3:6" ht="17.25" x14ac:dyDescent="0.25">
      <c r="C111" s="3"/>
      <c r="D111" s="4"/>
      <c r="E111" s="5"/>
      <c r="F111" s="5"/>
    </row>
    <row r="112" spans="3:6" ht="17.25" x14ac:dyDescent="0.25">
      <c r="C112" s="3"/>
      <c r="D112" s="4"/>
      <c r="E112" s="5"/>
      <c r="F112" s="5"/>
    </row>
    <row r="113" spans="3:6" ht="17.25" x14ac:dyDescent="0.25">
      <c r="C113" s="3"/>
      <c r="D113" s="4"/>
      <c r="E113" s="5"/>
      <c r="F113" s="5"/>
    </row>
    <row r="114" spans="3:6" ht="17.25" x14ac:dyDescent="0.25">
      <c r="C114" s="3"/>
      <c r="D114" s="4"/>
      <c r="E114" s="5"/>
      <c r="F114" s="5"/>
    </row>
    <row r="115" spans="3:6" ht="17.25" x14ac:dyDescent="0.25">
      <c r="C115" s="3"/>
      <c r="D115" s="4"/>
      <c r="E115" s="5"/>
      <c r="F115" s="5"/>
    </row>
    <row r="116" spans="3:6" ht="17.25" x14ac:dyDescent="0.25">
      <c r="C116" s="3"/>
      <c r="D116" s="4"/>
      <c r="E116" s="5"/>
      <c r="F116" s="5"/>
    </row>
    <row r="117" spans="3:6" ht="17.25" x14ac:dyDescent="0.25">
      <c r="C117" s="3"/>
      <c r="D117" s="4"/>
      <c r="E117" s="5"/>
      <c r="F117" s="5"/>
    </row>
    <row r="118" spans="3:6" ht="17.25" x14ac:dyDescent="0.25">
      <c r="C118" s="3"/>
      <c r="D118" s="4"/>
      <c r="E118" s="5"/>
      <c r="F118" s="5"/>
    </row>
    <row r="119" spans="3:6" ht="17.25" x14ac:dyDescent="0.25">
      <c r="C119" s="3"/>
      <c r="D119" s="4"/>
      <c r="E119" s="5"/>
      <c r="F119" s="5"/>
    </row>
    <row r="120" spans="3:6" ht="17.25" x14ac:dyDescent="0.25">
      <c r="C120" s="3"/>
      <c r="D120" s="4"/>
      <c r="E120" s="5"/>
      <c r="F120" s="5"/>
    </row>
    <row r="121" spans="3:6" ht="17.25" x14ac:dyDescent="0.25">
      <c r="C121" s="3"/>
      <c r="D121" s="4"/>
      <c r="E121" s="5"/>
      <c r="F121" s="5"/>
    </row>
    <row r="122" spans="3:6" ht="17.25" x14ac:dyDescent="0.25">
      <c r="C122" s="3"/>
      <c r="D122" s="4"/>
      <c r="E122" s="5"/>
      <c r="F122" s="5"/>
    </row>
    <row r="123" spans="3:6" ht="17.25" x14ac:dyDescent="0.25">
      <c r="C123" s="3"/>
      <c r="D123" s="4"/>
      <c r="E123" s="5"/>
      <c r="F123" s="5"/>
    </row>
    <row r="124" spans="3:6" ht="17.25" x14ac:dyDescent="0.25">
      <c r="C124" s="3"/>
      <c r="D124" s="4"/>
      <c r="E124" s="5"/>
      <c r="F124" s="5"/>
    </row>
    <row r="125" spans="3:6" ht="17.25" x14ac:dyDescent="0.25">
      <c r="C125" s="3"/>
      <c r="D125" s="4"/>
      <c r="E125" s="5"/>
      <c r="F125" s="5"/>
    </row>
    <row r="126" spans="3:6" ht="17.25" x14ac:dyDescent="0.25">
      <c r="C126" s="3"/>
      <c r="D126" s="4"/>
      <c r="E126" s="5"/>
      <c r="F126" s="5"/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O126"/>
  <sheetViews>
    <sheetView topLeftCell="E34" zoomScale="70" zoomScaleNormal="70" workbookViewId="0">
      <selection activeCell="G8" sqref="G8"/>
    </sheetView>
  </sheetViews>
  <sheetFormatPr defaultRowHeight="16.5" x14ac:dyDescent="0.25"/>
  <cols>
    <col min="1" max="3" width="9" style="1"/>
    <col min="4" max="7" width="12.125" style="1" customWidth="1"/>
    <col min="8" max="8" width="13.125" style="1" customWidth="1"/>
    <col min="9" max="9" width="14.125" style="1" customWidth="1"/>
    <col min="10" max="11" width="13.25" style="1" customWidth="1"/>
    <col min="12" max="12" width="12.375" style="1" customWidth="1"/>
    <col min="13" max="13" width="12.125" style="1" customWidth="1"/>
    <col min="14" max="14" width="11.5" style="1" customWidth="1"/>
    <col min="15" max="16384" width="9" style="1"/>
  </cols>
  <sheetData>
    <row r="1" spans="3:15" x14ac:dyDescent="0.25">
      <c r="C1" s="1" t="s">
        <v>4</v>
      </c>
      <c r="G1" s="1" t="s">
        <v>5</v>
      </c>
    </row>
    <row r="2" spans="3:15" x14ac:dyDescent="0.25">
      <c r="C2" s="1" t="s">
        <v>6</v>
      </c>
      <c r="D2" s="1" t="s">
        <v>7</v>
      </c>
      <c r="E2" s="1" t="s">
        <v>8</v>
      </c>
      <c r="F2" s="1" t="s">
        <v>0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2</v>
      </c>
      <c r="O2" s="1" t="s">
        <v>0</v>
      </c>
    </row>
    <row r="3" spans="3:15" x14ac:dyDescent="0.25">
      <c r="C3" s="1">
        <v>0</v>
      </c>
      <c r="D3" s="1">
        <v>0</v>
      </c>
      <c r="G3" s="1">
        <v>50</v>
      </c>
    </row>
    <row r="4" spans="3:15" x14ac:dyDescent="0.25">
      <c r="C4" s="1">
        <v>30</v>
      </c>
      <c r="D4" s="1">
        <v>30</v>
      </c>
      <c r="G4" s="1">
        <v>50</v>
      </c>
    </row>
    <row r="5" spans="3:15" x14ac:dyDescent="0.25">
      <c r="C5" s="1">
        <v>140</v>
      </c>
      <c r="D5" s="1">
        <v>140</v>
      </c>
      <c r="G5" s="1">
        <v>170</v>
      </c>
    </row>
    <row r="6" spans="3:15" x14ac:dyDescent="0.25">
      <c r="C6" s="1">
        <v>280</v>
      </c>
      <c r="D6" s="1">
        <v>280</v>
      </c>
      <c r="G6" s="1">
        <v>380</v>
      </c>
    </row>
    <row r="7" spans="3:15" x14ac:dyDescent="0.25">
      <c r="C7" s="1">
        <v>860</v>
      </c>
      <c r="D7" s="1">
        <v>430</v>
      </c>
      <c r="G7" s="1">
        <v>1100</v>
      </c>
    </row>
    <row r="8" spans="3:15" x14ac:dyDescent="0.25">
      <c r="C8" s="1">
        <v>120</v>
      </c>
      <c r="D8" s="1">
        <v>120</v>
      </c>
      <c r="J8" s="1">
        <v>0</v>
      </c>
    </row>
    <row r="9" spans="3:15" x14ac:dyDescent="0.25">
      <c r="C9" s="1">
        <v>120</v>
      </c>
      <c r="D9" s="1">
        <v>120</v>
      </c>
      <c r="J9" s="1">
        <v>30</v>
      </c>
    </row>
    <row r="10" spans="3:15" x14ac:dyDescent="0.25">
      <c r="C10" s="1">
        <v>260</v>
      </c>
      <c r="D10" s="1">
        <v>260</v>
      </c>
      <c r="J10" s="1">
        <v>130</v>
      </c>
    </row>
    <row r="11" spans="3:15" x14ac:dyDescent="0.25">
      <c r="C11" s="1">
        <v>550</v>
      </c>
      <c r="D11" s="1">
        <v>550</v>
      </c>
      <c r="J11" s="1">
        <v>250</v>
      </c>
    </row>
    <row r="12" spans="3:15" x14ac:dyDescent="0.25">
      <c r="C12" s="1">
        <v>50</v>
      </c>
      <c r="H12" s="1">
        <v>0</v>
      </c>
    </row>
    <row r="13" spans="3:15" x14ac:dyDescent="0.25">
      <c r="C13" s="1">
        <v>50</v>
      </c>
      <c r="H13" s="1">
        <v>30</v>
      </c>
    </row>
    <row r="14" spans="3:15" x14ac:dyDescent="0.25">
      <c r="C14" s="1">
        <v>170</v>
      </c>
      <c r="H14" s="1">
        <v>145</v>
      </c>
    </row>
    <row r="15" spans="3:15" x14ac:dyDescent="0.25">
      <c r="C15" s="1">
        <v>385</v>
      </c>
      <c r="H15" s="1">
        <v>300</v>
      </c>
    </row>
    <row r="16" spans="3:15" x14ac:dyDescent="0.25">
      <c r="C16" s="1">
        <v>550</v>
      </c>
      <c r="H16" s="1">
        <v>450</v>
      </c>
    </row>
    <row r="17" spans="3:13" x14ac:dyDescent="0.25">
      <c r="C17" s="1">
        <v>0</v>
      </c>
      <c r="I17" s="1">
        <v>60</v>
      </c>
    </row>
    <row r="18" spans="3:13" x14ac:dyDescent="0.25">
      <c r="C18" s="1">
        <v>30</v>
      </c>
      <c r="I18" s="1">
        <v>60</v>
      </c>
    </row>
    <row r="19" spans="3:13" x14ac:dyDescent="0.25">
      <c r="C19" s="1">
        <v>50</v>
      </c>
      <c r="I19" s="1">
        <v>80</v>
      </c>
    </row>
    <row r="20" spans="3:13" x14ac:dyDescent="0.25">
      <c r="C20" s="1">
        <v>70</v>
      </c>
      <c r="I20" s="1">
        <v>110</v>
      </c>
    </row>
    <row r="21" spans="3:13" x14ac:dyDescent="0.25">
      <c r="C21" s="1">
        <v>520</v>
      </c>
      <c r="I21" s="1">
        <v>1100</v>
      </c>
    </row>
    <row r="22" spans="3:13" x14ac:dyDescent="0.25">
      <c r="C22" s="1">
        <v>250</v>
      </c>
      <c r="L22" s="1">
        <v>0</v>
      </c>
    </row>
    <row r="23" spans="3:13" x14ac:dyDescent="0.25">
      <c r="C23" s="1">
        <v>250</v>
      </c>
      <c r="L23" s="1">
        <v>40</v>
      </c>
    </row>
    <row r="24" spans="3:13" x14ac:dyDescent="0.25">
      <c r="C24" s="1">
        <v>550</v>
      </c>
      <c r="L24" s="1">
        <v>150</v>
      </c>
    </row>
    <row r="25" spans="3:13" x14ac:dyDescent="0.25">
      <c r="C25" s="1">
        <v>0</v>
      </c>
      <c r="K25" s="1">
        <v>100</v>
      </c>
    </row>
    <row r="26" spans="3:13" x14ac:dyDescent="0.25">
      <c r="C26" s="1">
        <v>25</v>
      </c>
      <c r="K26" s="1">
        <v>100</v>
      </c>
    </row>
    <row r="27" spans="3:13" x14ac:dyDescent="0.25">
      <c r="C27" s="1">
        <v>50</v>
      </c>
      <c r="K27" s="1">
        <v>125</v>
      </c>
    </row>
    <row r="28" spans="3:13" x14ac:dyDescent="0.25">
      <c r="C28" s="1">
        <v>80</v>
      </c>
      <c r="K28" s="1">
        <v>215</v>
      </c>
    </row>
    <row r="29" spans="3:13" x14ac:dyDescent="0.25">
      <c r="C29" s="1">
        <v>250</v>
      </c>
      <c r="K29" s="1">
        <v>1100</v>
      </c>
    </row>
    <row r="30" spans="3:13" x14ac:dyDescent="0.25">
      <c r="C30" s="1">
        <v>0</v>
      </c>
      <c r="M30" s="1">
        <v>150</v>
      </c>
    </row>
    <row r="31" spans="3:13" x14ac:dyDescent="0.25">
      <c r="C31" s="1">
        <v>35</v>
      </c>
      <c r="M31" s="1">
        <v>155</v>
      </c>
    </row>
    <row r="32" spans="3:13" x14ac:dyDescent="0.25">
      <c r="C32" s="1">
        <v>100</v>
      </c>
      <c r="M32" s="1">
        <v>1100</v>
      </c>
    </row>
    <row r="33" spans="3:14" x14ac:dyDescent="0.25">
      <c r="C33" s="1">
        <v>0</v>
      </c>
      <c r="N33" s="1">
        <v>0</v>
      </c>
    </row>
    <row r="34" spans="3:14" x14ac:dyDescent="0.25">
      <c r="C34" s="1">
        <v>550</v>
      </c>
      <c r="N34" s="1">
        <v>550</v>
      </c>
    </row>
    <row r="37" spans="3:14" ht="17.25" x14ac:dyDescent="0.25">
      <c r="C37" s="2" t="s">
        <v>18</v>
      </c>
      <c r="D37" s="2" t="s">
        <v>37</v>
      </c>
      <c r="E37" s="2" t="s">
        <v>38</v>
      </c>
      <c r="F37" s="2" t="s">
        <v>39</v>
      </c>
      <c r="G37" s="2" t="s">
        <v>40</v>
      </c>
      <c r="H37" s="2" t="s">
        <v>41</v>
      </c>
      <c r="I37" s="2"/>
    </row>
    <row r="38" spans="3:14" ht="17.25" x14ac:dyDescent="0.25">
      <c r="C38" s="3">
        <v>102</v>
      </c>
      <c r="D38" s="4">
        <v>103.62552746723463</v>
      </c>
      <c r="E38" s="5">
        <v>103.85252522607593</v>
      </c>
      <c r="F38" s="5">
        <v>137.74952203399241</v>
      </c>
      <c r="G38" s="1">
        <v>95.519755925093847</v>
      </c>
      <c r="H38" s="1">
        <v>103.31927768920575</v>
      </c>
    </row>
    <row r="39" spans="3:14" ht="17.25" x14ac:dyDescent="0.25">
      <c r="C39" s="3">
        <v>96</v>
      </c>
      <c r="D39" s="4">
        <v>96.496752710613691</v>
      </c>
      <c r="E39" s="5">
        <v>97.645975060457971</v>
      </c>
      <c r="F39" s="5">
        <v>106.8767088640931</v>
      </c>
      <c r="G39" s="1">
        <v>89.266612852490653</v>
      </c>
      <c r="H39" s="1">
        <v>114.51120685574824</v>
      </c>
    </row>
    <row r="40" spans="3:14" ht="17.25" x14ac:dyDescent="0.25">
      <c r="C40" s="3">
        <v>131</v>
      </c>
      <c r="D40" s="4">
        <v>132.71487627033957</v>
      </c>
      <c r="E40" s="5">
        <v>138.52061277644015</v>
      </c>
      <c r="F40" s="5">
        <v>101.76462175728506</v>
      </c>
      <c r="G40" s="1">
        <v>162.66026555923236</v>
      </c>
      <c r="H40" s="1">
        <v>118.7760699647564</v>
      </c>
    </row>
    <row r="41" spans="3:14" ht="17.25" x14ac:dyDescent="0.25">
      <c r="C41" s="3">
        <v>85</v>
      </c>
      <c r="D41" s="4">
        <v>78.467246865961442</v>
      </c>
      <c r="E41" s="5">
        <v>108.91302480270809</v>
      </c>
      <c r="F41" s="5">
        <v>82.503246879678855</v>
      </c>
      <c r="G41" s="1">
        <v>72.122645636206698</v>
      </c>
      <c r="H41" s="1">
        <v>145.1540588550547</v>
      </c>
    </row>
    <row r="42" spans="3:14" ht="17.25" x14ac:dyDescent="0.25">
      <c r="C42" s="3">
        <v>105</v>
      </c>
      <c r="D42" s="4">
        <v>102.3843406965733</v>
      </c>
      <c r="E42" s="5">
        <v>141.5465431058968</v>
      </c>
      <c r="F42" s="5">
        <v>91.849667022084603</v>
      </c>
      <c r="G42" s="1">
        <v>145.56805314864278</v>
      </c>
      <c r="H42" s="1">
        <v>133.94796361183967</v>
      </c>
    </row>
    <row r="43" spans="3:14" ht="17.25" x14ac:dyDescent="0.25">
      <c r="C43" s="3">
        <v>105</v>
      </c>
      <c r="D43" s="4">
        <v>91.57375257353624</v>
      </c>
      <c r="E43" s="5">
        <v>93.339969311346962</v>
      </c>
      <c r="F43" s="5">
        <v>98.599322623768671</v>
      </c>
      <c r="G43" s="1">
        <v>117.07021638666356</v>
      </c>
      <c r="H43" s="1">
        <v>97.259237405316981</v>
      </c>
    </row>
    <row r="44" spans="3:14" ht="17.25" x14ac:dyDescent="0.25">
      <c r="C44" s="3">
        <v>132</v>
      </c>
      <c r="D44" s="4">
        <v>130.31613771205684</v>
      </c>
      <c r="E44" s="5">
        <v>133.02904326984111</v>
      </c>
      <c r="F44" s="5">
        <v>148.92937976894333</v>
      </c>
      <c r="G44" s="1">
        <v>127.46181924146815</v>
      </c>
      <c r="H44" s="1">
        <v>123.06469254930369</v>
      </c>
    </row>
    <row r="45" spans="3:14" ht="17.25" x14ac:dyDescent="0.25">
      <c r="C45" s="3">
        <v>95</v>
      </c>
      <c r="D45" s="4">
        <v>124.11543829585776</v>
      </c>
      <c r="E45" s="5">
        <v>140.97345010552499</v>
      </c>
      <c r="F45" s="5">
        <v>143.67858450438862</v>
      </c>
      <c r="G45" s="1">
        <v>143.57895627580592</v>
      </c>
      <c r="H45" s="1">
        <v>107.03799207953682</v>
      </c>
    </row>
    <row r="46" spans="3:14" ht="17.25" x14ac:dyDescent="0.25">
      <c r="C46" s="3">
        <v>105</v>
      </c>
      <c r="D46" s="4">
        <v>114.96226594755763</v>
      </c>
      <c r="E46" s="5">
        <v>126.81410064327511</v>
      </c>
      <c r="F46" s="5">
        <v>144.3543213490569</v>
      </c>
      <c r="G46" s="1">
        <v>131.41132724357294</v>
      </c>
      <c r="H46" s="1">
        <v>125.89660838587383</v>
      </c>
    </row>
    <row r="47" spans="3:14" ht="17.25" x14ac:dyDescent="0.25">
      <c r="C47" s="3">
        <v>109</v>
      </c>
      <c r="D47" s="4">
        <v>108.99415964159812</v>
      </c>
      <c r="E47" s="5">
        <v>108.89224636429086</v>
      </c>
      <c r="F47" s="5">
        <v>115.92820008645519</v>
      </c>
      <c r="G47" s="1">
        <v>101.24844077034913</v>
      </c>
      <c r="H47" s="1">
        <v>104.07590204351754</v>
      </c>
    </row>
    <row r="48" spans="3:14" ht="17.25" x14ac:dyDescent="0.25">
      <c r="C48" s="3">
        <v>111</v>
      </c>
      <c r="D48" s="4">
        <v>150.75892375369995</v>
      </c>
      <c r="E48" s="5">
        <v>126.33112764212643</v>
      </c>
      <c r="F48" s="5">
        <v>104.84908482868771</v>
      </c>
      <c r="G48" s="1">
        <v>136.11793376748074</v>
      </c>
      <c r="H48" s="1">
        <v>122.36809244153062</v>
      </c>
    </row>
    <row r="49" spans="3:8" ht="17.25" x14ac:dyDescent="0.25">
      <c r="C49" s="3">
        <v>89</v>
      </c>
      <c r="D49" s="4">
        <v>86.13156525958982</v>
      </c>
      <c r="E49" s="5">
        <v>80.400404686198982</v>
      </c>
      <c r="F49" s="5">
        <v>82.584267043693998</v>
      </c>
      <c r="G49" s="1">
        <v>98.422590112757348</v>
      </c>
      <c r="H49" s="1">
        <v>77.714594351920766</v>
      </c>
    </row>
    <row r="50" spans="3:8" ht="17.25" x14ac:dyDescent="0.25">
      <c r="C50" s="3">
        <v>133</v>
      </c>
      <c r="D50" s="4">
        <v>136.63575905499124</v>
      </c>
      <c r="E50" s="5">
        <v>117.85249162413695</v>
      </c>
      <c r="F50" s="5">
        <v>129.17812340742674</v>
      </c>
      <c r="G50" s="1">
        <v>102.01859501454612</v>
      </c>
      <c r="H50" s="1">
        <v>129.0544027499372</v>
      </c>
    </row>
    <row r="51" spans="3:8" ht="17.25" x14ac:dyDescent="0.25">
      <c r="C51" s="3">
        <v>93</v>
      </c>
      <c r="D51" s="4">
        <v>90.946563200401442</v>
      </c>
      <c r="E51" s="5">
        <v>101.4551800178341</v>
      </c>
      <c r="F51" s="5">
        <v>91.426830317230952</v>
      </c>
      <c r="G51" s="1">
        <v>94.4485736108212</v>
      </c>
      <c r="H51" s="1">
        <v>93.813345778329278</v>
      </c>
    </row>
    <row r="52" spans="3:8" ht="17.25" x14ac:dyDescent="0.25">
      <c r="C52" s="3">
        <v>307</v>
      </c>
      <c r="D52" s="4">
        <v>311.73858647308225</v>
      </c>
      <c r="E52" s="5">
        <v>300.49112527370249</v>
      </c>
      <c r="F52" s="5">
        <v>289.20608524226964</v>
      </c>
      <c r="G52" s="1">
        <v>313.25778764405339</v>
      </c>
      <c r="H52" s="1">
        <v>293.2736932403327</v>
      </c>
    </row>
    <row r="53" spans="3:8" ht="17.25" x14ac:dyDescent="0.25">
      <c r="C53" s="3">
        <v>267</v>
      </c>
      <c r="D53" s="4">
        <v>261.32102521709726</v>
      </c>
      <c r="E53" s="5">
        <v>276.60607557556267</v>
      </c>
      <c r="F53" s="5">
        <v>242.7817414665823</v>
      </c>
      <c r="G53" s="1">
        <v>234.92543886369731</v>
      </c>
      <c r="H53" s="1">
        <v>260.52603872008694</v>
      </c>
    </row>
    <row r="54" spans="3:8" ht="17.25" x14ac:dyDescent="0.25">
      <c r="C54" s="3">
        <v>222</v>
      </c>
      <c r="D54" s="4">
        <v>156.15034738026293</v>
      </c>
      <c r="E54" s="5">
        <v>139.21540379417658</v>
      </c>
      <c r="F54" s="5">
        <v>140.37530348814155</v>
      </c>
      <c r="G54" s="1">
        <v>147.61478249331321</v>
      </c>
      <c r="H54" s="1">
        <v>120.38788552892174</v>
      </c>
    </row>
    <row r="55" spans="3:8" ht="17.25" x14ac:dyDescent="0.25">
      <c r="C55" s="3">
        <v>198</v>
      </c>
      <c r="D55" s="4">
        <v>200.84675827762817</v>
      </c>
      <c r="E55" s="5">
        <v>160.65358464858161</v>
      </c>
      <c r="F55" s="5">
        <v>227.74484928201059</v>
      </c>
      <c r="G55" s="1">
        <v>141.73121872212005</v>
      </c>
      <c r="H55" s="1">
        <v>209.14333957430063</v>
      </c>
    </row>
    <row r="56" spans="3:8" ht="17.25" x14ac:dyDescent="0.25">
      <c r="C56" s="3">
        <v>94</v>
      </c>
      <c r="D56" s="4">
        <v>100.81997320194341</v>
      </c>
      <c r="E56" s="5">
        <v>82.467116071813507</v>
      </c>
      <c r="F56" s="5">
        <v>98.620140034202706</v>
      </c>
      <c r="G56" s="1">
        <v>124.55498673170609</v>
      </c>
      <c r="H56" s="1">
        <v>99.675598174476818</v>
      </c>
    </row>
    <row r="57" spans="3:8" ht="17.25" x14ac:dyDescent="0.25">
      <c r="C57" s="3"/>
      <c r="D57" s="4"/>
      <c r="E57" s="5"/>
      <c r="F57" s="5"/>
    </row>
    <row r="58" spans="3:8" ht="17.25" x14ac:dyDescent="0.25">
      <c r="C58" s="3"/>
      <c r="D58" s="4"/>
      <c r="E58" s="5"/>
      <c r="F58" s="5"/>
    </row>
    <row r="59" spans="3:8" ht="17.25" x14ac:dyDescent="0.25">
      <c r="C59" s="3"/>
      <c r="D59" s="4"/>
      <c r="E59" s="5"/>
      <c r="F59" s="5"/>
    </row>
    <row r="60" spans="3:8" ht="17.25" x14ac:dyDescent="0.25">
      <c r="C60" s="3"/>
      <c r="D60" s="4"/>
      <c r="E60" s="5"/>
      <c r="F60" s="5"/>
    </row>
    <row r="61" spans="3:8" ht="17.25" x14ac:dyDescent="0.25">
      <c r="C61" s="3"/>
      <c r="D61" s="4"/>
      <c r="E61" s="5"/>
      <c r="F61" s="5"/>
    </row>
    <row r="62" spans="3:8" ht="17.25" x14ac:dyDescent="0.25">
      <c r="C62" s="3"/>
      <c r="D62" s="4"/>
      <c r="E62" s="5"/>
      <c r="F62" s="5"/>
    </row>
    <row r="63" spans="3:8" ht="17.25" x14ac:dyDescent="0.25">
      <c r="C63" s="3"/>
      <c r="D63" s="4"/>
      <c r="E63" s="5"/>
      <c r="F63" s="5"/>
    </row>
    <row r="64" spans="3:8" ht="17.25" x14ac:dyDescent="0.25">
      <c r="C64" s="3"/>
      <c r="D64" s="4"/>
      <c r="E64" s="5"/>
      <c r="F64" s="5"/>
    </row>
    <row r="65" spans="3:6" ht="17.25" x14ac:dyDescent="0.25">
      <c r="C65" s="3"/>
      <c r="D65" s="4"/>
      <c r="E65" s="5"/>
      <c r="F65" s="5"/>
    </row>
    <row r="66" spans="3:6" ht="17.25" x14ac:dyDescent="0.25">
      <c r="C66" s="3"/>
      <c r="D66" s="4"/>
      <c r="E66" s="5"/>
      <c r="F66" s="5"/>
    </row>
    <row r="67" spans="3:6" ht="17.25" x14ac:dyDescent="0.25">
      <c r="C67" s="3"/>
      <c r="D67" s="4"/>
      <c r="E67" s="5"/>
      <c r="F67" s="5"/>
    </row>
    <row r="68" spans="3:6" ht="17.25" x14ac:dyDescent="0.25">
      <c r="C68" s="3"/>
      <c r="D68" s="4"/>
      <c r="E68" s="5"/>
      <c r="F68" s="5"/>
    </row>
    <row r="69" spans="3:6" ht="17.25" x14ac:dyDescent="0.25">
      <c r="C69" s="3"/>
      <c r="D69" s="4"/>
      <c r="E69" s="5"/>
      <c r="F69" s="5"/>
    </row>
    <row r="70" spans="3:6" ht="17.25" x14ac:dyDescent="0.25">
      <c r="C70" s="3"/>
      <c r="D70" s="4"/>
      <c r="E70" s="5"/>
      <c r="F70" s="5"/>
    </row>
    <row r="71" spans="3:6" ht="17.25" x14ac:dyDescent="0.25">
      <c r="C71" s="3"/>
      <c r="D71" s="4"/>
      <c r="E71" s="5"/>
      <c r="F71" s="5"/>
    </row>
    <row r="72" spans="3:6" ht="17.25" x14ac:dyDescent="0.25">
      <c r="C72" s="3"/>
      <c r="D72" s="4"/>
      <c r="E72" s="5"/>
      <c r="F72" s="5"/>
    </row>
    <row r="73" spans="3:6" ht="17.25" x14ac:dyDescent="0.25">
      <c r="C73" s="3"/>
      <c r="D73" s="4"/>
      <c r="E73" s="5"/>
      <c r="F73" s="5"/>
    </row>
    <row r="74" spans="3:6" ht="17.25" x14ac:dyDescent="0.25">
      <c r="C74" s="3"/>
      <c r="D74" s="4"/>
      <c r="E74" s="5"/>
      <c r="F74" s="5"/>
    </row>
    <row r="75" spans="3:6" ht="17.25" x14ac:dyDescent="0.25">
      <c r="C75" s="3"/>
      <c r="D75" s="4"/>
      <c r="E75" s="5"/>
      <c r="F75" s="5"/>
    </row>
    <row r="76" spans="3:6" ht="17.25" x14ac:dyDescent="0.25">
      <c r="C76" s="3"/>
      <c r="D76" s="4"/>
      <c r="E76" s="5"/>
      <c r="F76" s="5"/>
    </row>
    <row r="77" spans="3:6" ht="17.25" x14ac:dyDescent="0.25">
      <c r="C77" s="3"/>
      <c r="D77" s="4"/>
      <c r="E77" s="5"/>
      <c r="F77" s="5"/>
    </row>
    <row r="78" spans="3:6" ht="17.25" x14ac:dyDescent="0.25">
      <c r="C78" s="3"/>
      <c r="D78" s="4"/>
      <c r="E78" s="5"/>
      <c r="F78" s="5"/>
    </row>
    <row r="79" spans="3:6" ht="17.25" x14ac:dyDescent="0.25">
      <c r="C79" s="3"/>
      <c r="D79" s="4"/>
      <c r="E79" s="5"/>
      <c r="F79" s="5"/>
    </row>
    <row r="80" spans="3:6" ht="17.25" x14ac:dyDescent="0.25">
      <c r="C80" s="3"/>
      <c r="D80" s="4"/>
      <c r="E80" s="5"/>
      <c r="F80" s="5"/>
    </row>
    <row r="81" spans="3:6" ht="17.25" x14ac:dyDescent="0.25">
      <c r="C81" s="3"/>
      <c r="D81" s="4"/>
      <c r="E81" s="5"/>
      <c r="F81" s="5"/>
    </row>
    <row r="82" spans="3:6" ht="17.25" x14ac:dyDescent="0.25">
      <c r="C82" s="3"/>
      <c r="D82" s="4"/>
      <c r="E82" s="5"/>
      <c r="F82" s="5"/>
    </row>
    <row r="83" spans="3:6" ht="17.25" x14ac:dyDescent="0.25">
      <c r="C83" s="3"/>
      <c r="D83" s="4"/>
      <c r="E83" s="5"/>
      <c r="F83" s="5"/>
    </row>
    <row r="84" spans="3:6" ht="17.25" x14ac:dyDescent="0.25">
      <c r="C84" s="3"/>
      <c r="D84" s="4"/>
      <c r="E84" s="5"/>
      <c r="F84" s="5"/>
    </row>
    <row r="85" spans="3:6" ht="17.25" x14ac:dyDescent="0.25">
      <c r="C85" s="3"/>
      <c r="D85" s="4"/>
      <c r="E85" s="5"/>
      <c r="F85" s="5"/>
    </row>
    <row r="86" spans="3:6" ht="17.25" x14ac:dyDescent="0.25">
      <c r="C86" s="3"/>
      <c r="D86" s="4"/>
      <c r="E86" s="5"/>
      <c r="F86" s="5"/>
    </row>
    <row r="87" spans="3:6" ht="17.25" x14ac:dyDescent="0.25">
      <c r="C87" s="3"/>
      <c r="D87" s="4"/>
      <c r="E87" s="5"/>
      <c r="F87" s="5"/>
    </row>
    <row r="88" spans="3:6" ht="17.25" x14ac:dyDescent="0.25">
      <c r="C88" s="3"/>
      <c r="D88" s="4"/>
      <c r="E88" s="5"/>
      <c r="F88" s="5"/>
    </row>
    <row r="89" spans="3:6" ht="17.25" x14ac:dyDescent="0.25">
      <c r="C89" s="3"/>
      <c r="D89" s="4"/>
      <c r="E89" s="5"/>
      <c r="F89" s="5"/>
    </row>
    <row r="90" spans="3:6" ht="17.25" x14ac:dyDescent="0.25">
      <c r="C90" s="3"/>
      <c r="D90" s="4"/>
      <c r="E90" s="5"/>
      <c r="F90" s="5"/>
    </row>
    <row r="91" spans="3:6" ht="17.25" x14ac:dyDescent="0.25">
      <c r="C91" s="3"/>
      <c r="D91" s="4"/>
      <c r="E91" s="5"/>
      <c r="F91" s="5"/>
    </row>
    <row r="92" spans="3:6" ht="17.25" x14ac:dyDescent="0.25">
      <c r="C92" s="3"/>
      <c r="D92" s="4"/>
      <c r="E92" s="5"/>
      <c r="F92" s="5"/>
    </row>
    <row r="93" spans="3:6" ht="17.25" x14ac:dyDescent="0.25">
      <c r="C93" s="3"/>
      <c r="D93" s="4"/>
      <c r="E93" s="5"/>
      <c r="F93" s="5"/>
    </row>
    <row r="94" spans="3:6" ht="17.25" x14ac:dyDescent="0.25">
      <c r="C94" s="3"/>
      <c r="D94" s="4"/>
      <c r="E94" s="5"/>
      <c r="F94" s="5"/>
    </row>
    <row r="95" spans="3:6" ht="17.25" x14ac:dyDescent="0.25">
      <c r="C95" s="3"/>
      <c r="D95" s="4"/>
      <c r="E95" s="5"/>
      <c r="F95" s="5"/>
    </row>
    <row r="96" spans="3:6" ht="17.25" x14ac:dyDescent="0.25">
      <c r="C96" s="3"/>
      <c r="D96" s="4"/>
      <c r="E96" s="5"/>
      <c r="F96" s="5"/>
    </row>
    <row r="97" spans="3:6" ht="17.25" x14ac:dyDescent="0.25">
      <c r="C97" s="3"/>
      <c r="D97" s="4"/>
      <c r="E97" s="5"/>
      <c r="F97" s="5"/>
    </row>
    <row r="98" spans="3:6" ht="17.25" x14ac:dyDescent="0.25">
      <c r="C98" s="3"/>
      <c r="D98" s="4"/>
      <c r="E98" s="5"/>
      <c r="F98" s="5"/>
    </row>
    <row r="99" spans="3:6" ht="17.25" x14ac:dyDescent="0.25">
      <c r="C99" s="3"/>
      <c r="D99" s="4"/>
      <c r="E99" s="5"/>
      <c r="F99" s="5"/>
    </row>
    <row r="100" spans="3:6" ht="17.25" x14ac:dyDescent="0.25">
      <c r="C100" s="3"/>
      <c r="D100" s="4"/>
      <c r="E100" s="5"/>
      <c r="F100" s="5"/>
    </row>
    <row r="101" spans="3:6" ht="17.25" x14ac:dyDescent="0.25">
      <c r="C101" s="3"/>
      <c r="D101" s="4"/>
      <c r="E101" s="5"/>
      <c r="F101" s="5"/>
    </row>
    <row r="102" spans="3:6" ht="17.25" x14ac:dyDescent="0.25">
      <c r="C102" s="3"/>
      <c r="D102" s="4"/>
      <c r="E102" s="5"/>
      <c r="F102" s="5"/>
    </row>
    <row r="103" spans="3:6" ht="17.25" x14ac:dyDescent="0.25">
      <c r="C103" s="3"/>
      <c r="D103" s="4"/>
      <c r="E103" s="5"/>
      <c r="F103" s="5"/>
    </row>
    <row r="104" spans="3:6" ht="17.25" x14ac:dyDescent="0.25">
      <c r="C104" s="3"/>
      <c r="D104" s="4"/>
      <c r="E104" s="5"/>
      <c r="F104" s="5"/>
    </row>
    <row r="105" spans="3:6" ht="17.25" x14ac:dyDescent="0.25">
      <c r="C105" s="3"/>
      <c r="D105" s="4"/>
      <c r="E105" s="5"/>
      <c r="F105" s="5"/>
    </row>
    <row r="106" spans="3:6" ht="17.25" x14ac:dyDescent="0.25">
      <c r="C106" s="3"/>
      <c r="D106" s="4"/>
      <c r="E106" s="5"/>
      <c r="F106" s="5"/>
    </row>
    <row r="107" spans="3:6" ht="17.25" x14ac:dyDescent="0.25">
      <c r="C107" s="3"/>
      <c r="D107" s="4"/>
      <c r="E107" s="5"/>
      <c r="F107" s="5"/>
    </row>
    <row r="108" spans="3:6" ht="17.25" x14ac:dyDescent="0.25">
      <c r="C108" s="3"/>
      <c r="D108" s="4"/>
      <c r="E108" s="5"/>
      <c r="F108" s="5"/>
    </row>
    <row r="109" spans="3:6" ht="17.25" x14ac:dyDescent="0.25">
      <c r="C109" s="3"/>
      <c r="D109" s="4"/>
      <c r="E109" s="5"/>
      <c r="F109" s="5"/>
    </row>
    <row r="110" spans="3:6" ht="17.25" x14ac:dyDescent="0.25">
      <c r="C110" s="3"/>
      <c r="D110" s="4"/>
      <c r="E110" s="5"/>
      <c r="F110" s="5"/>
    </row>
    <row r="111" spans="3:6" ht="17.25" x14ac:dyDescent="0.25">
      <c r="C111" s="3"/>
      <c r="D111" s="4"/>
      <c r="E111" s="5"/>
      <c r="F111" s="5"/>
    </row>
    <row r="112" spans="3:6" ht="17.25" x14ac:dyDescent="0.25">
      <c r="C112" s="3"/>
      <c r="D112" s="4"/>
      <c r="E112" s="5"/>
      <c r="F112" s="5"/>
    </row>
    <row r="113" spans="3:6" ht="17.25" x14ac:dyDescent="0.25">
      <c r="C113" s="3"/>
      <c r="D113" s="4"/>
      <c r="E113" s="5"/>
      <c r="F113" s="5"/>
    </row>
    <row r="114" spans="3:6" ht="17.25" x14ac:dyDescent="0.25">
      <c r="C114" s="3"/>
      <c r="D114" s="4"/>
      <c r="E114" s="5"/>
      <c r="F114" s="5"/>
    </row>
    <row r="115" spans="3:6" ht="17.25" x14ac:dyDescent="0.25">
      <c r="C115" s="3"/>
      <c r="D115" s="4"/>
      <c r="E115" s="5"/>
      <c r="F115" s="5"/>
    </row>
    <row r="116" spans="3:6" ht="17.25" x14ac:dyDescent="0.25">
      <c r="C116" s="3"/>
      <c r="D116" s="4"/>
      <c r="E116" s="5"/>
      <c r="F116" s="5"/>
    </row>
    <row r="117" spans="3:6" ht="17.25" x14ac:dyDescent="0.25">
      <c r="C117" s="3"/>
      <c r="D117" s="4"/>
      <c r="E117" s="5"/>
      <c r="F117" s="5"/>
    </row>
    <row r="118" spans="3:6" ht="17.25" x14ac:dyDescent="0.25">
      <c r="C118" s="3"/>
      <c r="D118" s="4"/>
      <c r="E118" s="5"/>
      <c r="F118" s="5"/>
    </row>
    <row r="119" spans="3:6" ht="17.25" x14ac:dyDescent="0.25">
      <c r="C119" s="3"/>
      <c r="D119" s="4"/>
      <c r="E119" s="5"/>
      <c r="F119" s="5"/>
    </row>
    <row r="120" spans="3:6" ht="17.25" x14ac:dyDescent="0.25">
      <c r="C120" s="3"/>
      <c r="D120" s="4"/>
      <c r="E120" s="5"/>
      <c r="F120" s="5"/>
    </row>
    <row r="121" spans="3:6" ht="17.25" x14ac:dyDescent="0.25">
      <c r="C121" s="3"/>
      <c r="D121" s="4"/>
      <c r="E121" s="5"/>
      <c r="F121" s="5"/>
    </row>
    <row r="122" spans="3:6" ht="17.25" x14ac:dyDescent="0.25">
      <c r="C122" s="3"/>
      <c r="D122" s="4"/>
      <c r="E122" s="5"/>
      <c r="F122" s="5"/>
    </row>
    <row r="123" spans="3:6" ht="17.25" x14ac:dyDescent="0.25">
      <c r="C123" s="3"/>
      <c r="D123" s="4"/>
      <c r="E123" s="5"/>
      <c r="F123" s="5"/>
    </row>
    <row r="124" spans="3:6" ht="17.25" x14ac:dyDescent="0.25">
      <c r="C124" s="3"/>
      <c r="D124" s="4"/>
      <c r="E124" s="5"/>
      <c r="F124" s="5"/>
    </row>
    <row r="125" spans="3:6" ht="17.25" x14ac:dyDescent="0.25">
      <c r="C125" s="3"/>
      <c r="D125" s="4"/>
      <c r="E125" s="5"/>
      <c r="F125" s="5"/>
    </row>
    <row r="126" spans="3:6" ht="17.25" x14ac:dyDescent="0.25">
      <c r="C126" s="3"/>
      <c r="D126" s="4"/>
      <c r="E126" s="5"/>
      <c r="F126" s="5"/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1"/>
  <sheetViews>
    <sheetView topLeftCell="A33" zoomScale="70" zoomScaleNormal="70" workbookViewId="0">
      <selection activeCell="C38" sqref="C38"/>
    </sheetView>
  </sheetViews>
  <sheetFormatPr defaultRowHeight="16.5" x14ac:dyDescent="0.25"/>
  <cols>
    <col min="1" max="1" width="9" style="1"/>
    <col min="2" max="2" width="8.5" style="1" customWidth="1"/>
    <col min="3" max="3" width="8.375" style="1" customWidth="1"/>
    <col min="4" max="4" width="9" style="1"/>
    <col min="5" max="8" width="12.125" style="1" customWidth="1"/>
    <col min="9" max="9" width="13.125" style="1" customWidth="1"/>
    <col min="10" max="10" width="14.125" style="1" customWidth="1"/>
    <col min="11" max="12" width="13.25" style="1" customWidth="1"/>
    <col min="13" max="13" width="12.375" style="1" customWidth="1"/>
    <col min="14" max="14" width="12.125" style="1" customWidth="1"/>
    <col min="15" max="15" width="11.5" style="1" customWidth="1"/>
    <col min="16" max="16" width="9" style="1"/>
    <col min="17" max="17" width="10.625" style="1" bestFit="1" customWidth="1"/>
    <col min="18" max="18" width="8.25" style="1" customWidth="1"/>
    <col min="19" max="19" width="9" style="1"/>
    <col min="20" max="20" width="9.5" style="1" customWidth="1"/>
    <col min="21" max="16384" width="9" style="1"/>
  </cols>
  <sheetData>
    <row r="1" spans="4:16" x14ac:dyDescent="0.25">
      <c r="D1" s="1" t="s">
        <v>4</v>
      </c>
      <c r="H1" s="1" t="s">
        <v>5</v>
      </c>
    </row>
    <row r="2" spans="4:16" x14ac:dyDescent="0.25">
      <c r="D2" s="1" t="s">
        <v>6</v>
      </c>
      <c r="E2" s="1" t="s">
        <v>7</v>
      </c>
      <c r="F2" s="1" t="s">
        <v>8</v>
      </c>
      <c r="G2" s="1" t="s">
        <v>0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2</v>
      </c>
      <c r="P2" s="1" t="s">
        <v>0</v>
      </c>
    </row>
    <row r="3" spans="4:16" x14ac:dyDescent="0.25">
      <c r="D3" s="1">
        <v>0</v>
      </c>
      <c r="E3" s="1">
        <v>0</v>
      </c>
      <c r="H3" s="1">
        <v>50</v>
      </c>
    </row>
    <row r="4" spans="4:16" x14ac:dyDescent="0.25">
      <c r="D4" s="1">
        <v>30</v>
      </c>
      <c r="E4" s="1">
        <v>30</v>
      </c>
      <c r="H4" s="1">
        <v>50</v>
      </c>
    </row>
    <row r="5" spans="4:16" x14ac:dyDescent="0.25">
      <c r="D5" s="1">
        <v>140</v>
      </c>
      <c r="E5" s="1">
        <v>140</v>
      </c>
      <c r="H5" s="1">
        <v>170</v>
      </c>
    </row>
    <row r="6" spans="4:16" x14ac:dyDescent="0.25">
      <c r="D6" s="1">
        <v>280</v>
      </c>
      <c r="E6" s="1">
        <v>280</v>
      </c>
      <c r="H6" s="1">
        <v>380</v>
      </c>
    </row>
    <row r="7" spans="4:16" x14ac:dyDescent="0.25">
      <c r="D7" s="1">
        <v>860</v>
      </c>
      <c r="E7" s="1">
        <v>430</v>
      </c>
      <c r="H7" s="1">
        <v>1100</v>
      </c>
    </row>
    <row r="8" spans="4:16" x14ac:dyDescent="0.25">
      <c r="D8" s="1">
        <v>120</v>
      </c>
      <c r="E8" s="1">
        <v>120</v>
      </c>
      <c r="K8" s="1">
        <v>0</v>
      </c>
    </row>
    <row r="9" spans="4:16" x14ac:dyDescent="0.25">
      <c r="D9" s="1">
        <v>120</v>
      </c>
      <c r="E9" s="1">
        <v>120</v>
      </c>
      <c r="K9" s="1">
        <v>30</v>
      </c>
    </row>
    <row r="10" spans="4:16" x14ac:dyDescent="0.25">
      <c r="D10" s="1">
        <v>260</v>
      </c>
      <c r="E10" s="1">
        <v>260</v>
      </c>
      <c r="K10" s="1">
        <v>130</v>
      </c>
    </row>
    <row r="11" spans="4:16" x14ac:dyDescent="0.25">
      <c r="D11" s="1">
        <v>550</v>
      </c>
      <c r="E11" s="1">
        <v>550</v>
      </c>
      <c r="K11" s="1">
        <v>250</v>
      </c>
    </row>
    <row r="12" spans="4:16" x14ac:dyDescent="0.25">
      <c r="D12" s="1">
        <v>50</v>
      </c>
      <c r="I12" s="1">
        <v>0</v>
      </c>
    </row>
    <row r="13" spans="4:16" x14ac:dyDescent="0.25">
      <c r="D13" s="1">
        <v>50</v>
      </c>
      <c r="I13" s="1">
        <v>30</v>
      </c>
    </row>
    <row r="14" spans="4:16" x14ac:dyDescent="0.25">
      <c r="D14" s="1">
        <v>170</v>
      </c>
      <c r="I14" s="1">
        <v>145</v>
      </c>
    </row>
    <row r="15" spans="4:16" x14ac:dyDescent="0.25">
      <c r="D15" s="1">
        <v>385</v>
      </c>
      <c r="I15" s="1">
        <v>300</v>
      </c>
    </row>
    <row r="16" spans="4:16" x14ac:dyDescent="0.25">
      <c r="D16" s="1">
        <v>550</v>
      </c>
      <c r="I16" s="1">
        <v>450</v>
      </c>
    </row>
    <row r="17" spans="4:14" x14ac:dyDescent="0.25">
      <c r="D17" s="1">
        <v>0</v>
      </c>
      <c r="J17" s="1">
        <v>60</v>
      </c>
    </row>
    <row r="18" spans="4:14" x14ac:dyDescent="0.25">
      <c r="D18" s="1">
        <v>30</v>
      </c>
      <c r="J18" s="1">
        <v>60</v>
      </c>
    </row>
    <row r="19" spans="4:14" x14ac:dyDescent="0.25">
      <c r="D19" s="1">
        <v>50</v>
      </c>
      <c r="J19" s="1">
        <v>80</v>
      </c>
    </row>
    <row r="20" spans="4:14" x14ac:dyDescent="0.25">
      <c r="D20" s="1">
        <v>70</v>
      </c>
      <c r="J20" s="1">
        <v>110</v>
      </c>
    </row>
    <row r="21" spans="4:14" x14ac:dyDescent="0.25">
      <c r="D21" s="1">
        <v>520</v>
      </c>
      <c r="J21" s="1">
        <v>1100</v>
      </c>
    </row>
    <row r="22" spans="4:14" x14ac:dyDescent="0.25">
      <c r="D22" s="1">
        <v>250</v>
      </c>
      <c r="M22" s="1">
        <v>0</v>
      </c>
    </row>
    <row r="23" spans="4:14" x14ac:dyDescent="0.25">
      <c r="D23" s="1">
        <v>250</v>
      </c>
      <c r="M23" s="1">
        <v>40</v>
      </c>
    </row>
    <row r="24" spans="4:14" x14ac:dyDescent="0.25">
      <c r="D24" s="1">
        <v>550</v>
      </c>
      <c r="M24" s="1">
        <v>150</v>
      </c>
    </row>
    <row r="25" spans="4:14" x14ac:dyDescent="0.25">
      <c r="D25" s="1">
        <v>0</v>
      </c>
      <c r="L25" s="1">
        <v>100</v>
      </c>
    </row>
    <row r="26" spans="4:14" x14ac:dyDescent="0.25">
      <c r="D26" s="1">
        <v>25</v>
      </c>
      <c r="L26" s="1">
        <v>100</v>
      </c>
    </row>
    <row r="27" spans="4:14" x14ac:dyDescent="0.25">
      <c r="D27" s="1">
        <v>50</v>
      </c>
      <c r="L27" s="1">
        <v>125</v>
      </c>
    </row>
    <row r="28" spans="4:14" x14ac:dyDescent="0.25">
      <c r="D28" s="1">
        <v>80</v>
      </c>
      <c r="L28" s="1">
        <v>215</v>
      </c>
    </row>
    <row r="29" spans="4:14" x14ac:dyDescent="0.25">
      <c r="D29" s="1">
        <v>250</v>
      </c>
      <c r="L29" s="1">
        <v>1100</v>
      </c>
    </row>
    <row r="30" spans="4:14" x14ac:dyDescent="0.25">
      <c r="D30" s="1">
        <v>0</v>
      </c>
      <c r="N30" s="1">
        <v>150</v>
      </c>
    </row>
    <row r="31" spans="4:14" x14ac:dyDescent="0.25">
      <c r="D31" s="1">
        <v>35</v>
      </c>
      <c r="N31" s="1">
        <v>155</v>
      </c>
    </row>
    <row r="32" spans="4:14" x14ac:dyDescent="0.25">
      <c r="D32" s="1">
        <v>100</v>
      </c>
      <c r="N32" s="1">
        <v>1100</v>
      </c>
    </row>
    <row r="33" spans="1:20" x14ac:dyDescent="0.25">
      <c r="D33" s="1">
        <v>0</v>
      </c>
      <c r="O33" s="1">
        <v>0</v>
      </c>
    </row>
    <row r="34" spans="1:20" x14ac:dyDescent="0.25">
      <c r="D34" s="1">
        <v>550</v>
      </c>
      <c r="O34" s="1">
        <v>550</v>
      </c>
    </row>
    <row r="36" spans="1:20" ht="17.25" thickBot="1" x14ac:dyDescent="0.3"/>
    <row r="37" spans="1:20" ht="17.25" x14ac:dyDescent="0.25">
      <c r="D37" s="2" t="s">
        <v>18</v>
      </c>
      <c r="E37" s="15" t="s">
        <v>42</v>
      </c>
      <c r="F37" s="15" t="s">
        <v>34</v>
      </c>
      <c r="G37" s="15" t="s">
        <v>35</v>
      </c>
      <c r="H37" s="15" t="s">
        <v>54</v>
      </c>
      <c r="I37" s="15" t="s">
        <v>55</v>
      </c>
      <c r="J37" s="15" t="s">
        <v>56</v>
      </c>
      <c r="K37" s="15" t="s">
        <v>57</v>
      </c>
      <c r="L37" s="15" t="s">
        <v>58</v>
      </c>
      <c r="M37" s="15" t="s">
        <v>59</v>
      </c>
      <c r="N37" s="15" t="s">
        <v>60</v>
      </c>
      <c r="O37" s="15" t="s">
        <v>61</v>
      </c>
      <c r="P37" s="22" t="s">
        <v>62</v>
      </c>
      <c r="Q37" s="24"/>
      <c r="R37" s="25" t="s">
        <v>64</v>
      </c>
      <c r="S37" s="25" t="s">
        <v>65</v>
      </c>
      <c r="T37" s="26" t="s">
        <v>66</v>
      </c>
    </row>
    <row r="38" spans="1:20" ht="17.25" x14ac:dyDescent="0.25">
      <c r="A38" s="21">
        <f>E38/D38-1</f>
        <v>0.3299989480748724</v>
      </c>
      <c r="B38" t="s">
        <v>36</v>
      </c>
      <c r="C38" s="21" t="str">
        <f>IF(OR(A38&gt;=20%,A38&lt;=-20%),"B","A")</f>
        <v>B</v>
      </c>
      <c r="D38">
        <v>94</v>
      </c>
      <c r="E38">
        <v>125.019901119038</v>
      </c>
      <c r="F38"/>
      <c r="G38" s="5"/>
      <c r="Q38" s="28" t="s">
        <v>67</v>
      </c>
      <c r="R38" s="23">
        <f>COUNTIF(C38:C261,"A")</f>
        <v>136</v>
      </c>
      <c r="S38" s="23">
        <f>COUNTIF(C38:C261,"B")</f>
        <v>87</v>
      </c>
      <c r="T38" s="27">
        <v>224</v>
      </c>
    </row>
    <row r="39" spans="1:20" ht="18" thickBot="1" x14ac:dyDescent="0.3">
      <c r="A39" s="21">
        <f t="shared" ref="A39:A102" si="0">E39/D39-1</f>
        <v>-7.2962934633273191E-2</v>
      </c>
      <c r="B39" t="s">
        <v>36</v>
      </c>
      <c r="C39" s="21" t="str">
        <f t="shared" ref="C39:C102" si="1">IF(OR(A39&gt;=20%,A39&lt;=-20%),"B","A")</f>
        <v>A</v>
      </c>
      <c r="D39">
        <v>194</v>
      </c>
      <c r="E39">
        <v>179.845190681145</v>
      </c>
      <c r="F39">
        <v>179.845190681145</v>
      </c>
      <c r="G39" s="5"/>
      <c r="Q39" s="29" t="s">
        <v>68</v>
      </c>
      <c r="R39" s="31">
        <f>R38/T38</f>
        <v>0.6071428571428571</v>
      </c>
      <c r="S39" s="31">
        <f>S38/T38</f>
        <v>0.38839285714285715</v>
      </c>
      <c r="T39" s="30">
        <f>R39+S39</f>
        <v>0.99553571428571419</v>
      </c>
    </row>
    <row r="40" spans="1:20" ht="17.25" x14ac:dyDescent="0.25">
      <c r="A40" s="21">
        <f t="shared" si="0"/>
        <v>0.13432970168521186</v>
      </c>
      <c r="B40" t="s">
        <v>36</v>
      </c>
      <c r="C40" s="21" t="str">
        <f t="shared" si="1"/>
        <v>A</v>
      </c>
      <c r="D40">
        <v>151</v>
      </c>
      <c r="E40">
        <v>171.283784954467</v>
      </c>
      <c r="F40">
        <v>171.283784954467</v>
      </c>
      <c r="G40" s="5"/>
      <c r="Q40" s="21"/>
      <c r="R40" s="21"/>
    </row>
    <row r="41" spans="1:20" ht="17.25" x14ac:dyDescent="0.25">
      <c r="A41" s="21">
        <f t="shared" si="0"/>
        <v>0.6237512193266459</v>
      </c>
      <c r="B41" t="s">
        <v>36</v>
      </c>
      <c r="C41" s="21" t="str">
        <f t="shared" si="1"/>
        <v>B</v>
      </c>
      <c r="D41">
        <v>96</v>
      </c>
      <c r="E41">
        <v>155.880117055358</v>
      </c>
      <c r="F41"/>
      <c r="G41" s="5"/>
      <c r="Q41" s="21"/>
      <c r="R41" s="21"/>
    </row>
    <row r="42" spans="1:20" ht="17.25" x14ac:dyDescent="0.25">
      <c r="A42" s="21">
        <f t="shared" si="0"/>
        <v>0.16134863934779564</v>
      </c>
      <c r="B42" t="s">
        <v>36</v>
      </c>
      <c r="C42" s="21" t="str">
        <f t="shared" si="1"/>
        <v>A</v>
      </c>
      <c r="D42">
        <v>132</v>
      </c>
      <c r="E42">
        <v>153.29802039390901</v>
      </c>
      <c r="F42">
        <v>153.29802039390901</v>
      </c>
      <c r="G42" s="5"/>
      <c r="Q42" s="21"/>
      <c r="R42" s="21"/>
    </row>
    <row r="43" spans="1:20" ht="17.25" x14ac:dyDescent="0.25">
      <c r="A43" s="21">
        <f t="shared" si="0"/>
        <v>0.45965043212128687</v>
      </c>
      <c r="B43" t="s">
        <v>36</v>
      </c>
      <c r="C43" s="21" t="str">
        <f t="shared" si="1"/>
        <v>B</v>
      </c>
      <c r="D43">
        <v>115</v>
      </c>
      <c r="E43">
        <v>167.85979969394799</v>
      </c>
      <c r="F43"/>
      <c r="G43" s="5"/>
      <c r="Q43" s="21"/>
      <c r="R43" s="21"/>
    </row>
    <row r="44" spans="1:20" ht="17.25" x14ac:dyDescent="0.25">
      <c r="A44" s="21">
        <f t="shared" si="0"/>
        <v>0.28538760856216672</v>
      </c>
      <c r="B44" t="s">
        <v>36</v>
      </c>
      <c r="C44" s="21" t="str">
        <f t="shared" si="1"/>
        <v>B</v>
      </c>
      <c r="D44">
        <v>90</v>
      </c>
      <c r="E44">
        <v>115.684884770595</v>
      </c>
      <c r="F44"/>
      <c r="G44" s="5"/>
      <c r="Q44" s="21"/>
      <c r="R44" s="21"/>
    </row>
    <row r="45" spans="1:20" ht="17.25" x14ac:dyDescent="0.25">
      <c r="A45" s="21">
        <f t="shared" si="0"/>
        <v>-0.17716448142780405</v>
      </c>
      <c r="B45" t="s">
        <v>36</v>
      </c>
      <c r="C45" s="21" t="str">
        <f t="shared" si="1"/>
        <v>A</v>
      </c>
      <c r="D45">
        <v>199</v>
      </c>
      <c r="E45">
        <v>163.74426819586699</v>
      </c>
      <c r="F45">
        <v>163.74426819586699</v>
      </c>
      <c r="G45" s="5"/>
      <c r="Q45" s="21"/>
      <c r="R45" s="21"/>
    </row>
    <row r="46" spans="1:20" ht="17.25" x14ac:dyDescent="0.25">
      <c r="A46" s="21">
        <f t="shared" si="0"/>
        <v>-9.8199359217411186E-2</v>
      </c>
      <c r="B46" t="s">
        <v>36</v>
      </c>
      <c r="C46" s="21" t="str">
        <f t="shared" si="1"/>
        <v>A</v>
      </c>
      <c r="D46">
        <v>197</v>
      </c>
      <c r="E46">
        <v>177.65472623417</v>
      </c>
      <c r="F46">
        <v>177.65472623417</v>
      </c>
      <c r="G46" s="5"/>
      <c r="Q46" s="21"/>
      <c r="R46" s="21"/>
    </row>
    <row r="47" spans="1:20" ht="17.25" x14ac:dyDescent="0.25">
      <c r="A47" s="21">
        <f t="shared" si="0"/>
        <v>0.94744201237174996</v>
      </c>
      <c r="B47" t="s">
        <v>43</v>
      </c>
      <c r="C47" s="21" t="s">
        <v>69</v>
      </c>
      <c r="D47">
        <v>92</v>
      </c>
      <c r="E47">
        <v>179.164665138201</v>
      </c>
      <c r="F47"/>
      <c r="G47" s="5"/>
      <c r="Q47" s="21"/>
      <c r="R47" s="21"/>
    </row>
    <row r="48" spans="1:20" ht="17.25" x14ac:dyDescent="0.25">
      <c r="A48" s="21">
        <f t="shared" si="0"/>
        <v>0.36530695990190409</v>
      </c>
      <c r="B48" t="s">
        <v>43</v>
      </c>
      <c r="C48" s="21" t="str">
        <f t="shared" si="1"/>
        <v>B</v>
      </c>
      <c r="D48">
        <v>94</v>
      </c>
      <c r="E48">
        <v>128.33885423077899</v>
      </c>
      <c r="F48"/>
      <c r="G48" s="5"/>
      <c r="Q48" s="21"/>
      <c r="R48" s="21"/>
    </row>
    <row r="49" spans="1:18" ht="17.25" x14ac:dyDescent="0.25">
      <c r="A49" s="21">
        <f t="shared" si="0"/>
        <v>7.4867685183663824E-3</v>
      </c>
      <c r="B49" t="s">
        <v>43</v>
      </c>
      <c r="C49" s="21" t="str">
        <f t="shared" si="1"/>
        <v>A</v>
      </c>
      <c r="D49">
        <v>101</v>
      </c>
      <c r="E49">
        <v>101.756163620355</v>
      </c>
      <c r="F49">
        <v>101.756163620355</v>
      </c>
      <c r="G49" s="5"/>
      <c r="Q49" s="21"/>
      <c r="R49" s="21"/>
    </row>
    <row r="50" spans="1:18" ht="17.25" x14ac:dyDescent="0.25">
      <c r="A50" s="21">
        <f t="shared" si="0"/>
        <v>0.19237176011814583</v>
      </c>
      <c r="B50" t="s">
        <v>43</v>
      </c>
      <c r="C50" s="21" t="str">
        <f t="shared" si="1"/>
        <v>A</v>
      </c>
      <c r="D50">
        <v>96</v>
      </c>
      <c r="E50">
        <v>114.467688971342</v>
      </c>
      <c r="F50">
        <v>114.467688971342</v>
      </c>
      <c r="G50" s="5"/>
      <c r="Q50" s="21"/>
      <c r="R50" s="21"/>
    </row>
    <row r="51" spans="1:18" ht="17.25" x14ac:dyDescent="0.25">
      <c r="A51" s="21">
        <f t="shared" si="0"/>
        <v>0.33232707919742577</v>
      </c>
      <c r="B51" t="s">
        <v>43</v>
      </c>
      <c r="C51" s="21" t="str">
        <f t="shared" si="1"/>
        <v>B</v>
      </c>
      <c r="D51">
        <v>101</v>
      </c>
      <c r="E51">
        <v>134.56503499894001</v>
      </c>
      <c r="F51"/>
      <c r="G51" s="5"/>
      <c r="Q51" s="21"/>
      <c r="R51" s="21"/>
    </row>
    <row r="52" spans="1:18" ht="17.25" x14ac:dyDescent="0.25">
      <c r="A52" s="21">
        <f t="shared" si="0"/>
        <v>0.39194372245116305</v>
      </c>
      <c r="B52" t="s">
        <v>43</v>
      </c>
      <c r="C52" s="21" t="str">
        <f t="shared" si="1"/>
        <v>B</v>
      </c>
      <c r="D52">
        <v>92</v>
      </c>
      <c r="E52">
        <v>128.05882246550701</v>
      </c>
      <c r="F52"/>
      <c r="G52" s="5"/>
      <c r="Q52" s="21"/>
      <c r="R52" s="21"/>
    </row>
    <row r="53" spans="1:18" ht="17.25" x14ac:dyDescent="0.25">
      <c r="A53" s="21">
        <f t="shared" si="0"/>
        <v>0.29486589761936544</v>
      </c>
      <c r="B53" t="s">
        <v>43</v>
      </c>
      <c r="C53" s="21" t="str">
        <f t="shared" si="1"/>
        <v>B</v>
      </c>
      <c r="D53">
        <v>104</v>
      </c>
      <c r="E53">
        <v>134.666053352414</v>
      </c>
      <c r="F53"/>
      <c r="G53" s="5"/>
      <c r="Q53" s="21"/>
      <c r="R53" s="21"/>
    </row>
    <row r="54" spans="1:18" ht="17.25" x14ac:dyDescent="0.25">
      <c r="A54" s="21">
        <f t="shared" si="0"/>
        <v>0.24211472756223396</v>
      </c>
      <c r="B54" t="s">
        <v>43</v>
      </c>
      <c r="C54" s="21" t="str">
        <f t="shared" si="1"/>
        <v>B</v>
      </c>
      <c r="D54">
        <v>94</v>
      </c>
      <c r="E54">
        <v>116.75878439085</v>
      </c>
      <c r="F54"/>
      <c r="G54" s="5"/>
      <c r="Q54" s="21"/>
      <c r="R54" s="21"/>
    </row>
    <row r="55" spans="1:18" ht="17.25" x14ac:dyDescent="0.25">
      <c r="A55" s="21">
        <f t="shared" si="0"/>
        <v>0.13086575017019308</v>
      </c>
      <c r="B55" t="s">
        <v>43</v>
      </c>
      <c r="C55" s="21" t="str">
        <f t="shared" si="1"/>
        <v>A</v>
      </c>
      <c r="D55">
        <v>145</v>
      </c>
      <c r="E55">
        <v>163.97553377467801</v>
      </c>
      <c r="F55">
        <v>163.97553377467801</v>
      </c>
      <c r="G55" s="5"/>
      <c r="Q55" s="21"/>
      <c r="R55" s="21"/>
    </row>
    <row r="56" spans="1:18" ht="17.25" x14ac:dyDescent="0.25">
      <c r="A56" s="21">
        <f t="shared" si="0"/>
        <v>4.5542957256619054E-3</v>
      </c>
      <c r="B56" t="s">
        <v>43</v>
      </c>
      <c r="C56" s="21" t="str">
        <f t="shared" si="1"/>
        <v>A</v>
      </c>
      <c r="D56">
        <v>139</v>
      </c>
      <c r="E56">
        <v>139.63304710586701</v>
      </c>
      <c r="F56">
        <v>139.63304710586701</v>
      </c>
      <c r="G56" s="5"/>
      <c r="Q56" s="21"/>
      <c r="R56" s="21"/>
    </row>
    <row r="57" spans="1:18" ht="17.25" x14ac:dyDescent="0.25">
      <c r="A57" s="21">
        <f t="shared" si="0"/>
        <v>0.20431603495377382</v>
      </c>
      <c r="B57" t="s">
        <v>43</v>
      </c>
      <c r="C57" s="21" t="str">
        <f t="shared" si="1"/>
        <v>B</v>
      </c>
      <c r="D57">
        <v>115</v>
      </c>
      <c r="E57">
        <v>138.49634401968399</v>
      </c>
      <c r="F57"/>
      <c r="G57" s="5"/>
      <c r="Q57" s="21"/>
      <c r="R57" s="21"/>
    </row>
    <row r="58" spans="1:18" x14ac:dyDescent="0.25">
      <c r="A58" s="21">
        <f t="shared" si="0"/>
        <v>0.28916726843474438</v>
      </c>
      <c r="B58" t="s">
        <v>44</v>
      </c>
      <c r="C58" s="21" t="str">
        <f t="shared" si="1"/>
        <v>B</v>
      </c>
      <c r="D58">
        <v>90</v>
      </c>
      <c r="E58">
        <v>116.025054159127</v>
      </c>
      <c r="F58"/>
      <c r="G58"/>
      <c r="Q58" s="21"/>
      <c r="R58" s="21"/>
    </row>
    <row r="59" spans="1:18" x14ac:dyDescent="0.25">
      <c r="A59" s="21">
        <f t="shared" si="0"/>
        <v>-4.2587141245556404E-2</v>
      </c>
      <c r="B59" t="s">
        <v>44</v>
      </c>
      <c r="C59" s="21" t="str">
        <f t="shared" si="1"/>
        <v>A</v>
      </c>
      <c r="D59">
        <v>137.5</v>
      </c>
      <c r="E59">
        <v>131.64426807873599</v>
      </c>
      <c r="F59">
        <v>131.64426807873599</v>
      </c>
      <c r="G59"/>
      <c r="Q59" s="21"/>
      <c r="R59" s="21"/>
    </row>
    <row r="60" spans="1:18" x14ac:dyDescent="0.25">
      <c r="A60" s="21">
        <f t="shared" si="0"/>
        <v>5.4946198975962535E-2</v>
      </c>
      <c r="B60" t="s">
        <v>44</v>
      </c>
      <c r="C60" s="21" t="str">
        <f t="shared" si="1"/>
        <v>A</v>
      </c>
      <c r="D60">
        <v>106.5</v>
      </c>
      <c r="E60">
        <v>112.35177019094</v>
      </c>
      <c r="F60">
        <v>112.35177019094</v>
      </c>
      <c r="G60"/>
      <c r="Q60" s="21"/>
      <c r="R60" s="21"/>
    </row>
    <row r="61" spans="1:18" x14ac:dyDescent="0.25">
      <c r="A61" s="21">
        <f t="shared" si="0"/>
        <v>9.0159886933851574E-2</v>
      </c>
      <c r="B61" t="s">
        <v>44</v>
      </c>
      <c r="C61" s="21" t="str">
        <f t="shared" si="1"/>
        <v>A</v>
      </c>
      <c r="D61">
        <v>101</v>
      </c>
      <c r="E61">
        <v>110.106148580319</v>
      </c>
      <c r="F61">
        <v>110.106148580319</v>
      </c>
      <c r="G61"/>
      <c r="Q61" s="21"/>
      <c r="R61" s="21"/>
    </row>
    <row r="62" spans="1:18" ht="17.25" x14ac:dyDescent="0.25">
      <c r="A62" s="21">
        <f t="shared" si="0"/>
        <v>2.8378362505844468E-2</v>
      </c>
      <c r="B62" t="s">
        <v>45</v>
      </c>
      <c r="C62" s="21" t="str">
        <f t="shared" si="1"/>
        <v>A</v>
      </c>
      <c r="D62">
        <v>212</v>
      </c>
      <c r="E62">
        <v>218.016212851239</v>
      </c>
      <c r="F62">
        <v>218.016212851239</v>
      </c>
      <c r="G62" s="5"/>
      <c r="H62"/>
      <c r="Q62" s="21"/>
      <c r="R62" s="21"/>
    </row>
    <row r="63" spans="1:18" ht="17.25" x14ac:dyDescent="0.25">
      <c r="A63" s="21">
        <f t="shared" si="0"/>
        <v>4.7969136643180033E-3</v>
      </c>
      <c r="B63" t="s">
        <v>45</v>
      </c>
      <c r="C63" s="21" t="str">
        <f t="shared" si="1"/>
        <v>A</v>
      </c>
      <c r="D63">
        <v>258</v>
      </c>
      <c r="E63">
        <v>259.23760372539402</v>
      </c>
      <c r="F63">
        <v>259.23760372539402</v>
      </c>
      <c r="G63" s="5"/>
      <c r="H63"/>
      <c r="Q63" s="21"/>
      <c r="R63" s="21"/>
    </row>
    <row r="64" spans="1:18" ht="17.25" x14ac:dyDescent="0.25">
      <c r="A64" s="21">
        <f t="shared" si="0"/>
        <v>0.29579153998886598</v>
      </c>
      <c r="B64" t="s">
        <v>45</v>
      </c>
      <c r="C64" s="21" t="str">
        <f t="shared" si="1"/>
        <v>B</v>
      </c>
      <c r="D64">
        <v>257.5</v>
      </c>
      <c r="E64">
        <v>333.66632154713301</v>
      </c>
      <c r="F64"/>
      <c r="G64" s="5"/>
      <c r="H64"/>
      <c r="Q64" s="21"/>
      <c r="R64" s="21"/>
    </row>
    <row r="65" spans="1:18" ht="17.25" x14ac:dyDescent="0.25">
      <c r="A65" s="21">
        <f t="shared" si="0"/>
        <v>0.15999300363688018</v>
      </c>
      <c r="B65" t="s">
        <v>45</v>
      </c>
      <c r="C65" s="21" t="str">
        <f t="shared" si="1"/>
        <v>A</v>
      </c>
      <c r="D65">
        <v>204.5</v>
      </c>
      <c r="E65">
        <v>237.218569243742</v>
      </c>
      <c r="F65">
        <v>237.218569243742</v>
      </c>
      <c r="G65" s="5"/>
      <c r="H65"/>
      <c r="Q65" s="21"/>
      <c r="R65" s="21"/>
    </row>
    <row r="66" spans="1:18" ht="17.25" x14ac:dyDescent="0.25">
      <c r="A66" s="21">
        <f t="shared" si="0"/>
        <v>6.1912872278759634E-2</v>
      </c>
      <c r="B66" t="s">
        <v>45</v>
      </c>
      <c r="C66" s="21" t="str">
        <f t="shared" si="1"/>
        <v>A</v>
      </c>
      <c r="D66">
        <v>383</v>
      </c>
      <c r="E66">
        <v>406.71263008276497</v>
      </c>
      <c r="F66">
        <v>406.71263008276497</v>
      </c>
      <c r="G66" s="5"/>
      <c r="H66"/>
      <c r="Q66" s="21"/>
      <c r="R66" s="21"/>
    </row>
    <row r="67" spans="1:18" ht="17.25" x14ac:dyDescent="0.25">
      <c r="A67" s="21">
        <f t="shared" si="0"/>
        <v>-1.4224897760552357E-2</v>
      </c>
      <c r="B67" t="s">
        <v>46</v>
      </c>
      <c r="C67" s="21" t="str">
        <f t="shared" si="1"/>
        <v>A</v>
      </c>
      <c r="D67">
        <v>96.5</v>
      </c>
      <c r="E67">
        <v>95.127297366106703</v>
      </c>
      <c r="F67">
        <v>95.127297366106703</v>
      </c>
      <c r="G67" s="5"/>
      <c r="I67"/>
      <c r="Q67" s="21"/>
      <c r="R67" s="21"/>
    </row>
    <row r="68" spans="1:18" ht="17.25" x14ac:dyDescent="0.25">
      <c r="A68" s="21">
        <f t="shared" si="0"/>
        <v>2.054167986664579E-3</v>
      </c>
      <c r="B68" t="s">
        <v>46</v>
      </c>
      <c r="C68" s="21" t="str">
        <f t="shared" si="1"/>
        <v>A</v>
      </c>
      <c r="D68">
        <v>153.5</v>
      </c>
      <c r="E68">
        <v>153.81531478595301</v>
      </c>
      <c r="F68">
        <v>153.81531478595301</v>
      </c>
      <c r="G68" s="5"/>
      <c r="I68"/>
      <c r="Q68" s="21"/>
      <c r="R68" s="21"/>
    </row>
    <row r="69" spans="1:18" ht="17.25" x14ac:dyDescent="0.25">
      <c r="A69" s="21">
        <f t="shared" si="0"/>
        <v>4.1294383207164831E-2</v>
      </c>
      <c r="B69" t="s">
        <v>46</v>
      </c>
      <c r="C69" s="21" t="str">
        <f t="shared" si="1"/>
        <v>A</v>
      </c>
      <c r="D69">
        <v>130.5</v>
      </c>
      <c r="E69">
        <v>135.888917008535</v>
      </c>
      <c r="F69">
        <v>135.888917008535</v>
      </c>
      <c r="G69" s="5"/>
      <c r="I69"/>
      <c r="Q69" s="21"/>
      <c r="R69" s="21"/>
    </row>
    <row r="70" spans="1:18" ht="17.25" x14ac:dyDescent="0.25">
      <c r="A70" s="21">
        <f t="shared" si="0"/>
        <v>1.9756861724588237E-2</v>
      </c>
      <c r="B70" t="s">
        <v>46</v>
      </c>
      <c r="C70" s="21" t="str">
        <f t="shared" si="1"/>
        <v>A</v>
      </c>
      <c r="D70">
        <v>136</v>
      </c>
      <c r="E70">
        <v>138.686933194544</v>
      </c>
      <c r="F70">
        <v>138.686933194544</v>
      </c>
      <c r="G70" s="5"/>
      <c r="I70"/>
      <c r="Q70" s="21"/>
      <c r="R70" s="21"/>
    </row>
    <row r="71" spans="1:18" ht="17.25" x14ac:dyDescent="0.25">
      <c r="A71" s="21">
        <f t="shared" si="0"/>
        <v>4.4138814990098973E-2</v>
      </c>
      <c r="B71" t="s">
        <v>46</v>
      </c>
      <c r="C71" s="21" t="str">
        <f t="shared" si="1"/>
        <v>A</v>
      </c>
      <c r="D71">
        <v>111</v>
      </c>
      <c r="E71">
        <v>115.899408463901</v>
      </c>
      <c r="F71">
        <v>115.899408463901</v>
      </c>
      <c r="G71" s="5"/>
      <c r="I71"/>
      <c r="Q71" s="21"/>
      <c r="R71" s="21"/>
    </row>
    <row r="72" spans="1:18" ht="17.25" x14ac:dyDescent="0.25">
      <c r="A72" s="21">
        <f t="shared" si="0"/>
        <v>-5.8611473676638992E-2</v>
      </c>
      <c r="B72" t="s">
        <v>46</v>
      </c>
      <c r="C72" s="21" t="str">
        <f t="shared" si="1"/>
        <v>A</v>
      </c>
      <c r="D72">
        <v>156.5</v>
      </c>
      <c r="E72">
        <v>147.327304369606</v>
      </c>
      <c r="F72">
        <v>147.327304369606</v>
      </c>
      <c r="G72" s="5"/>
      <c r="I72"/>
      <c r="Q72" s="21"/>
      <c r="R72" s="21"/>
    </row>
    <row r="73" spans="1:18" ht="17.25" x14ac:dyDescent="0.25">
      <c r="A73" s="21">
        <f t="shared" si="0"/>
        <v>0.44182904044407345</v>
      </c>
      <c r="B73" t="s">
        <v>46</v>
      </c>
      <c r="C73" s="21" t="str">
        <f t="shared" si="1"/>
        <v>B</v>
      </c>
      <c r="D73">
        <v>109</v>
      </c>
      <c r="E73">
        <v>157.159365408404</v>
      </c>
      <c r="F73"/>
      <c r="G73" s="5"/>
      <c r="I73"/>
      <c r="Q73" s="21"/>
      <c r="R73" s="21"/>
    </row>
    <row r="74" spans="1:18" ht="17.25" x14ac:dyDescent="0.25">
      <c r="A74" s="21">
        <f t="shared" si="0"/>
        <v>0.2414110264941518</v>
      </c>
      <c r="B74" t="s">
        <v>46</v>
      </c>
      <c r="C74" s="21" t="str">
        <f t="shared" si="1"/>
        <v>B</v>
      </c>
      <c r="D74">
        <v>112</v>
      </c>
      <c r="E74">
        <v>139.038034967345</v>
      </c>
      <c r="F74"/>
      <c r="G74" s="5"/>
      <c r="I74"/>
      <c r="Q74" s="21"/>
      <c r="R74" s="21"/>
    </row>
    <row r="75" spans="1:18" ht="17.25" x14ac:dyDescent="0.25">
      <c r="A75" s="21">
        <f t="shared" si="0"/>
        <v>0.30216892438195697</v>
      </c>
      <c r="B75" t="s">
        <v>46</v>
      </c>
      <c r="C75" s="21" t="str">
        <f t="shared" si="1"/>
        <v>B</v>
      </c>
      <c r="D75">
        <v>93</v>
      </c>
      <c r="E75">
        <v>121.101709967522</v>
      </c>
      <c r="F75"/>
      <c r="G75" s="5"/>
      <c r="I75"/>
      <c r="Q75" s="21"/>
      <c r="R75" s="21"/>
    </row>
    <row r="76" spans="1:18" ht="17.25" x14ac:dyDescent="0.25">
      <c r="A76" s="21">
        <f t="shared" si="0"/>
        <v>1.6700377450318049E-2</v>
      </c>
      <c r="B76" t="s">
        <v>46</v>
      </c>
      <c r="C76" s="21" t="str">
        <f t="shared" si="1"/>
        <v>A</v>
      </c>
      <c r="D76">
        <v>163.5</v>
      </c>
      <c r="E76">
        <v>166.23051171312699</v>
      </c>
      <c r="F76">
        <v>166.23051171312699</v>
      </c>
      <c r="G76" s="5"/>
      <c r="I76"/>
      <c r="Q76" s="21"/>
      <c r="R76" s="21"/>
    </row>
    <row r="77" spans="1:18" ht="17.25" x14ac:dyDescent="0.25">
      <c r="A77" s="21">
        <f t="shared" si="0"/>
        <v>0.2265801962762426</v>
      </c>
      <c r="B77" t="s">
        <v>46</v>
      </c>
      <c r="C77" s="21" t="str">
        <f t="shared" si="1"/>
        <v>B</v>
      </c>
      <c r="D77">
        <v>136</v>
      </c>
      <c r="E77">
        <v>166.81490669356899</v>
      </c>
      <c r="F77"/>
      <c r="G77" s="5"/>
      <c r="I77"/>
      <c r="Q77" s="21"/>
      <c r="R77" s="21"/>
    </row>
    <row r="78" spans="1:18" ht="17.25" x14ac:dyDescent="0.25">
      <c r="A78" s="21">
        <f t="shared" si="0"/>
        <v>0.60033065482505821</v>
      </c>
      <c r="B78" t="s">
        <v>46</v>
      </c>
      <c r="C78" s="21" t="str">
        <f t="shared" si="1"/>
        <v>B</v>
      </c>
      <c r="D78">
        <v>120</v>
      </c>
      <c r="E78">
        <v>192.03967857900699</v>
      </c>
      <c r="F78"/>
      <c r="G78" s="5"/>
      <c r="I78"/>
      <c r="Q78" s="21"/>
      <c r="R78" s="21"/>
    </row>
    <row r="79" spans="1:18" ht="17.25" x14ac:dyDescent="0.25">
      <c r="A79" s="21">
        <f t="shared" si="0"/>
        <v>0.21149920512102449</v>
      </c>
      <c r="B79" t="s">
        <v>47</v>
      </c>
      <c r="C79" s="21" t="str">
        <f t="shared" si="1"/>
        <v>B</v>
      </c>
      <c r="D79">
        <v>184.5</v>
      </c>
      <c r="E79">
        <v>223.521603344829</v>
      </c>
      <c r="F79"/>
      <c r="G79" s="5"/>
      <c r="J79"/>
      <c r="Q79" s="21"/>
      <c r="R79" s="21"/>
    </row>
    <row r="80" spans="1:18" ht="17.25" x14ac:dyDescent="0.25">
      <c r="A80" s="21">
        <f t="shared" si="0"/>
        <v>0.17765275185189733</v>
      </c>
      <c r="B80" t="s">
        <v>47</v>
      </c>
      <c r="C80" s="21" t="str">
        <f t="shared" si="1"/>
        <v>A</v>
      </c>
      <c r="D80">
        <v>195</v>
      </c>
      <c r="E80">
        <v>229.64228661112</v>
      </c>
      <c r="F80">
        <v>229.64228661112</v>
      </c>
      <c r="G80" s="5"/>
      <c r="J80"/>
      <c r="Q80" s="21"/>
      <c r="R80" s="21"/>
    </row>
    <row r="81" spans="1:18" ht="17.25" x14ac:dyDescent="0.25">
      <c r="A81" s="21">
        <f t="shared" si="0"/>
        <v>3.3989259678745443E-2</v>
      </c>
      <c r="B81" t="s">
        <v>47</v>
      </c>
      <c r="C81" s="21" t="str">
        <f t="shared" si="1"/>
        <v>A</v>
      </c>
      <c r="D81">
        <v>224</v>
      </c>
      <c r="E81">
        <v>231.61359416803899</v>
      </c>
      <c r="F81">
        <v>231.61359416803899</v>
      </c>
      <c r="G81" s="5"/>
      <c r="J81"/>
      <c r="Q81" s="21"/>
      <c r="R81" s="21"/>
    </row>
    <row r="82" spans="1:18" ht="17.25" x14ac:dyDescent="0.25">
      <c r="A82" s="21">
        <f t="shared" si="0"/>
        <v>-2.7873216393720646E-2</v>
      </c>
      <c r="B82" t="s">
        <v>47</v>
      </c>
      <c r="C82" s="21" t="str">
        <f t="shared" si="1"/>
        <v>A</v>
      </c>
      <c r="D82">
        <v>247</v>
      </c>
      <c r="E82">
        <v>240.11531555075101</v>
      </c>
      <c r="F82">
        <v>240.11531555075101</v>
      </c>
      <c r="G82" s="5"/>
      <c r="J82"/>
      <c r="Q82" s="21"/>
      <c r="R82" s="21"/>
    </row>
    <row r="83" spans="1:18" ht="17.25" x14ac:dyDescent="0.25">
      <c r="A83" s="21">
        <f t="shared" si="0"/>
        <v>0.46319530138993836</v>
      </c>
      <c r="B83" t="s">
        <v>47</v>
      </c>
      <c r="C83" s="21" t="str">
        <f t="shared" si="1"/>
        <v>B</v>
      </c>
      <c r="D83">
        <v>146</v>
      </c>
      <c r="E83">
        <v>213.626514002931</v>
      </c>
      <c r="F83"/>
      <c r="G83" s="5"/>
      <c r="J83"/>
      <c r="Q83" s="21"/>
      <c r="R83" s="21"/>
    </row>
    <row r="84" spans="1:18" ht="17.25" x14ac:dyDescent="0.25">
      <c r="A84" s="21">
        <f t="shared" si="0"/>
        <v>0.1552118428148197</v>
      </c>
      <c r="B84" t="s">
        <v>47</v>
      </c>
      <c r="C84" s="21" t="str">
        <f t="shared" si="1"/>
        <v>A</v>
      </c>
      <c r="D84">
        <v>183</v>
      </c>
      <c r="E84">
        <v>211.40376723511201</v>
      </c>
      <c r="F84">
        <v>211.40376723511201</v>
      </c>
      <c r="G84" s="5"/>
      <c r="J84"/>
      <c r="Q84" s="21"/>
      <c r="R84" s="21"/>
    </row>
    <row r="85" spans="1:18" ht="17.25" x14ac:dyDescent="0.25">
      <c r="A85" s="21">
        <f t="shared" si="0"/>
        <v>0.37156783539213212</v>
      </c>
      <c r="B85" t="s">
        <v>47</v>
      </c>
      <c r="C85" s="21" t="str">
        <f t="shared" si="1"/>
        <v>B</v>
      </c>
      <c r="D85">
        <v>159</v>
      </c>
      <c r="E85">
        <v>218.079285827349</v>
      </c>
      <c r="F85"/>
      <c r="G85" s="5"/>
      <c r="J85"/>
      <c r="Q85" s="21"/>
      <c r="R85" s="21"/>
    </row>
    <row r="86" spans="1:18" ht="17.25" x14ac:dyDescent="0.25">
      <c r="A86" s="21">
        <f t="shared" si="0"/>
        <v>0.16330478416284855</v>
      </c>
      <c r="B86" t="s">
        <v>48</v>
      </c>
      <c r="C86" s="21" t="str">
        <f t="shared" si="1"/>
        <v>A</v>
      </c>
      <c r="D86">
        <v>99</v>
      </c>
      <c r="E86">
        <v>115.167173632122</v>
      </c>
      <c r="F86">
        <v>115.167173632122</v>
      </c>
      <c r="G86" s="5"/>
      <c r="K86"/>
      <c r="Q86" s="21"/>
      <c r="R86" s="21"/>
    </row>
    <row r="87" spans="1:18" ht="17.25" x14ac:dyDescent="0.25">
      <c r="A87" s="21">
        <f t="shared" si="0"/>
        <v>0.2641609959362643</v>
      </c>
      <c r="B87" t="s">
        <v>48</v>
      </c>
      <c r="C87" s="21" t="str">
        <f t="shared" si="1"/>
        <v>B</v>
      </c>
      <c r="D87">
        <v>140</v>
      </c>
      <c r="E87">
        <v>176.98253943107699</v>
      </c>
      <c r="F87"/>
      <c r="G87" s="5"/>
      <c r="K87"/>
      <c r="Q87" s="21"/>
      <c r="R87" s="21"/>
    </row>
    <row r="88" spans="1:18" ht="17.25" x14ac:dyDescent="0.25">
      <c r="A88" s="21">
        <f t="shared" si="0"/>
        <v>0.34443086218078522</v>
      </c>
      <c r="B88" t="s">
        <v>48</v>
      </c>
      <c r="C88" s="21" t="str">
        <f t="shared" si="1"/>
        <v>B</v>
      </c>
      <c r="D88">
        <v>135</v>
      </c>
      <c r="E88">
        <v>181.49816639440601</v>
      </c>
      <c r="F88"/>
      <c r="G88" s="5"/>
      <c r="K88"/>
      <c r="Q88" s="21"/>
      <c r="R88" s="21"/>
    </row>
    <row r="89" spans="1:18" ht="17.25" x14ac:dyDescent="0.25">
      <c r="A89" s="21">
        <f t="shared" si="0"/>
        <v>0.57099359886932644</v>
      </c>
      <c r="B89" t="s">
        <v>48</v>
      </c>
      <c r="C89" s="21" t="str">
        <f t="shared" si="1"/>
        <v>B</v>
      </c>
      <c r="D89">
        <v>98</v>
      </c>
      <c r="E89">
        <v>153.95737268919399</v>
      </c>
      <c r="F89"/>
      <c r="G89" s="5"/>
      <c r="K89"/>
      <c r="Q89" s="21"/>
      <c r="R89" s="21"/>
    </row>
    <row r="90" spans="1:18" ht="17.25" x14ac:dyDescent="0.25">
      <c r="A90" s="21">
        <f t="shared" si="0"/>
        <v>0.26158664424770972</v>
      </c>
      <c r="B90" t="s">
        <v>48</v>
      </c>
      <c r="C90" s="21" t="str">
        <f t="shared" si="1"/>
        <v>B</v>
      </c>
      <c r="D90">
        <v>93</v>
      </c>
      <c r="E90">
        <v>117.327557915037</v>
      </c>
      <c r="F90"/>
      <c r="G90" s="5"/>
      <c r="K90"/>
      <c r="Q90" s="21"/>
      <c r="R90" s="21"/>
    </row>
    <row r="91" spans="1:18" ht="17.25" x14ac:dyDescent="0.25">
      <c r="A91" s="21">
        <f t="shared" si="0"/>
        <v>3.68048116234172E-2</v>
      </c>
      <c r="B91" t="s">
        <v>48</v>
      </c>
      <c r="C91" s="21" t="str">
        <f t="shared" si="1"/>
        <v>A</v>
      </c>
      <c r="D91">
        <v>151</v>
      </c>
      <c r="E91">
        <v>156.55752655513601</v>
      </c>
      <c r="F91">
        <v>156.55752655513601</v>
      </c>
      <c r="G91" s="5"/>
      <c r="K91"/>
      <c r="Q91" s="21"/>
      <c r="R91" s="21"/>
    </row>
    <row r="92" spans="1:18" ht="17.25" x14ac:dyDescent="0.25">
      <c r="A92" s="21">
        <f t="shared" si="0"/>
        <v>0.14996500028965243</v>
      </c>
      <c r="B92" t="s">
        <v>48</v>
      </c>
      <c r="C92" s="21" t="str">
        <f t="shared" si="1"/>
        <v>A</v>
      </c>
      <c r="D92">
        <v>164</v>
      </c>
      <c r="E92">
        <v>188.59426004750301</v>
      </c>
      <c r="F92">
        <v>188.59426004750301</v>
      </c>
      <c r="G92" s="5"/>
      <c r="K92"/>
      <c r="Q92" s="21"/>
      <c r="R92" s="21"/>
    </row>
    <row r="93" spans="1:18" ht="17.25" x14ac:dyDescent="0.25">
      <c r="A93" s="21">
        <f t="shared" si="0"/>
        <v>5.4661653279086009E-2</v>
      </c>
      <c r="B93" t="s">
        <v>48</v>
      </c>
      <c r="C93" s="21" t="str">
        <f t="shared" si="1"/>
        <v>A</v>
      </c>
      <c r="D93">
        <v>128</v>
      </c>
      <c r="E93">
        <v>134.99669161972301</v>
      </c>
      <c r="F93">
        <v>134.99669161972301</v>
      </c>
      <c r="G93" s="5"/>
      <c r="K93"/>
      <c r="Q93" s="21"/>
      <c r="R93" s="21"/>
    </row>
    <row r="94" spans="1:18" ht="17.25" x14ac:dyDescent="0.25">
      <c r="A94" s="21">
        <f t="shared" si="0"/>
        <v>0.32110137667937666</v>
      </c>
      <c r="B94" t="s">
        <v>49</v>
      </c>
      <c r="C94" s="21" t="str">
        <f t="shared" si="1"/>
        <v>B</v>
      </c>
      <c r="D94">
        <v>77</v>
      </c>
      <c r="E94">
        <v>101.724806004312</v>
      </c>
      <c r="F94"/>
      <c r="G94" s="5"/>
      <c r="L94"/>
      <c r="Q94" s="21"/>
      <c r="R94" s="21"/>
    </row>
    <row r="95" spans="1:18" ht="17.25" x14ac:dyDescent="0.25">
      <c r="A95" s="21">
        <f t="shared" si="0"/>
        <v>0.10260739887763926</v>
      </c>
      <c r="B95" t="s">
        <v>49</v>
      </c>
      <c r="C95" s="21" t="str">
        <f t="shared" si="1"/>
        <v>A</v>
      </c>
      <c r="D95">
        <v>133</v>
      </c>
      <c r="E95">
        <v>146.64678405072601</v>
      </c>
      <c r="F95">
        <v>146.64678405072601</v>
      </c>
      <c r="G95" s="5"/>
      <c r="L95"/>
      <c r="Q95" s="21"/>
      <c r="R95" s="21"/>
    </row>
    <row r="96" spans="1:18" ht="17.25" x14ac:dyDescent="0.25">
      <c r="A96" s="21">
        <f t="shared" si="0"/>
        <v>0.42326446655165451</v>
      </c>
      <c r="B96" t="s">
        <v>49</v>
      </c>
      <c r="C96" s="21" t="str">
        <f t="shared" si="1"/>
        <v>B</v>
      </c>
      <c r="D96">
        <v>110</v>
      </c>
      <c r="E96">
        <v>156.559091320682</v>
      </c>
      <c r="F96"/>
      <c r="G96" s="5"/>
      <c r="L96"/>
      <c r="Q96" s="21"/>
      <c r="R96" s="21"/>
    </row>
    <row r="97" spans="1:18" ht="17.25" x14ac:dyDescent="0.25">
      <c r="A97" s="21">
        <f t="shared" si="0"/>
        <v>0.28432523146202926</v>
      </c>
      <c r="B97" t="s">
        <v>49</v>
      </c>
      <c r="C97" s="21" t="str">
        <f t="shared" si="1"/>
        <v>B</v>
      </c>
      <c r="D97">
        <v>102</v>
      </c>
      <c r="E97">
        <v>131.00117360912699</v>
      </c>
      <c r="F97"/>
      <c r="G97" s="5"/>
      <c r="L97"/>
      <c r="Q97" s="21"/>
      <c r="R97" s="21"/>
    </row>
    <row r="98" spans="1:18" ht="17.25" x14ac:dyDescent="0.25">
      <c r="A98" s="21">
        <f t="shared" si="0"/>
        <v>0.48781211492574683</v>
      </c>
      <c r="B98" t="s">
        <v>49</v>
      </c>
      <c r="C98" s="21" t="str">
        <f t="shared" si="1"/>
        <v>B</v>
      </c>
      <c r="D98">
        <v>79</v>
      </c>
      <c r="E98">
        <v>117.537157079134</v>
      </c>
      <c r="F98"/>
      <c r="G98" s="5"/>
      <c r="L98"/>
      <c r="Q98" s="21"/>
      <c r="R98" s="21"/>
    </row>
    <row r="99" spans="1:18" ht="17.25" x14ac:dyDescent="0.25">
      <c r="A99" s="21">
        <f t="shared" si="0"/>
        <v>-0.18397602303957417</v>
      </c>
      <c r="B99" t="s">
        <v>49</v>
      </c>
      <c r="C99" s="21" t="str">
        <f t="shared" si="1"/>
        <v>A</v>
      </c>
      <c r="D99">
        <v>155</v>
      </c>
      <c r="E99">
        <v>126.483716428866</v>
      </c>
      <c r="F99">
        <v>126.483716428866</v>
      </c>
      <c r="G99" s="5"/>
      <c r="L99"/>
      <c r="Q99" s="21"/>
      <c r="R99" s="21"/>
    </row>
    <row r="100" spans="1:18" ht="17.25" x14ac:dyDescent="0.25">
      <c r="A100" s="21">
        <f t="shared" si="0"/>
        <v>-1.8728836684666628E-2</v>
      </c>
      <c r="B100" t="s">
        <v>49</v>
      </c>
      <c r="C100" s="21" t="str">
        <f t="shared" si="1"/>
        <v>A</v>
      </c>
      <c r="D100">
        <v>159</v>
      </c>
      <c r="E100">
        <v>156.02211496713801</v>
      </c>
      <c r="F100">
        <v>156.02211496713801</v>
      </c>
      <c r="G100" s="5"/>
      <c r="L100"/>
      <c r="Q100" s="21"/>
      <c r="R100" s="21"/>
    </row>
    <row r="101" spans="1:18" ht="17.25" x14ac:dyDescent="0.25">
      <c r="A101" s="21">
        <f t="shared" si="0"/>
        <v>0.38322181455828952</v>
      </c>
      <c r="B101" t="s">
        <v>49</v>
      </c>
      <c r="C101" s="21" t="str">
        <f t="shared" si="1"/>
        <v>B</v>
      </c>
      <c r="D101">
        <v>114</v>
      </c>
      <c r="E101">
        <v>157.68728685964501</v>
      </c>
      <c r="F101"/>
      <c r="G101" s="5"/>
      <c r="L101"/>
      <c r="Q101" s="21"/>
      <c r="R101" s="21"/>
    </row>
    <row r="102" spans="1:18" ht="17.25" x14ac:dyDescent="0.25">
      <c r="A102" s="21">
        <f t="shared" si="0"/>
        <v>0.69027706379851472</v>
      </c>
      <c r="B102" t="s">
        <v>49</v>
      </c>
      <c r="C102" s="21" t="str">
        <f t="shared" si="1"/>
        <v>B</v>
      </c>
      <c r="D102">
        <v>136</v>
      </c>
      <c r="E102">
        <v>229.877680676598</v>
      </c>
      <c r="F102"/>
      <c r="G102" s="5"/>
      <c r="L102"/>
      <c r="Q102" s="21"/>
      <c r="R102" s="21"/>
    </row>
    <row r="103" spans="1:18" ht="17.25" x14ac:dyDescent="0.25">
      <c r="A103" s="21">
        <f t="shared" ref="A103:A167" si="2">E103/D103-1</f>
        <v>0.7924391717819439</v>
      </c>
      <c r="B103" t="s">
        <v>49</v>
      </c>
      <c r="C103" s="21" t="str">
        <f t="shared" ref="C103:C166" si="3">IF(OR(A103&gt;=20%,A103&lt;=-20%),"B","A")</f>
        <v>B</v>
      </c>
      <c r="D103">
        <v>125</v>
      </c>
      <c r="E103">
        <v>224.054896472743</v>
      </c>
      <c r="F103"/>
      <c r="G103" s="5"/>
      <c r="L103"/>
      <c r="Q103" s="21"/>
      <c r="R103" s="21"/>
    </row>
    <row r="104" spans="1:18" ht="17.25" x14ac:dyDescent="0.25">
      <c r="A104" s="21">
        <f t="shared" si="2"/>
        <v>0.34358841955419628</v>
      </c>
      <c r="B104" t="s">
        <v>49</v>
      </c>
      <c r="C104" s="21" t="str">
        <f t="shared" si="3"/>
        <v>B</v>
      </c>
      <c r="D104">
        <v>168</v>
      </c>
      <c r="E104">
        <v>225.72285448510499</v>
      </c>
      <c r="F104"/>
      <c r="G104" s="5"/>
      <c r="L104"/>
      <c r="Q104" s="21"/>
      <c r="R104" s="21"/>
    </row>
    <row r="105" spans="1:18" ht="17.25" x14ac:dyDescent="0.25">
      <c r="A105" s="21">
        <f t="shared" si="2"/>
        <v>0.31295146636890547</v>
      </c>
      <c r="B105" t="s">
        <v>49</v>
      </c>
      <c r="C105" s="21" t="str">
        <f t="shared" si="3"/>
        <v>B</v>
      </c>
      <c r="D105">
        <v>148</v>
      </c>
      <c r="E105">
        <v>194.316817022598</v>
      </c>
      <c r="F105"/>
      <c r="G105" s="5"/>
      <c r="L105"/>
      <c r="Q105" s="21"/>
      <c r="R105" s="21"/>
    </row>
    <row r="106" spans="1:18" ht="17.25" x14ac:dyDescent="0.25">
      <c r="A106" s="21">
        <f t="shared" si="2"/>
        <v>-0.12039681009025238</v>
      </c>
      <c r="B106" t="s">
        <v>49</v>
      </c>
      <c r="C106" s="21" t="str">
        <f t="shared" si="3"/>
        <v>A</v>
      </c>
      <c r="D106">
        <v>214</v>
      </c>
      <c r="E106">
        <v>188.23508264068599</v>
      </c>
      <c r="F106">
        <v>188.23508264068599</v>
      </c>
      <c r="G106" s="5"/>
      <c r="L106"/>
      <c r="Q106" s="21"/>
      <c r="R106" s="21"/>
    </row>
    <row r="107" spans="1:18" ht="17.25" x14ac:dyDescent="0.25">
      <c r="A107" s="21">
        <f t="shared" si="2"/>
        <v>4.8579262783933652E-2</v>
      </c>
      <c r="B107" t="s">
        <v>49</v>
      </c>
      <c r="C107" s="21" t="str">
        <f t="shared" si="3"/>
        <v>A</v>
      </c>
      <c r="D107">
        <v>196</v>
      </c>
      <c r="E107">
        <v>205.521535505651</v>
      </c>
      <c r="F107">
        <v>205.521535505651</v>
      </c>
      <c r="G107" s="5"/>
      <c r="L107"/>
      <c r="Q107" s="21"/>
      <c r="R107" s="21"/>
    </row>
    <row r="108" spans="1:18" ht="17.25" x14ac:dyDescent="0.25">
      <c r="A108" s="21">
        <f t="shared" si="2"/>
        <v>0.11366966661893096</v>
      </c>
      <c r="B108" t="s">
        <v>49</v>
      </c>
      <c r="C108" s="21" t="str">
        <f t="shared" si="3"/>
        <v>A</v>
      </c>
      <c r="D108">
        <v>203</v>
      </c>
      <c r="E108">
        <v>226.074942323643</v>
      </c>
      <c r="F108">
        <v>226.074942323643</v>
      </c>
      <c r="G108" s="5"/>
      <c r="L108"/>
      <c r="Q108" s="21"/>
      <c r="R108" s="21"/>
    </row>
    <row r="109" spans="1:18" ht="17.25" x14ac:dyDescent="0.25">
      <c r="A109" s="21">
        <f t="shared" si="2"/>
        <v>-0.13957004989882005</v>
      </c>
      <c r="B109" t="s">
        <v>49</v>
      </c>
      <c r="C109" s="21" t="str">
        <f t="shared" si="3"/>
        <v>A</v>
      </c>
      <c r="D109">
        <v>278</v>
      </c>
      <c r="E109">
        <v>239.19952612812801</v>
      </c>
      <c r="F109">
        <v>239.19952612812801</v>
      </c>
      <c r="G109" s="5"/>
      <c r="L109"/>
      <c r="Q109" s="21"/>
      <c r="R109" s="21"/>
    </row>
    <row r="110" spans="1:18" ht="17.25" x14ac:dyDescent="0.25">
      <c r="A110" s="21">
        <f t="shared" si="2"/>
        <v>-4.9026946555868478E-2</v>
      </c>
      <c r="B110" t="s">
        <v>49</v>
      </c>
      <c r="C110" s="21" t="str">
        <f t="shared" si="3"/>
        <v>A</v>
      </c>
      <c r="D110">
        <v>228</v>
      </c>
      <c r="E110">
        <v>216.82185618526199</v>
      </c>
      <c r="F110">
        <v>216.82185618526199</v>
      </c>
      <c r="G110" s="5"/>
      <c r="L110"/>
      <c r="Q110" s="21"/>
      <c r="R110" s="21"/>
    </row>
    <row r="111" spans="1:18" ht="17.25" x14ac:dyDescent="0.25">
      <c r="A111" s="21">
        <f t="shared" si="2"/>
        <v>9.9061140756348642E-2</v>
      </c>
      <c r="B111" t="s">
        <v>49</v>
      </c>
      <c r="C111" s="21" t="str">
        <f t="shared" si="3"/>
        <v>A</v>
      </c>
      <c r="D111">
        <v>195</v>
      </c>
      <c r="E111">
        <v>214.316922447488</v>
      </c>
      <c r="F111">
        <v>214.316922447488</v>
      </c>
      <c r="G111" s="5"/>
      <c r="L111"/>
      <c r="Q111" s="21"/>
      <c r="R111" s="21"/>
    </row>
    <row r="112" spans="1:18" ht="17.25" x14ac:dyDescent="0.25">
      <c r="A112" s="21">
        <f t="shared" si="2"/>
        <v>0.14211983635441428</v>
      </c>
      <c r="B112" t="s">
        <v>49</v>
      </c>
      <c r="C112" s="21" t="str">
        <f t="shared" si="3"/>
        <v>A</v>
      </c>
      <c r="D112">
        <v>253.5</v>
      </c>
      <c r="E112">
        <v>289.52737851584402</v>
      </c>
      <c r="F112">
        <v>289.52737851584402</v>
      </c>
      <c r="G112" s="5"/>
      <c r="L112"/>
      <c r="Q112" s="21"/>
      <c r="R112" s="21"/>
    </row>
    <row r="113" spans="1:18" ht="17.25" x14ac:dyDescent="0.25">
      <c r="A113" s="21">
        <f t="shared" si="2"/>
        <v>3.9381322673166963E-2</v>
      </c>
      <c r="B113" t="s">
        <v>49</v>
      </c>
      <c r="C113" s="21" t="str">
        <f t="shared" si="3"/>
        <v>A</v>
      </c>
      <c r="D113">
        <v>242.5</v>
      </c>
      <c r="E113">
        <v>252.049970748243</v>
      </c>
      <c r="F113">
        <v>252.049970748243</v>
      </c>
      <c r="G113" s="5"/>
      <c r="L113"/>
      <c r="Q113" s="21"/>
      <c r="R113" s="21"/>
    </row>
    <row r="114" spans="1:18" ht="17.25" x14ac:dyDescent="0.25">
      <c r="A114" s="21">
        <f t="shared" si="2"/>
        <v>3.3962839595326866E-2</v>
      </c>
      <c r="B114" t="s">
        <v>49</v>
      </c>
      <c r="C114" s="21" t="str">
        <f t="shared" si="3"/>
        <v>A</v>
      </c>
      <c r="D114">
        <v>266</v>
      </c>
      <c r="E114">
        <v>275.03411533235698</v>
      </c>
      <c r="F114">
        <v>275.03411533235698</v>
      </c>
      <c r="G114" s="5"/>
      <c r="L114"/>
      <c r="Q114" s="21"/>
      <c r="R114" s="21"/>
    </row>
    <row r="115" spans="1:18" ht="17.25" x14ac:dyDescent="0.25">
      <c r="A115" s="21">
        <f t="shared" si="2"/>
        <v>-3.2664166558283747E-2</v>
      </c>
      <c r="B115" t="s">
        <v>49</v>
      </c>
      <c r="C115" s="21" t="str">
        <f t="shared" si="3"/>
        <v>A</v>
      </c>
      <c r="D115">
        <v>215</v>
      </c>
      <c r="E115">
        <v>207.977204189969</v>
      </c>
      <c r="F115">
        <v>207.977204189969</v>
      </c>
      <c r="G115" s="5"/>
      <c r="L115"/>
      <c r="Q115" s="21"/>
      <c r="R115" s="21"/>
    </row>
    <row r="116" spans="1:18" ht="17.25" x14ac:dyDescent="0.25">
      <c r="A116" s="21">
        <f t="shared" si="2"/>
        <v>0.47913013282799288</v>
      </c>
      <c r="B116" t="s">
        <v>49</v>
      </c>
      <c r="C116" s="21" t="str">
        <f t="shared" si="3"/>
        <v>B</v>
      </c>
      <c r="D116">
        <v>139.5</v>
      </c>
      <c r="E116">
        <v>206.338653529505</v>
      </c>
      <c r="F116"/>
      <c r="G116" s="5"/>
      <c r="L116"/>
      <c r="Q116" s="21"/>
      <c r="R116" s="21"/>
    </row>
    <row r="117" spans="1:18" ht="17.25" x14ac:dyDescent="0.25">
      <c r="A117" s="21">
        <f t="shared" si="2"/>
        <v>0.19722158351816055</v>
      </c>
      <c r="B117" t="s">
        <v>49</v>
      </c>
      <c r="C117" s="21" t="str">
        <f t="shared" si="3"/>
        <v>A</v>
      </c>
      <c r="D117">
        <v>187</v>
      </c>
      <c r="E117">
        <v>223.88043611789601</v>
      </c>
      <c r="F117">
        <v>223.88043611789601</v>
      </c>
      <c r="G117" s="5"/>
      <c r="L117"/>
      <c r="Q117" s="21"/>
      <c r="R117" s="21"/>
    </row>
    <row r="118" spans="1:18" ht="17.25" x14ac:dyDescent="0.25">
      <c r="A118" s="21">
        <f t="shared" si="2"/>
        <v>-0.14902717044113167</v>
      </c>
      <c r="B118" t="s">
        <v>49</v>
      </c>
      <c r="C118" s="21" t="str">
        <f t="shared" si="3"/>
        <v>A</v>
      </c>
      <c r="D118">
        <v>281</v>
      </c>
      <c r="E118">
        <v>239.123365106042</v>
      </c>
      <c r="F118">
        <v>239.123365106042</v>
      </c>
      <c r="G118" s="5"/>
      <c r="L118"/>
      <c r="Q118" s="21"/>
      <c r="R118" s="21"/>
    </row>
    <row r="119" spans="1:18" ht="17.25" x14ac:dyDescent="0.25">
      <c r="A119" s="21">
        <f t="shared" si="2"/>
        <v>-0.20547688134965036</v>
      </c>
      <c r="B119" t="s">
        <v>49</v>
      </c>
      <c r="C119" s="21" t="str">
        <f t="shared" si="3"/>
        <v>B</v>
      </c>
      <c r="D119">
        <v>306</v>
      </c>
      <c r="E119">
        <v>243.12407430700699</v>
      </c>
      <c r="F119"/>
      <c r="G119" s="5"/>
      <c r="L119"/>
      <c r="Q119" s="21"/>
      <c r="R119" s="21"/>
    </row>
    <row r="120" spans="1:18" ht="17.25" x14ac:dyDescent="0.25">
      <c r="A120" s="21">
        <f t="shared" si="2"/>
        <v>-0.11751553567545348</v>
      </c>
      <c r="B120" t="s">
        <v>49</v>
      </c>
      <c r="C120" s="21" t="str">
        <f t="shared" si="3"/>
        <v>A</v>
      </c>
      <c r="D120">
        <v>258</v>
      </c>
      <c r="E120">
        <v>227.68099179573301</v>
      </c>
      <c r="F120">
        <v>227.68099179573301</v>
      </c>
      <c r="G120" s="5"/>
      <c r="L120"/>
      <c r="Q120" s="21"/>
      <c r="R120" s="21"/>
    </row>
    <row r="121" spans="1:18" ht="17.25" x14ac:dyDescent="0.25">
      <c r="A121" s="21">
        <f t="shared" si="2"/>
        <v>0.16733554086274993</v>
      </c>
      <c r="B121" t="s">
        <v>49</v>
      </c>
      <c r="C121" s="21" t="str">
        <f t="shared" si="3"/>
        <v>A</v>
      </c>
      <c r="D121">
        <v>212</v>
      </c>
      <c r="E121">
        <v>247.475134662903</v>
      </c>
      <c r="F121">
        <v>247.475134662903</v>
      </c>
      <c r="G121" s="5"/>
      <c r="L121"/>
      <c r="Q121" s="21"/>
      <c r="R121" s="21"/>
    </row>
    <row r="122" spans="1:18" ht="17.25" x14ac:dyDescent="0.25">
      <c r="A122" s="21">
        <f t="shared" si="2"/>
        <v>0.28457893396389244</v>
      </c>
      <c r="B122" t="s">
        <v>49</v>
      </c>
      <c r="C122" s="21" t="str">
        <f t="shared" si="3"/>
        <v>B</v>
      </c>
      <c r="D122">
        <v>186</v>
      </c>
      <c r="E122">
        <v>238.93168171728399</v>
      </c>
      <c r="F122"/>
      <c r="G122" s="5"/>
      <c r="L122"/>
      <c r="Q122" s="21"/>
      <c r="R122" s="21"/>
    </row>
    <row r="123" spans="1:18" ht="17.25" x14ac:dyDescent="0.25">
      <c r="A123" s="21">
        <f t="shared" si="2"/>
        <v>0.51666027012703952</v>
      </c>
      <c r="B123" t="s">
        <v>49</v>
      </c>
      <c r="C123" s="21" t="str">
        <f t="shared" si="3"/>
        <v>B</v>
      </c>
      <c r="D123">
        <v>76</v>
      </c>
      <c r="E123">
        <v>115.266180529655</v>
      </c>
      <c r="F123"/>
      <c r="G123" s="5"/>
      <c r="L123"/>
      <c r="Q123" s="21"/>
      <c r="R123" s="21"/>
    </row>
    <row r="124" spans="1:18" ht="17.25" x14ac:dyDescent="0.25">
      <c r="A124" s="21">
        <f t="shared" si="2"/>
        <v>7.4715074445212526E-2</v>
      </c>
      <c r="B124" t="s">
        <v>49</v>
      </c>
      <c r="C124" s="21" t="str">
        <f t="shared" si="3"/>
        <v>A</v>
      </c>
      <c r="D124">
        <v>113</v>
      </c>
      <c r="E124">
        <v>121.442803412309</v>
      </c>
      <c r="F124">
        <v>121.442803412309</v>
      </c>
      <c r="G124" s="5"/>
      <c r="L124"/>
      <c r="Q124" s="21"/>
      <c r="R124" s="21"/>
    </row>
    <row r="125" spans="1:18" ht="17.25" x14ac:dyDescent="0.25">
      <c r="A125" s="21">
        <f t="shared" si="2"/>
        <v>0.49861265487209194</v>
      </c>
      <c r="B125" t="s">
        <v>49</v>
      </c>
      <c r="C125" s="21" t="str">
        <f t="shared" si="3"/>
        <v>B</v>
      </c>
      <c r="D125">
        <v>87</v>
      </c>
      <c r="E125">
        <v>130.37930097387201</v>
      </c>
      <c r="F125"/>
      <c r="G125" s="5"/>
      <c r="L125"/>
      <c r="Q125" s="21"/>
      <c r="R125" s="21"/>
    </row>
    <row r="126" spans="1:18" ht="17.25" x14ac:dyDescent="0.25">
      <c r="A126" s="21">
        <f t="shared" si="2"/>
        <v>0.32875016291274073</v>
      </c>
      <c r="B126" t="s">
        <v>50</v>
      </c>
      <c r="C126" s="21" t="str">
        <f t="shared" si="3"/>
        <v>B</v>
      </c>
      <c r="D126">
        <v>81</v>
      </c>
      <c r="E126">
        <v>107.628763195932</v>
      </c>
      <c r="F126"/>
      <c r="G126" s="5"/>
      <c r="M126"/>
      <c r="Q126" s="21"/>
      <c r="R126" s="21"/>
    </row>
    <row r="127" spans="1:18" x14ac:dyDescent="0.25">
      <c r="A127" s="21">
        <f t="shared" si="2"/>
        <v>0.64229991176125445</v>
      </c>
      <c r="B127" t="s">
        <v>50</v>
      </c>
      <c r="C127" s="21" t="str">
        <f t="shared" si="3"/>
        <v>B</v>
      </c>
      <c r="D127">
        <v>110</v>
      </c>
      <c r="E127">
        <v>180.65299029373799</v>
      </c>
      <c r="F127"/>
      <c r="M127"/>
      <c r="Q127" s="21"/>
      <c r="R127" s="21"/>
    </row>
    <row r="128" spans="1:18" x14ac:dyDescent="0.25">
      <c r="A128" s="21">
        <f t="shared" si="2"/>
        <v>0.14097767034841446</v>
      </c>
      <c r="B128" t="s">
        <v>50</v>
      </c>
      <c r="C128" s="21" t="str">
        <f t="shared" si="3"/>
        <v>A</v>
      </c>
      <c r="D128">
        <v>111</v>
      </c>
      <c r="E128">
        <v>126.648521408674</v>
      </c>
      <c r="F128">
        <v>126.648521408674</v>
      </c>
      <c r="M128"/>
      <c r="Q128" s="21"/>
      <c r="R128" s="21"/>
    </row>
    <row r="129" spans="1:18" x14ac:dyDescent="0.25">
      <c r="A129" s="21">
        <f t="shared" si="2"/>
        <v>0.55984949330529044</v>
      </c>
      <c r="B129" t="s">
        <v>50</v>
      </c>
      <c r="C129" s="21" t="str">
        <f t="shared" si="3"/>
        <v>B</v>
      </c>
      <c r="D129">
        <v>93</v>
      </c>
      <c r="E129">
        <v>145.06600287739201</v>
      </c>
      <c r="F129"/>
      <c r="M129"/>
      <c r="Q129" s="21"/>
      <c r="R129" s="21"/>
    </row>
    <row r="130" spans="1:18" x14ac:dyDescent="0.25">
      <c r="A130" s="21">
        <f t="shared" si="2"/>
        <v>7.0510713635791866E-2</v>
      </c>
      <c r="B130" t="s">
        <v>50</v>
      </c>
      <c r="C130" s="21" t="str">
        <f t="shared" si="3"/>
        <v>A</v>
      </c>
      <c r="D130">
        <v>221</v>
      </c>
      <c r="E130">
        <v>236.58286771351001</v>
      </c>
      <c r="F130">
        <v>236.58286771351001</v>
      </c>
      <c r="M130"/>
      <c r="Q130" s="21"/>
      <c r="R130" s="21"/>
    </row>
    <row r="131" spans="1:18" x14ac:dyDescent="0.25">
      <c r="A131" s="21">
        <f t="shared" si="2"/>
        <v>-0.19846253255579005</v>
      </c>
      <c r="B131" t="s">
        <v>50</v>
      </c>
      <c r="C131" s="21" t="str">
        <f t="shared" si="3"/>
        <v>A</v>
      </c>
      <c r="D131">
        <v>281</v>
      </c>
      <c r="E131">
        <v>225.232028351823</v>
      </c>
      <c r="F131">
        <v>225.232028351823</v>
      </c>
      <c r="M131"/>
      <c r="Q131" s="21"/>
      <c r="R131" s="21"/>
    </row>
    <row r="132" spans="1:18" x14ac:dyDescent="0.25">
      <c r="A132" s="21">
        <f t="shared" si="2"/>
        <v>-0.24702288000542505</v>
      </c>
      <c r="B132" t="s">
        <v>50</v>
      </c>
      <c r="C132" s="21" t="str">
        <f t="shared" si="3"/>
        <v>B</v>
      </c>
      <c r="D132">
        <v>287</v>
      </c>
      <c r="E132">
        <v>216.10443343844301</v>
      </c>
      <c r="F132"/>
      <c r="M132"/>
      <c r="Q132" s="21"/>
      <c r="R132" s="21"/>
    </row>
    <row r="133" spans="1:18" x14ac:dyDescent="0.25">
      <c r="A133" s="21">
        <f t="shared" si="2"/>
        <v>-7.0148901220157711E-2</v>
      </c>
      <c r="B133" t="s">
        <v>50</v>
      </c>
      <c r="C133" s="21" t="str">
        <f t="shared" si="3"/>
        <v>A</v>
      </c>
      <c r="D133">
        <v>260</v>
      </c>
      <c r="E133">
        <v>241.761285682759</v>
      </c>
      <c r="F133">
        <v>241.761285682759</v>
      </c>
      <c r="M133"/>
      <c r="Q133" s="21"/>
      <c r="R133" s="21"/>
    </row>
    <row r="134" spans="1:18" x14ac:dyDescent="0.25">
      <c r="A134" s="21">
        <f t="shared" si="2"/>
        <v>-0.13568478102053227</v>
      </c>
      <c r="B134" t="s">
        <v>51</v>
      </c>
      <c r="C134" s="21" t="str">
        <f t="shared" si="3"/>
        <v>A</v>
      </c>
      <c r="D134">
        <v>263</v>
      </c>
      <c r="E134">
        <v>227.3149025916</v>
      </c>
      <c r="F134">
        <v>227.3149025916</v>
      </c>
      <c r="N134"/>
      <c r="Q134" s="21"/>
      <c r="R134" s="21"/>
    </row>
    <row r="135" spans="1:18" x14ac:dyDescent="0.25">
      <c r="A135" s="21">
        <f t="shared" si="2"/>
        <v>-0.27677050218386068</v>
      </c>
      <c r="B135" t="s">
        <v>51</v>
      </c>
      <c r="C135" s="21" t="str">
        <f t="shared" si="3"/>
        <v>B</v>
      </c>
      <c r="D135">
        <v>323</v>
      </c>
      <c r="E135">
        <v>233.60312779461299</v>
      </c>
      <c r="F135"/>
      <c r="N135"/>
      <c r="Q135" s="21"/>
      <c r="R135" s="21"/>
    </row>
    <row r="136" spans="1:18" x14ac:dyDescent="0.25">
      <c r="A136" s="21">
        <f t="shared" si="2"/>
        <v>-1.2071856389406665E-2</v>
      </c>
      <c r="B136" t="s">
        <v>51</v>
      </c>
      <c r="C136" s="21" t="str">
        <f t="shared" si="3"/>
        <v>A</v>
      </c>
      <c r="D136">
        <v>150</v>
      </c>
      <c r="E136">
        <v>148.18922154158901</v>
      </c>
      <c r="F136">
        <v>148.18922154158901</v>
      </c>
      <c r="N136"/>
      <c r="Q136" s="21"/>
      <c r="R136" s="21"/>
    </row>
    <row r="137" spans="1:18" x14ac:dyDescent="0.25">
      <c r="A137" s="21">
        <f t="shared" si="2"/>
        <v>0.16923547009938167</v>
      </c>
      <c r="B137" t="s">
        <v>51</v>
      </c>
      <c r="C137" s="21" t="str">
        <f t="shared" si="3"/>
        <v>A</v>
      </c>
      <c r="D137">
        <v>131</v>
      </c>
      <c r="E137">
        <v>153.16984658301899</v>
      </c>
      <c r="F137">
        <v>153.16984658301899</v>
      </c>
      <c r="N137"/>
      <c r="Q137" s="21"/>
      <c r="R137" s="21"/>
    </row>
    <row r="138" spans="1:18" x14ac:dyDescent="0.25">
      <c r="A138" s="21">
        <f t="shared" si="2"/>
        <v>-3.9039960252486905E-2</v>
      </c>
      <c r="B138" t="s">
        <v>51</v>
      </c>
      <c r="C138" s="21" t="str">
        <f t="shared" si="3"/>
        <v>A</v>
      </c>
      <c r="D138">
        <v>152</v>
      </c>
      <c r="E138">
        <v>146.06592604162199</v>
      </c>
      <c r="F138">
        <v>146.06592604162199</v>
      </c>
      <c r="N138"/>
      <c r="Q138" s="21"/>
      <c r="R138" s="21"/>
    </row>
    <row r="139" spans="1:18" x14ac:dyDescent="0.25">
      <c r="A139" s="21">
        <f t="shared" si="2"/>
        <v>0.17489300161416677</v>
      </c>
      <c r="B139" t="s">
        <v>51</v>
      </c>
      <c r="C139" s="21" t="str">
        <f t="shared" si="3"/>
        <v>A</v>
      </c>
      <c r="D139">
        <v>156</v>
      </c>
      <c r="E139">
        <v>183.28330825181001</v>
      </c>
      <c r="F139">
        <v>183.28330825181001</v>
      </c>
      <c r="N139"/>
      <c r="Q139" s="21"/>
      <c r="R139" s="21"/>
    </row>
    <row r="140" spans="1:18" x14ac:dyDescent="0.25">
      <c r="A140" s="21">
        <f t="shared" si="2"/>
        <v>0.25662070446078489</v>
      </c>
      <c r="B140" t="s">
        <v>51</v>
      </c>
      <c r="C140" s="21" t="str">
        <f t="shared" si="3"/>
        <v>B</v>
      </c>
      <c r="D140">
        <v>93</v>
      </c>
      <c r="E140">
        <v>116.865725514853</v>
      </c>
      <c r="F140"/>
      <c r="N140"/>
      <c r="Q140" s="21"/>
      <c r="R140" s="21"/>
    </row>
    <row r="141" spans="1:18" x14ac:dyDescent="0.25">
      <c r="A141" s="21">
        <f t="shared" si="2"/>
        <v>0.123364883521071</v>
      </c>
      <c r="B141" t="s">
        <v>51</v>
      </c>
      <c r="C141" s="21" t="str">
        <f t="shared" si="3"/>
        <v>A</v>
      </c>
      <c r="D141">
        <v>155</v>
      </c>
      <c r="E141">
        <v>174.121556945766</v>
      </c>
      <c r="F141">
        <v>174.121556945766</v>
      </c>
      <c r="N141"/>
      <c r="Q141" s="21"/>
      <c r="R141" s="21"/>
    </row>
    <row r="142" spans="1:18" x14ac:dyDescent="0.25">
      <c r="A142" s="21">
        <f t="shared" si="2"/>
        <v>0.16536945501931277</v>
      </c>
      <c r="B142" t="s">
        <v>52</v>
      </c>
      <c r="C142" s="21" t="str">
        <f t="shared" si="3"/>
        <v>A</v>
      </c>
      <c r="D142">
        <v>147</v>
      </c>
      <c r="E142">
        <v>171.30930988783899</v>
      </c>
      <c r="F142">
        <v>171.30930988783899</v>
      </c>
      <c r="O142"/>
      <c r="Q142" s="21"/>
      <c r="R142" s="21"/>
    </row>
    <row r="143" spans="1:18" x14ac:dyDescent="0.25">
      <c r="A143" s="21">
        <f t="shared" si="2"/>
        <v>3.1611922340062382E-2</v>
      </c>
      <c r="B143" t="s">
        <v>52</v>
      </c>
      <c r="C143" s="21" t="str">
        <f t="shared" si="3"/>
        <v>A</v>
      </c>
      <c r="D143">
        <v>112</v>
      </c>
      <c r="E143">
        <v>115.54053530208699</v>
      </c>
      <c r="F143">
        <v>115.54053530208699</v>
      </c>
      <c r="O143"/>
      <c r="Q143" s="21"/>
      <c r="R143" s="21"/>
    </row>
    <row r="144" spans="1:18" x14ac:dyDescent="0.25">
      <c r="A144" s="21">
        <f t="shared" si="2"/>
        <v>0.50268743060574272</v>
      </c>
      <c r="B144" t="s">
        <v>52</v>
      </c>
      <c r="C144" s="21" t="str">
        <f t="shared" si="3"/>
        <v>B</v>
      </c>
      <c r="D144">
        <v>101</v>
      </c>
      <c r="E144">
        <v>151.77143049118001</v>
      </c>
      <c r="F144"/>
      <c r="O144"/>
      <c r="Q144" s="21"/>
      <c r="R144" s="21"/>
    </row>
    <row r="145" spans="1:18" x14ac:dyDescent="0.25">
      <c r="A145" s="21">
        <f t="shared" si="2"/>
        <v>1.2427424208241167E-3</v>
      </c>
      <c r="B145" t="s">
        <v>52</v>
      </c>
      <c r="C145" s="21" t="str">
        <f t="shared" si="3"/>
        <v>A</v>
      </c>
      <c r="D145">
        <v>173.5</v>
      </c>
      <c r="E145">
        <v>173.71561581001299</v>
      </c>
      <c r="F145">
        <v>173.71561581001299</v>
      </c>
      <c r="O145"/>
      <c r="Q145" s="21"/>
      <c r="R145" s="21"/>
    </row>
    <row r="146" spans="1:18" x14ac:dyDescent="0.25">
      <c r="A146" s="21">
        <f t="shared" si="2"/>
        <v>0.23952583508236169</v>
      </c>
      <c r="B146" t="s">
        <v>52</v>
      </c>
      <c r="C146" s="21" t="str">
        <f t="shared" si="3"/>
        <v>B</v>
      </c>
      <c r="D146">
        <v>141</v>
      </c>
      <c r="E146">
        <v>174.77314274661299</v>
      </c>
      <c r="F146"/>
      <c r="O146"/>
      <c r="Q146" s="21"/>
      <c r="R146" s="21"/>
    </row>
    <row r="147" spans="1:18" x14ac:dyDescent="0.25">
      <c r="A147" s="21">
        <f t="shared" si="2"/>
        <v>9.157295100456686E-2</v>
      </c>
      <c r="B147" t="s">
        <v>53</v>
      </c>
      <c r="C147" s="21" t="str">
        <f t="shared" si="3"/>
        <v>A</v>
      </c>
      <c r="D147">
        <v>157</v>
      </c>
      <c r="E147">
        <v>171.376953307717</v>
      </c>
      <c r="F147">
        <v>171.376953307717</v>
      </c>
      <c r="O147"/>
      <c r="Q147" s="21"/>
      <c r="R147" s="21"/>
    </row>
    <row r="148" spans="1:18" x14ac:dyDescent="0.25">
      <c r="A148" s="21">
        <f t="shared" si="2"/>
        <v>0.4476492957452225</v>
      </c>
      <c r="B148" t="s">
        <v>53</v>
      </c>
      <c r="C148" s="21" t="str">
        <f t="shared" si="3"/>
        <v>B</v>
      </c>
      <c r="D148">
        <v>138.25</v>
      </c>
      <c r="E148">
        <v>200.13751513677701</v>
      </c>
      <c r="F148"/>
      <c r="O148"/>
      <c r="Q148" s="21"/>
      <c r="R148" s="21"/>
    </row>
    <row r="149" spans="1:18" x14ac:dyDescent="0.25">
      <c r="A149" s="21">
        <f t="shared" si="2"/>
        <v>0.8534303691521441</v>
      </c>
      <c r="B149" t="s">
        <v>53</v>
      </c>
      <c r="C149" s="21" t="str">
        <f t="shared" si="3"/>
        <v>B</v>
      </c>
      <c r="D149">
        <v>111</v>
      </c>
      <c r="E149">
        <v>205.73077097588799</v>
      </c>
      <c r="F149"/>
      <c r="O149"/>
      <c r="Q149" s="21"/>
      <c r="R149" s="21"/>
    </row>
    <row r="150" spans="1:18" x14ac:dyDescent="0.25">
      <c r="A150" s="21">
        <f t="shared" si="2"/>
        <v>0.37753245376970268</v>
      </c>
      <c r="B150" t="s">
        <v>53</v>
      </c>
      <c r="C150" s="21" t="str">
        <f t="shared" si="3"/>
        <v>B</v>
      </c>
      <c r="D150">
        <v>111</v>
      </c>
      <c r="E150">
        <v>152.90610236843699</v>
      </c>
      <c r="F150"/>
      <c r="O150"/>
      <c r="Q150" s="21"/>
      <c r="R150" s="21"/>
    </row>
    <row r="151" spans="1:18" x14ac:dyDescent="0.25">
      <c r="A151" s="21">
        <f t="shared" si="2"/>
        <v>0.51087838497566329</v>
      </c>
      <c r="B151" t="s">
        <v>53</v>
      </c>
      <c r="C151" s="21" t="str">
        <f t="shared" si="3"/>
        <v>B</v>
      </c>
      <c r="D151">
        <v>95</v>
      </c>
      <c r="E151">
        <v>143.53344657268801</v>
      </c>
      <c r="F151"/>
      <c r="O151"/>
      <c r="Q151" s="21"/>
      <c r="R151" s="21"/>
    </row>
    <row r="152" spans="1:18" x14ac:dyDescent="0.25">
      <c r="A152" s="21">
        <f t="shared" si="2"/>
        <v>8.3186318866396158E-2</v>
      </c>
      <c r="C152" s="21" t="str">
        <f t="shared" si="3"/>
        <v>A</v>
      </c>
      <c r="D152">
        <v>156.5</v>
      </c>
      <c r="E152">
        <v>169.518658902591</v>
      </c>
      <c r="F152">
        <v>169.518658902591</v>
      </c>
      <c r="Q152" s="21"/>
      <c r="R152" s="21"/>
    </row>
    <row r="153" spans="1:18" x14ac:dyDescent="0.25">
      <c r="A153" s="21">
        <f t="shared" si="2"/>
        <v>0.62595570102662923</v>
      </c>
      <c r="C153" s="21" t="str">
        <f t="shared" si="3"/>
        <v>B</v>
      </c>
      <c r="D153">
        <v>116</v>
      </c>
      <c r="E153">
        <v>188.610861319089</v>
      </c>
      <c r="F153"/>
      <c r="Q153" s="21"/>
      <c r="R153" s="21"/>
    </row>
    <row r="154" spans="1:18" x14ac:dyDescent="0.25">
      <c r="A154" s="21">
        <f t="shared" si="2"/>
        <v>0.37047718485257852</v>
      </c>
      <c r="C154" s="21" t="str">
        <f t="shared" si="3"/>
        <v>B</v>
      </c>
      <c r="D154">
        <v>121</v>
      </c>
      <c r="E154">
        <v>165.827739367162</v>
      </c>
      <c r="F154"/>
      <c r="Q154" s="21"/>
      <c r="R154" s="21"/>
    </row>
    <row r="155" spans="1:18" x14ac:dyDescent="0.25">
      <c r="A155" s="21">
        <f t="shared" si="2"/>
        <v>0.15379882382469123</v>
      </c>
      <c r="C155" s="21" t="str">
        <f t="shared" si="3"/>
        <v>A</v>
      </c>
      <c r="D155">
        <v>108.5</v>
      </c>
      <c r="E155">
        <v>125.18717238497899</v>
      </c>
      <c r="F155">
        <v>125.18717238497899</v>
      </c>
      <c r="Q155" s="21"/>
      <c r="R155" s="21"/>
    </row>
    <row r="156" spans="1:18" x14ac:dyDescent="0.25">
      <c r="A156" s="21">
        <f t="shared" si="2"/>
        <v>-0.16064728700160691</v>
      </c>
      <c r="C156" s="21" t="str">
        <f t="shared" si="3"/>
        <v>A</v>
      </c>
      <c r="D156">
        <v>203.5</v>
      </c>
      <c r="E156">
        <v>170.808277095173</v>
      </c>
      <c r="F156">
        <v>170.808277095173</v>
      </c>
      <c r="Q156" s="21"/>
      <c r="R156" s="21"/>
    </row>
    <row r="157" spans="1:18" x14ac:dyDescent="0.25">
      <c r="A157" s="21">
        <f t="shared" si="2"/>
        <v>-0.23420137583091194</v>
      </c>
      <c r="C157" s="21" t="str">
        <f t="shared" si="3"/>
        <v>B</v>
      </c>
      <c r="D157">
        <v>159</v>
      </c>
      <c r="E157">
        <v>121.761981242885</v>
      </c>
      <c r="F157"/>
      <c r="Q157" s="21"/>
      <c r="R157" s="21"/>
    </row>
    <row r="158" spans="1:18" x14ac:dyDescent="0.25">
      <c r="A158" s="21">
        <f t="shared" si="2"/>
        <v>0.17318392479594502</v>
      </c>
      <c r="C158" s="21" t="str">
        <f t="shared" si="3"/>
        <v>A</v>
      </c>
      <c r="D158">
        <v>91</v>
      </c>
      <c r="E158">
        <v>106.759737156431</v>
      </c>
      <c r="F158">
        <v>106.759737156431</v>
      </c>
      <c r="Q158" s="21"/>
      <c r="R158" s="21"/>
    </row>
    <row r="159" spans="1:18" x14ac:dyDescent="0.25">
      <c r="A159" s="21">
        <f t="shared" si="2"/>
        <v>0.3405893433377829</v>
      </c>
      <c r="C159" s="21" t="str">
        <f t="shared" si="3"/>
        <v>B</v>
      </c>
      <c r="D159">
        <v>87.5</v>
      </c>
      <c r="E159">
        <v>117.30156754205601</v>
      </c>
      <c r="F159"/>
      <c r="Q159" s="21"/>
      <c r="R159" s="21"/>
    </row>
    <row r="160" spans="1:18" x14ac:dyDescent="0.25">
      <c r="A160" s="21">
        <f t="shared" si="2"/>
        <v>-0.15868751074378629</v>
      </c>
      <c r="C160" s="21" t="str">
        <f t="shared" si="3"/>
        <v>A</v>
      </c>
      <c r="D160">
        <v>131</v>
      </c>
      <c r="E160">
        <v>110.211936092564</v>
      </c>
      <c r="F160">
        <v>110.211936092564</v>
      </c>
      <c r="Q160" s="21"/>
      <c r="R160" s="21"/>
    </row>
    <row r="161" spans="1:18" x14ac:dyDescent="0.25">
      <c r="A161" s="21">
        <f t="shared" si="2"/>
        <v>-1.1183043096297807E-2</v>
      </c>
      <c r="C161" s="21" t="str">
        <f t="shared" si="3"/>
        <v>A</v>
      </c>
      <c r="D161">
        <v>117.5</v>
      </c>
      <c r="E161">
        <v>116.185992436185</v>
      </c>
      <c r="F161">
        <v>116.185992436185</v>
      </c>
      <c r="Q161" s="21"/>
      <c r="R161" s="21"/>
    </row>
    <row r="162" spans="1:18" x14ac:dyDescent="0.25">
      <c r="A162" s="21">
        <f t="shared" si="2"/>
        <v>0.34385716548093326</v>
      </c>
      <c r="C162" s="21" t="str">
        <f t="shared" si="3"/>
        <v>B</v>
      </c>
      <c r="D162">
        <v>105</v>
      </c>
      <c r="E162">
        <v>141.105002375498</v>
      </c>
      <c r="F162"/>
      <c r="Q162" s="21"/>
      <c r="R162" s="21"/>
    </row>
    <row r="163" spans="1:18" x14ac:dyDescent="0.25">
      <c r="A163" s="21">
        <f t="shared" si="2"/>
        <v>0.13903984273080638</v>
      </c>
      <c r="C163" s="21" t="str">
        <f t="shared" si="3"/>
        <v>A</v>
      </c>
      <c r="D163">
        <v>95.5</v>
      </c>
      <c r="E163">
        <v>108.778304980792</v>
      </c>
      <c r="F163">
        <v>108.778304980792</v>
      </c>
      <c r="Q163" s="21"/>
      <c r="R163" s="21"/>
    </row>
    <row r="164" spans="1:18" x14ac:dyDescent="0.25">
      <c r="A164" s="21">
        <f t="shared" si="2"/>
        <v>-0.11206529145956623</v>
      </c>
      <c r="C164" s="21" t="str">
        <f t="shared" si="3"/>
        <v>A</v>
      </c>
      <c r="D164">
        <v>219</v>
      </c>
      <c r="E164">
        <v>194.45770117035499</v>
      </c>
      <c r="F164">
        <v>194.45770117035499</v>
      </c>
      <c r="Q164" s="21"/>
      <c r="R164" s="21"/>
    </row>
    <row r="165" spans="1:18" x14ac:dyDescent="0.25">
      <c r="A165" s="21">
        <f t="shared" si="2"/>
        <v>-8.6606615241401008E-2</v>
      </c>
      <c r="C165" s="21" t="str">
        <f t="shared" si="3"/>
        <v>A</v>
      </c>
      <c r="D165">
        <v>197</v>
      </c>
      <c r="E165">
        <v>179.938496797444</v>
      </c>
      <c r="F165">
        <v>179.938496797444</v>
      </c>
      <c r="Q165" s="21"/>
      <c r="R165" s="21"/>
    </row>
    <row r="166" spans="1:18" x14ac:dyDescent="0.25">
      <c r="A166" s="21">
        <f t="shared" si="2"/>
        <v>0.12612716137990909</v>
      </c>
      <c r="C166" s="21" t="str">
        <f t="shared" si="3"/>
        <v>A</v>
      </c>
      <c r="D166">
        <v>154</v>
      </c>
      <c r="E166">
        <v>173.423582852506</v>
      </c>
      <c r="F166">
        <v>173.423582852506</v>
      </c>
      <c r="Q166" s="21"/>
      <c r="R166" s="21"/>
    </row>
    <row r="167" spans="1:18" x14ac:dyDescent="0.25">
      <c r="A167" s="21">
        <f t="shared" si="2"/>
        <v>0.14660362622206446</v>
      </c>
      <c r="C167" s="21" t="str">
        <f t="shared" ref="C167:C230" si="4">IF(OR(A167&gt;=20%,A167&lt;=-20%),"B","A")</f>
        <v>A</v>
      </c>
      <c r="D167">
        <v>87</v>
      </c>
      <c r="E167">
        <v>99.754515481319601</v>
      </c>
      <c r="F167">
        <v>99.754515481319601</v>
      </c>
    </row>
    <row r="168" spans="1:18" x14ac:dyDescent="0.25">
      <c r="A168" s="21">
        <f t="shared" ref="A168:A231" si="5">E168/D168-1</f>
        <v>9.7770049469058096E-2</v>
      </c>
      <c r="C168" s="21" t="str">
        <f t="shared" si="4"/>
        <v>A</v>
      </c>
      <c r="D168">
        <v>155</v>
      </c>
      <c r="E168">
        <v>170.15435766770401</v>
      </c>
      <c r="F168">
        <v>170.15435766770401</v>
      </c>
    </row>
    <row r="169" spans="1:18" x14ac:dyDescent="0.25">
      <c r="A169" s="21">
        <f t="shared" si="5"/>
        <v>0.13056910661888188</v>
      </c>
      <c r="C169" s="21" t="str">
        <f t="shared" si="4"/>
        <v>A</v>
      </c>
      <c r="D169">
        <v>110</v>
      </c>
      <c r="E169">
        <v>124.362601728077</v>
      </c>
      <c r="F169">
        <v>124.362601728077</v>
      </c>
    </row>
    <row r="170" spans="1:18" x14ac:dyDescent="0.25">
      <c r="A170" s="21">
        <f t="shared" si="5"/>
        <v>0.50302230315236796</v>
      </c>
      <c r="C170" s="21" t="str">
        <f t="shared" si="4"/>
        <v>B</v>
      </c>
      <c r="D170">
        <v>87</v>
      </c>
      <c r="E170">
        <v>130.762940374256</v>
      </c>
      <c r="F170"/>
    </row>
    <row r="171" spans="1:18" x14ac:dyDescent="0.25">
      <c r="A171" s="21">
        <f t="shared" si="5"/>
        <v>0.14205905207064551</v>
      </c>
      <c r="C171" s="21" t="str">
        <f t="shared" si="4"/>
        <v>A</v>
      </c>
      <c r="D171">
        <v>110</v>
      </c>
      <c r="E171">
        <v>125.626495727771</v>
      </c>
      <c r="F171">
        <v>125.626495727771</v>
      </c>
    </row>
    <row r="172" spans="1:18" x14ac:dyDescent="0.25">
      <c r="A172" s="21">
        <f t="shared" si="5"/>
        <v>0.21703201894048063</v>
      </c>
      <c r="C172" s="21" t="str">
        <f t="shared" si="4"/>
        <v>B</v>
      </c>
      <c r="D172">
        <v>104</v>
      </c>
      <c r="E172">
        <v>126.57132996980999</v>
      </c>
      <c r="F172"/>
    </row>
    <row r="173" spans="1:18" x14ac:dyDescent="0.25">
      <c r="A173" s="21">
        <f t="shared" si="5"/>
        <v>0.1489905064100443</v>
      </c>
      <c r="C173" s="21" t="str">
        <f t="shared" si="4"/>
        <v>A</v>
      </c>
      <c r="D173">
        <v>113</v>
      </c>
      <c r="E173">
        <v>129.83592722433499</v>
      </c>
      <c r="F173">
        <v>129.83592722433499</v>
      </c>
    </row>
    <row r="174" spans="1:18" x14ac:dyDescent="0.25">
      <c r="A174" s="21">
        <f t="shared" si="5"/>
        <v>-0.17274090197359748</v>
      </c>
      <c r="C174" s="21" t="str">
        <f t="shared" si="4"/>
        <v>A</v>
      </c>
      <c r="D174">
        <v>120</v>
      </c>
      <c r="E174">
        <v>99.2710917631683</v>
      </c>
      <c r="F174">
        <v>99.2710917631683</v>
      </c>
    </row>
    <row r="175" spans="1:18" x14ac:dyDescent="0.25">
      <c r="A175" s="21">
        <f t="shared" si="5"/>
        <v>6.4264504756281315E-2</v>
      </c>
      <c r="C175" s="21" t="str">
        <f t="shared" si="4"/>
        <v>A</v>
      </c>
      <c r="D175">
        <v>96</v>
      </c>
      <c r="E175">
        <v>102.16939245660301</v>
      </c>
      <c r="F175">
        <v>102.16939245660301</v>
      </c>
    </row>
    <row r="176" spans="1:18" x14ac:dyDescent="0.25">
      <c r="A176" s="21">
        <f t="shared" si="5"/>
        <v>7.2719505934411899E-2</v>
      </c>
      <c r="C176" s="21" t="str">
        <f t="shared" si="4"/>
        <v>A</v>
      </c>
      <c r="D176">
        <v>84</v>
      </c>
      <c r="E176">
        <v>90.108438498490599</v>
      </c>
      <c r="F176">
        <v>90.108438498490599</v>
      </c>
    </row>
    <row r="177" spans="1:6" x14ac:dyDescent="0.25">
      <c r="A177" s="21">
        <f t="shared" si="5"/>
        <v>-2.1165567174140199E-2</v>
      </c>
      <c r="C177" s="21" t="str">
        <f t="shared" si="4"/>
        <v>A</v>
      </c>
      <c r="D177">
        <v>107</v>
      </c>
      <c r="E177">
        <v>104.735284312367</v>
      </c>
      <c r="F177">
        <v>104.735284312367</v>
      </c>
    </row>
    <row r="178" spans="1:6" x14ac:dyDescent="0.25">
      <c r="A178" s="21">
        <f t="shared" si="5"/>
        <v>8.0692424683409536E-2</v>
      </c>
      <c r="C178" s="21" t="str">
        <f t="shared" si="4"/>
        <v>A</v>
      </c>
      <c r="D178">
        <v>105</v>
      </c>
      <c r="E178">
        <v>113.472704591758</v>
      </c>
      <c r="F178">
        <v>113.472704591758</v>
      </c>
    </row>
    <row r="179" spans="1:6" x14ac:dyDescent="0.25">
      <c r="A179" s="21">
        <f t="shared" si="5"/>
        <v>0.40365411274701213</v>
      </c>
      <c r="C179" s="21" t="str">
        <f t="shared" si="4"/>
        <v>B</v>
      </c>
      <c r="D179">
        <v>82</v>
      </c>
      <c r="E179">
        <v>115.099637245255</v>
      </c>
      <c r="F179"/>
    </row>
    <row r="180" spans="1:6" x14ac:dyDescent="0.25">
      <c r="A180" s="21">
        <f t="shared" si="5"/>
        <v>-0.26092007626632663</v>
      </c>
      <c r="C180" s="21" t="str">
        <f t="shared" si="4"/>
        <v>B</v>
      </c>
      <c r="D180">
        <v>150</v>
      </c>
      <c r="E180">
        <v>110.861988560051</v>
      </c>
      <c r="F180"/>
    </row>
    <row r="181" spans="1:6" x14ac:dyDescent="0.25">
      <c r="A181" s="21">
        <f t="shared" si="5"/>
        <v>-5.7159926153079299E-2</v>
      </c>
      <c r="C181" s="21" t="str">
        <f t="shared" si="4"/>
        <v>A</v>
      </c>
      <c r="D181">
        <v>126</v>
      </c>
      <c r="E181">
        <v>118.797849304712</v>
      </c>
      <c r="F181">
        <v>118.797849304712</v>
      </c>
    </row>
    <row r="182" spans="1:6" x14ac:dyDescent="0.25">
      <c r="A182" s="21">
        <f t="shared" si="5"/>
        <v>0.29264089775820201</v>
      </c>
      <c r="C182" s="21" t="str">
        <f t="shared" si="4"/>
        <v>B</v>
      </c>
      <c r="D182">
        <v>94</v>
      </c>
      <c r="E182">
        <v>121.508244389271</v>
      </c>
      <c r="F182"/>
    </row>
    <row r="183" spans="1:6" x14ac:dyDescent="0.25">
      <c r="A183" s="21">
        <f t="shared" si="5"/>
        <v>0.27535972623398841</v>
      </c>
      <c r="C183" s="21" t="str">
        <f t="shared" si="4"/>
        <v>B</v>
      </c>
      <c r="D183">
        <v>86</v>
      </c>
      <c r="E183">
        <v>109.68093645612301</v>
      </c>
      <c r="F183"/>
    </row>
    <row r="184" spans="1:6" x14ac:dyDescent="0.25">
      <c r="A184" s="21">
        <f t="shared" si="5"/>
        <v>-0.11333047800179563</v>
      </c>
      <c r="C184" s="21" t="str">
        <f t="shared" si="4"/>
        <v>A</v>
      </c>
      <c r="D184">
        <v>137</v>
      </c>
      <c r="E184">
        <v>121.47372451375399</v>
      </c>
      <c r="F184">
        <v>121.47372451375399</v>
      </c>
    </row>
    <row r="185" spans="1:6" x14ac:dyDescent="0.25">
      <c r="A185" s="21">
        <f t="shared" si="5"/>
        <v>6.1443538347212945E-2</v>
      </c>
      <c r="C185" s="21" t="str">
        <f t="shared" si="4"/>
        <v>A</v>
      </c>
      <c r="D185">
        <v>108</v>
      </c>
      <c r="E185">
        <v>114.635902141499</v>
      </c>
      <c r="F185">
        <v>114.635902141499</v>
      </c>
    </row>
    <row r="186" spans="1:6" x14ac:dyDescent="0.25">
      <c r="A186" s="21">
        <f t="shared" si="5"/>
        <v>0.1406355553520191</v>
      </c>
      <c r="C186" s="21" t="str">
        <f t="shared" si="4"/>
        <v>A</v>
      </c>
      <c r="D186">
        <v>104</v>
      </c>
      <c r="E186">
        <v>118.62609775660999</v>
      </c>
      <c r="F186">
        <v>118.62609775660999</v>
      </c>
    </row>
    <row r="187" spans="1:6" x14ac:dyDescent="0.25">
      <c r="A187" s="21">
        <f t="shared" si="5"/>
        <v>0.34381251770197485</v>
      </c>
      <c r="C187" s="21" t="str">
        <f t="shared" si="4"/>
        <v>B</v>
      </c>
      <c r="D187">
        <v>80</v>
      </c>
      <c r="E187">
        <v>107.505001416158</v>
      </c>
      <c r="F187"/>
    </row>
    <row r="188" spans="1:6" x14ac:dyDescent="0.25">
      <c r="A188" s="21">
        <f t="shared" si="5"/>
        <v>-0.27373714172851327</v>
      </c>
      <c r="C188" s="21" t="str">
        <f t="shared" si="4"/>
        <v>B</v>
      </c>
      <c r="D188">
        <v>150</v>
      </c>
      <c r="E188">
        <v>108.939428740723</v>
      </c>
      <c r="F188"/>
    </row>
    <row r="189" spans="1:6" x14ac:dyDescent="0.25">
      <c r="A189" s="21">
        <f t="shared" si="5"/>
        <v>0.26623109660432731</v>
      </c>
      <c r="C189" s="21" t="str">
        <f t="shared" si="4"/>
        <v>B</v>
      </c>
      <c r="D189">
        <v>110</v>
      </c>
      <c r="E189">
        <v>139.285420626476</v>
      </c>
      <c r="F189"/>
    </row>
    <row r="190" spans="1:6" x14ac:dyDescent="0.25">
      <c r="A190" s="21">
        <f t="shared" si="5"/>
        <v>0.40633203113695648</v>
      </c>
      <c r="C190" s="21" t="str">
        <f t="shared" si="4"/>
        <v>B</v>
      </c>
      <c r="D190">
        <v>92</v>
      </c>
      <c r="E190">
        <v>129.38254686459999</v>
      </c>
      <c r="F190"/>
    </row>
    <row r="191" spans="1:6" x14ac:dyDescent="0.25">
      <c r="A191" s="21">
        <f t="shared" si="5"/>
        <v>0.30812214134852378</v>
      </c>
      <c r="C191" s="21" t="str">
        <f t="shared" si="4"/>
        <v>B</v>
      </c>
      <c r="D191">
        <v>84</v>
      </c>
      <c r="E191">
        <v>109.882259873276</v>
      </c>
      <c r="F191"/>
    </row>
    <row r="192" spans="1:6" x14ac:dyDescent="0.25">
      <c r="A192" s="21">
        <f t="shared" si="5"/>
        <v>0.14300624234211035</v>
      </c>
      <c r="C192" s="21" t="str">
        <f t="shared" si="4"/>
        <v>A</v>
      </c>
      <c r="D192">
        <v>145</v>
      </c>
      <c r="E192">
        <v>165.73590513960599</v>
      </c>
      <c r="F192">
        <v>165.73590513960599</v>
      </c>
    </row>
    <row r="193" spans="1:6" x14ac:dyDescent="0.25">
      <c r="A193" s="21">
        <f t="shared" si="5"/>
        <v>4.7603096926048805E-2</v>
      </c>
      <c r="C193" s="21" t="str">
        <f t="shared" si="4"/>
        <v>A</v>
      </c>
      <c r="D193">
        <v>123</v>
      </c>
      <c r="E193">
        <v>128.85518092190401</v>
      </c>
      <c r="F193">
        <v>128.85518092190401</v>
      </c>
    </row>
    <row r="194" spans="1:6" x14ac:dyDescent="0.25">
      <c r="A194" s="21">
        <f t="shared" si="5"/>
        <v>0.15275112585100992</v>
      </c>
      <c r="C194" s="21" t="str">
        <f t="shared" si="4"/>
        <v>A</v>
      </c>
      <c r="D194">
        <v>100</v>
      </c>
      <c r="E194">
        <v>115.275112585101</v>
      </c>
      <c r="F194">
        <v>115.275112585101</v>
      </c>
    </row>
    <row r="195" spans="1:6" x14ac:dyDescent="0.25">
      <c r="A195" s="21">
        <f t="shared" si="5"/>
        <v>0.23840583810942517</v>
      </c>
      <c r="C195" s="21" t="str">
        <f t="shared" si="4"/>
        <v>B</v>
      </c>
      <c r="D195">
        <v>87</v>
      </c>
      <c r="E195">
        <v>107.74130791552</v>
      </c>
      <c r="F195"/>
    </row>
    <row r="196" spans="1:6" x14ac:dyDescent="0.25">
      <c r="A196" s="21">
        <f t="shared" si="5"/>
        <v>0.29551963198615128</v>
      </c>
      <c r="C196" s="21" t="str">
        <f t="shared" si="4"/>
        <v>B</v>
      </c>
      <c r="D196">
        <v>86</v>
      </c>
      <c r="E196">
        <v>111.414688350809</v>
      </c>
      <c r="F196"/>
    </row>
    <row r="197" spans="1:6" x14ac:dyDescent="0.25">
      <c r="A197" s="21">
        <f t="shared" si="5"/>
        <v>-6.2527354159380932E-2</v>
      </c>
      <c r="C197" s="21" t="str">
        <f t="shared" si="4"/>
        <v>A</v>
      </c>
      <c r="D197">
        <v>126</v>
      </c>
      <c r="E197">
        <v>118.121553375918</v>
      </c>
      <c r="F197">
        <v>118.121553375918</v>
      </c>
    </row>
    <row r="198" spans="1:6" x14ac:dyDescent="0.25">
      <c r="A198" s="21">
        <f t="shared" si="5"/>
        <v>8.2816778001182367E-3</v>
      </c>
      <c r="C198" s="21" t="str">
        <f t="shared" si="4"/>
        <v>A</v>
      </c>
      <c r="D198">
        <v>110</v>
      </c>
      <c r="E198">
        <v>110.910984558013</v>
      </c>
      <c r="F198">
        <v>110.910984558013</v>
      </c>
    </row>
    <row r="199" spans="1:6" x14ac:dyDescent="0.25">
      <c r="A199" s="21">
        <f t="shared" si="5"/>
        <v>0.18250147755891577</v>
      </c>
      <c r="C199" s="21" t="str">
        <f t="shared" si="4"/>
        <v>A</v>
      </c>
      <c r="D199">
        <v>95</v>
      </c>
      <c r="E199">
        <v>112.337640368097</v>
      </c>
      <c r="F199">
        <v>112.337640368097</v>
      </c>
    </row>
    <row r="200" spans="1:6" x14ac:dyDescent="0.25">
      <c r="A200" s="21">
        <f t="shared" si="5"/>
        <v>0.28397220498413644</v>
      </c>
      <c r="C200" s="21" t="str">
        <f t="shared" si="4"/>
        <v>B</v>
      </c>
      <c r="D200">
        <v>88</v>
      </c>
      <c r="E200">
        <v>112.989554038604</v>
      </c>
      <c r="F200"/>
    </row>
    <row r="201" spans="1:6" x14ac:dyDescent="0.25">
      <c r="A201" s="21">
        <f t="shared" si="5"/>
        <v>-0.18446176396453018</v>
      </c>
      <c r="C201" s="21" t="str">
        <f t="shared" si="4"/>
        <v>A</v>
      </c>
      <c r="D201">
        <v>149</v>
      </c>
      <c r="E201">
        <v>121.515197169285</v>
      </c>
      <c r="F201">
        <v>121.515197169285</v>
      </c>
    </row>
    <row r="202" spans="1:6" x14ac:dyDescent="0.25">
      <c r="A202" s="21">
        <f t="shared" si="5"/>
        <v>-0.12215568885313288</v>
      </c>
      <c r="C202" s="21" t="str">
        <f t="shared" si="4"/>
        <v>A</v>
      </c>
      <c r="D202">
        <v>143</v>
      </c>
      <c r="E202">
        <v>125.531736494002</v>
      </c>
      <c r="F202">
        <v>125.531736494002</v>
      </c>
    </row>
    <row r="203" spans="1:6" x14ac:dyDescent="0.25">
      <c r="A203" s="21">
        <f t="shared" si="5"/>
        <v>-0.10808869721771419</v>
      </c>
      <c r="C203" s="21" t="str">
        <f t="shared" si="4"/>
        <v>A</v>
      </c>
      <c r="D203">
        <v>133</v>
      </c>
      <c r="E203">
        <v>118.62420327004401</v>
      </c>
      <c r="F203">
        <v>118.62420327004401</v>
      </c>
    </row>
    <row r="204" spans="1:6" x14ac:dyDescent="0.25">
      <c r="A204" s="21">
        <f t="shared" si="5"/>
        <v>6.647997951932938E-3</v>
      </c>
      <c r="C204" s="21" t="str">
        <f t="shared" si="4"/>
        <v>A</v>
      </c>
      <c r="D204">
        <v>88</v>
      </c>
      <c r="E204">
        <v>88.5850238197701</v>
      </c>
      <c r="F204">
        <v>88.5850238197701</v>
      </c>
    </row>
    <row r="205" spans="1:6" x14ac:dyDescent="0.25">
      <c r="A205" s="21">
        <f t="shared" si="5"/>
        <v>0.29782974206672286</v>
      </c>
      <c r="C205" s="21" t="str">
        <f t="shared" si="4"/>
        <v>B</v>
      </c>
      <c r="D205">
        <v>83</v>
      </c>
      <c r="E205">
        <v>107.719868591538</v>
      </c>
      <c r="F205"/>
    </row>
    <row r="206" spans="1:6" x14ac:dyDescent="0.25">
      <c r="A206" s="21">
        <f t="shared" si="5"/>
        <v>-0.14348057767955946</v>
      </c>
      <c r="C206" s="21" t="str">
        <f t="shared" si="4"/>
        <v>A</v>
      </c>
      <c r="D206">
        <v>143</v>
      </c>
      <c r="E206">
        <v>122.482277391823</v>
      </c>
      <c r="F206">
        <v>122.482277391823</v>
      </c>
    </row>
    <row r="207" spans="1:6" x14ac:dyDescent="0.25">
      <c r="A207" s="21">
        <f t="shared" si="5"/>
        <v>9.3838896647982395E-2</v>
      </c>
      <c r="C207" s="21" t="str">
        <f t="shared" si="4"/>
        <v>A</v>
      </c>
      <c r="D207">
        <v>114</v>
      </c>
      <c r="E207">
        <v>124.69763421787</v>
      </c>
      <c r="F207">
        <v>124.69763421787</v>
      </c>
    </row>
    <row r="208" spans="1:6" x14ac:dyDescent="0.25">
      <c r="A208" s="21">
        <f t="shared" si="5"/>
        <v>7.9054380290361159E-2</v>
      </c>
      <c r="C208" s="21" t="str">
        <f t="shared" si="4"/>
        <v>A</v>
      </c>
      <c r="D208">
        <v>108</v>
      </c>
      <c r="E208">
        <v>116.537873071359</v>
      </c>
      <c r="F208">
        <v>116.537873071359</v>
      </c>
    </row>
    <row r="209" spans="1:6" x14ac:dyDescent="0.25">
      <c r="A209" s="21">
        <f t="shared" si="5"/>
        <v>0.54105132002202527</v>
      </c>
      <c r="C209" s="21" t="str">
        <f t="shared" si="4"/>
        <v>B</v>
      </c>
      <c r="D209">
        <v>79</v>
      </c>
      <c r="E209">
        <v>121.74305428174</v>
      </c>
      <c r="F209"/>
    </row>
    <row r="210" spans="1:6" x14ac:dyDescent="0.25">
      <c r="A210" s="21">
        <f t="shared" si="5"/>
        <v>-0.18096475702477777</v>
      </c>
      <c r="C210" s="21" t="str">
        <f t="shared" si="4"/>
        <v>A</v>
      </c>
      <c r="D210">
        <v>135</v>
      </c>
      <c r="E210">
        <v>110.569757801655</v>
      </c>
      <c r="F210">
        <v>110.569757801655</v>
      </c>
    </row>
    <row r="211" spans="1:6" x14ac:dyDescent="0.25">
      <c r="A211" s="21">
        <f t="shared" si="5"/>
        <v>0.14485023399832775</v>
      </c>
      <c r="C211" s="21" t="str">
        <f t="shared" si="4"/>
        <v>A</v>
      </c>
      <c r="D211">
        <v>119</v>
      </c>
      <c r="E211">
        <v>136.237177845801</v>
      </c>
      <c r="F211">
        <v>136.237177845801</v>
      </c>
    </row>
    <row r="212" spans="1:6" x14ac:dyDescent="0.25">
      <c r="A212" s="21">
        <f t="shared" si="5"/>
        <v>5.8332829150878451E-2</v>
      </c>
      <c r="C212" s="21" t="str">
        <f t="shared" si="4"/>
        <v>A</v>
      </c>
      <c r="D212">
        <v>107</v>
      </c>
      <c r="E212">
        <v>113.241612719144</v>
      </c>
      <c r="F212">
        <v>113.241612719144</v>
      </c>
    </row>
    <row r="213" spans="1:6" x14ac:dyDescent="0.25">
      <c r="A213" s="21">
        <f t="shared" si="5"/>
        <v>-9.5132320799349301E-2</v>
      </c>
      <c r="C213" s="21" t="str">
        <f t="shared" si="4"/>
        <v>A</v>
      </c>
      <c r="D213">
        <v>146</v>
      </c>
      <c r="E213">
        <v>132.110681163295</v>
      </c>
      <c r="F213">
        <v>132.110681163295</v>
      </c>
    </row>
    <row r="214" spans="1:6" x14ac:dyDescent="0.25">
      <c r="A214" s="21">
        <f t="shared" si="5"/>
        <v>0.13087111331748758</v>
      </c>
      <c r="C214" s="21" t="str">
        <f t="shared" si="4"/>
        <v>A</v>
      </c>
      <c r="D214">
        <v>121</v>
      </c>
      <c r="E214">
        <v>136.835404711416</v>
      </c>
      <c r="F214">
        <v>136.835404711416</v>
      </c>
    </row>
    <row r="215" spans="1:6" x14ac:dyDescent="0.25">
      <c r="A215" s="21">
        <f t="shared" si="5"/>
        <v>0.16986324356785554</v>
      </c>
      <c r="C215" s="21" t="str">
        <f t="shared" si="4"/>
        <v>A</v>
      </c>
      <c r="D215">
        <v>90</v>
      </c>
      <c r="E215">
        <v>105.287691921107</v>
      </c>
      <c r="F215">
        <v>105.287691921107</v>
      </c>
    </row>
    <row r="216" spans="1:6" x14ac:dyDescent="0.25">
      <c r="A216" s="21">
        <f t="shared" si="5"/>
        <v>0.17935241991976736</v>
      </c>
      <c r="C216" s="21" t="str">
        <f t="shared" si="4"/>
        <v>A</v>
      </c>
      <c r="D216">
        <v>86</v>
      </c>
      <c r="E216">
        <v>101.4243081131</v>
      </c>
      <c r="F216">
        <v>101.4243081131</v>
      </c>
    </row>
    <row r="217" spans="1:6" x14ac:dyDescent="0.25">
      <c r="A217" s="21">
        <f t="shared" si="5"/>
        <v>-0.11543364340803786</v>
      </c>
      <c r="C217" s="21" t="str">
        <f t="shared" si="4"/>
        <v>A</v>
      </c>
      <c r="D217">
        <v>132</v>
      </c>
      <c r="E217">
        <v>116.762759070139</v>
      </c>
      <c r="F217">
        <v>116.762759070139</v>
      </c>
    </row>
    <row r="218" spans="1:6" x14ac:dyDescent="0.25">
      <c r="A218" s="21">
        <f t="shared" si="5"/>
        <v>0.19257408054740388</v>
      </c>
      <c r="C218" s="21" t="str">
        <f t="shared" si="4"/>
        <v>A</v>
      </c>
      <c r="D218">
        <v>109</v>
      </c>
      <c r="E218">
        <v>129.99057477966701</v>
      </c>
      <c r="F218">
        <v>129.99057477966701</v>
      </c>
    </row>
    <row r="219" spans="1:6" x14ac:dyDescent="0.25">
      <c r="A219" s="21">
        <f t="shared" si="5"/>
        <v>9.7890976535000007E-2</v>
      </c>
      <c r="C219" s="21" t="str">
        <f t="shared" si="4"/>
        <v>A</v>
      </c>
      <c r="D219">
        <v>95</v>
      </c>
      <c r="E219">
        <v>104.299642770825</v>
      </c>
      <c r="F219">
        <v>104.299642770825</v>
      </c>
    </row>
    <row r="220" spans="1:6" x14ac:dyDescent="0.25">
      <c r="A220" s="21">
        <f t="shared" si="5"/>
        <v>0.25770567358055052</v>
      </c>
      <c r="C220" s="21" t="str">
        <f t="shared" si="4"/>
        <v>B</v>
      </c>
      <c r="D220">
        <v>89</v>
      </c>
      <c r="E220">
        <v>111.935804948669</v>
      </c>
      <c r="F220"/>
    </row>
    <row r="221" spans="1:6" x14ac:dyDescent="0.25">
      <c r="A221" s="21">
        <f t="shared" si="5"/>
        <v>0.25916057003045223</v>
      </c>
      <c r="C221" s="21" t="str">
        <f t="shared" si="4"/>
        <v>B</v>
      </c>
      <c r="D221">
        <v>126</v>
      </c>
      <c r="E221">
        <v>158.65423182383699</v>
      </c>
      <c r="F221"/>
    </row>
    <row r="222" spans="1:6" x14ac:dyDescent="0.25">
      <c r="A222" s="21">
        <f t="shared" si="5"/>
        <v>0.43767097286927581</v>
      </c>
      <c r="C222" s="21" t="str">
        <f t="shared" si="4"/>
        <v>B</v>
      </c>
      <c r="D222">
        <v>116</v>
      </c>
      <c r="E222">
        <v>166.769832852836</v>
      </c>
      <c r="F222"/>
    </row>
    <row r="223" spans="1:6" x14ac:dyDescent="0.25">
      <c r="A223" s="21">
        <f t="shared" si="5"/>
        <v>0.10951669908342598</v>
      </c>
      <c r="C223" s="21" t="str">
        <f t="shared" si="4"/>
        <v>A</v>
      </c>
      <c r="D223">
        <v>108</v>
      </c>
      <c r="E223">
        <v>119.82780350101</v>
      </c>
      <c r="F223">
        <v>119.82780350101</v>
      </c>
    </row>
    <row r="224" spans="1:6" x14ac:dyDescent="0.25">
      <c r="A224" s="21">
        <f t="shared" si="5"/>
        <v>-5.7055002286678591E-2</v>
      </c>
      <c r="C224" s="21" t="str">
        <f t="shared" si="4"/>
        <v>A</v>
      </c>
      <c r="D224">
        <v>112</v>
      </c>
      <c r="E224">
        <v>105.609839743892</v>
      </c>
      <c r="F224">
        <v>105.609839743892</v>
      </c>
    </row>
    <row r="225" spans="1:6" x14ac:dyDescent="0.25">
      <c r="A225" s="21">
        <f t="shared" si="5"/>
        <v>0.26749872833172628</v>
      </c>
      <c r="C225" s="21" t="str">
        <f t="shared" si="4"/>
        <v>B</v>
      </c>
      <c r="D225">
        <v>95</v>
      </c>
      <c r="E225">
        <v>120.41237919151401</v>
      </c>
      <c r="F225"/>
    </row>
    <row r="226" spans="1:6" x14ac:dyDescent="0.25">
      <c r="A226" s="21">
        <f t="shared" si="5"/>
        <v>0.2220530554244895</v>
      </c>
      <c r="C226" s="21" t="str">
        <f t="shared" si="4"/>
        <v>B</v>
      </c>
      <c r="D226">
        <v>94</v>
      </c>
      <c r="E226">
        <v>114.87298720990201</v>
      </c>
      <c r="F226"/>
    </row>
    <row r="227" spans="1:6" x14ac:dyDescent="0.25">
      <c r="A227" s="21">
        <f t="shared" si="5"/>
        <v>-3.7135132035072793E-2</v>
      </c>
      <c r="C227" s="21" t="str">
        <f t="shared" si="4"/>
        <v>A</v>
      </c>
      <c r="D227">
        <v>92</v>
      </c>
      <c r="E227">
        <v>88.583567852773299</v>
      </c>
      <c r="F227">
        <v>88.583567852773299</v>
      </c>
    </row>
    <row r="228" spans="1:6" x14ac:dyDescent="0.25">
      <c r="A228" s="21">
        <f t="shared" si="5"/>
        <v>-2.7119112579564897E-2</v>
      </c>
      <c r="C228" s="21" t="str">
        <f t="shared" si="4"/>
        <v>A</v>
      </c>
      <c r="D228">
        <v>131</v>
      </c>
      <c r="E228">
        <v>127.447396252077</v>
      </c>
      <c r="F228">
        <v>127.447396252077</v>
      </c>
    </row>
    <row r="229" spans="1:6" x14ac:dyDescent="0.25">
      <c r="A229" s="21">
        <f t="shared" si="5"/>
        <v>3.2189985446560154E-2</v>
      </c>
      <c r="C229" s="21" t="str">
        <f t="shared" si="4"/>
        <v>A</v>
      </c>
      <c r="D229">
        <v>125</v>
      </c>
      <c r="E229">
        <v>129.02374818082001</v>
      </c>
      <c r="F229">
        <v>129.02374818082001</v>
      </c>
    </row>
    <row r="230" spans="1:6" x14ac:dyDescent="0.25">
      <c r="A230" s="21">
        <f t="shared" si="5"/>
        <v>0.17702771967521902</v>
      </c>
      <c r="C230" s="21" t="str">
        <f t="shared" si="4"/>
        <v>A</v>
      </c>
      <c r="D230">
        <v>105</v>
      </c>
      <c r="E230">
        <v>123.587910565898</v>
      </c>
      <c r="F230">
        <v>123.587910565898</v>
      </c>
    </row>
    <row r="231" spans="1:6" x14ac:dyDescent="0.25">
      <c r="A231" s="21">
        <f t="shared" si="5"/>
        <v>0.34434102000781408</v>
      </c>
      <c r="C231" s="21" t="str">
        <f t="shared" ref="C231:C261" si="6">IF(OR(A231&gt;=20%,A231&lt;=-20%),"B","A")</f>
        <v>B</v>
      </c>
      <c r="D231">
        <v>86</v>
      </c>
      <c r="E231">
        <v>115.613327720672</v>
      </c>
      <c r="F231"/>
    </row>
    <row r="232" spans="1:6" x14ac:dyDescent="0.25">
      <c r="A232" s="21">
        <f t="shared" ref="A232:A261" si="7">E232/D232-1</f>
        <v>0.32516360110407128</v>
      </c>
      <c r="C232" s="21" t="str">
        <f t="shared" si="6"/>
        <v>B</v>
      </c>
      <c r="D232">
        <v>126</v>
      </c>
      <c r="E232">
        <v>166.97061373911299</v>
      </c>
      <c r="F232"/>
    </row>
    <row r="233" spans="1:6" x14ac:dyDescent="0.25">
      <c r="A233" s="21">
        <f t="shared" si="7"/>
        <v>5.8257939842896622E-2</v>
      </c>
      <c r="C233" s="21" t="str">
        <f t="shared" si="6"/>
        <v>A</v>
      </c>
      <c r="D233">
        <v>116</v>
      </c>
      <c r="E233">
        <v>122.757921021776</v>
      </c>
      <c r="F233">
        <v>122.757921021776</v>
      </c>
    </row>
    <row r="234" spans="1:6" x14ac:dyDescent="0.25">
      <c r="A234" s="21">
        <f t="shared" si="7"/>
        <v>0.40234460815036033</v>
      </c>
      <c r="C234" s="21" t="str">
        <f t="shared" si="6"/>
        <v>B</v>
      </c>
      <c r="D234">
        <v>111</v>
      </c>
      <c r="E234">
        <v>155.66025150469</v>
      </c>
      <c r="F234"/>
    </row>
    <row r="235" spans="1:6" x14ac:dyDescent="0.25">
      <c r="A235" s="21">
        <f t="shared" si="7"/>
        <v>0.29774492653957774</v>
      </c>
      <c r="C235" s="21" t="str">
        <f t="shared" si="6"/>
        <v>B</v>
      </c>
      <c r="D235">
        <v>90</v>
      </c>
      <c r="E235">
        <v>116.797043388562</v>
      </c>
      <c r="F235"/>
    </row>
    <row r="236" spans="1:6" x14ac:dyDescent="0.25">
      <c r="A236" s="21">
        <f t="shared" si="7"/>
        <v>-8.8899720340240074E-2</v>
      </c>
      <c r="C236" s="21" t="str">
        <f t="shared" si="6"/>
        <v>A</v>
      </c>
      <c r="D236">
        <v>125</v>
      </c>
      <c r="E236">
        <v>113.88753495747</v>
      </c>
      <c r="F236">
        <v>113.88753495747</v>
      </c>
    </row>
    <row r="237" spans="1:6" x14ac:dyDescent="0.25">
      <c r="A237" s="21">
        <f t="shared" si="7"/>
        <v>0.23836036072795785</v>
      </c>
      <c r="C237" s="21" t="str">
        <f t="shared" si="6"/>
        <v>B</v>
      </c>
      <c r="D237">
        <v>95</v>
      </c>
      <c r="E237">
        <v>117.644234269156</v>
      </c>
      <c r="F237"/>
    </row>
    <row r="238" spans="1:6" x14ac:dyDescent="0.25">
      <c r="A238" s="21">
        <f t="shared" si="7"/>
        <v>8.8366399336408552E-2</v>
      </c>
      <c r="C238" s="21" t="str">
        <f t="shared" si="6"/>
        <v>A</v>
      </c>
      <c r="D238">
        <v>93</v>
      </c>
      <c r="E238">
        <v>101.218075138286</v>
      </c>
      <c r="F238">
        <v>101.218075138286</v>
      </c>
    </row>
    <row r="239" spans="1:6" x14ac:dyDescent="0.25">
      <c r="A239" s="21">
        <f t="shared" si="7"/>
        <v>0.28127990844714823</v>
      </c>
      <c r="C239" s="21" t="str">
        <f t="shared" si="6"/>
        <v>B</v>
      </c>
      <c r="D239">
        <v>81</v>
      </c>
      <c r="E239">
        <v>103.783672584219</v>
      </c>
      <c r="F239"/>
    </row>
    <row r="240" spans="1:6" x14ac:dyDescent="0.25">
      <c r="A240" s="21">
        <f t="shared" si="7"/>
        <v>0.14227394144114136</v>
      </c>
      <c r="C240" s="21" t="str">
        <f t="shared" si="6"/>
        <v>A</v>
      </c>
      <c r="D240">
        <v>92</v>
      </c>
      <c r="E240">
        <v>105.089202612585</v>
      </c>
      <c r="F240">
        <v>105.089202612585</v>
      </c>
    </row>
    <row r="241" spans="1:6" x14ac:dyDescent="0.25">
      <c r="A241" s="21">
        <f t="shared" si="7"/>
        <v>0.20146925070889532</v>
      </c>
      <c r="C241" s="21" t="str">
        <f t="shared" si="6"/>
        <v>B</v>
      </c>
      <c r="D241">
        <v>86</v>
      </c>
      <c r="E241">
        <v>103.326355560965</v>
      </c>
      <c r="F241"/>
    </row>
    <row r="242" spans="1:6" x14ac:dyDescent="0.25">
      <c r="A242" s="21">
        <f t="shared" si="7"/>
        <v>0.15295944560881947</v>
      </c>
      <c r="C242" s="21" t="str">
        <f t="shared" si="6"/>
        <v>A</v>
      </c>
      <c r="D242">
        <v>82</v>
      </c>
      <c r="E242">
        <v>94.542674539923198</v>
      </c>
      <c r="F242">
        <v>94.542674539923198</v>
      </c>
    </row>
    <row r="243" spans="1:6" x14ac:dyDescent="0.25">
      <c r="A243" s="21">
        <f t="shared" si="7"/>
        <v>-0.12575844593286611</v>
      </c>
      <c r="C243" s="21" t="str">
        <f t="shared" si="6"/>
        <v>A</v>
      </c>
      <c r="D243">
        <v>127</v>
      </c>
      <c r="E243">
        <v>111.028677366526</v>
      </c>
      <c r="F243">
        <v>111.028677366526</v>
      </c>
    </row>
    <row r="244" spans="1:6" x14ac:dyDescent="0.25">
      <c r="A244" s="21">
        <f t="shared" si="7"/>
        <v>0.14513746530423299</v>
      </c>
      <c r="C244" s="21" t="str">
        <f t="shared" si="6"/>
        <v>A</v>
      </c>
      <c r="D244">
        <v>103</v>
      </c>
      <c r="E244">
        <v>117.949158926336</v>
      </c>
      <c r="F244">
        <v>117.949158926336</v>
      </c>
    </row>
    <row r="245" spans="1:6" x14ac:dyDescent="0.25">
      <c r="A245" s="21">
        <f t="shared" si="7"/>
        <v>0.12956968908633382</v>
      </c>
      <c r="C245" s="21" t="str">
        <f t="shared" si="6"/>
        <v>A</v>
      </c>
      <c r="D245">
        <v>86</v>
      </c>
      <c r="E245">
        <v>97.142993261424706</v>
      </c>
      <c r="F245">
        <v>97.142993261424706</v>
      </c>
    </row>
    <row r="246" spans="1:6" x14ac:dyDescent="0.25">
      <c r="A246" s="21">
        <f t="shared" si="7"/>
        <v>0.4083145915373545</v>
      </c>
      <c r="C246" s="21" t="str">
        <f t="shared" si="6"/>
        <v>B</v>
      </c>
      <c r="D246">
        <v>79</v>
      </c>
      <c r="E246">
        <v>111.256852731451</v>
      </c>
      <c r="F246"/>
    </row>
    <row r="247" spans="1:6" x14ac:dyDescent="0.25">
      <c r="A247" s="21">
        <f t="shared" si="7"/>
        <v>-0.28270835011072504</v>
      </c>
      <c r="C247" s="21" t="str">
        <f t="shared" si="6"/>
        <v>B</v>
      </c>
      <c r="D247">
        <v>160</v>
      </c>
      <c r="E247">
        <v>114.766663982284</v>
      </c>
      <c r="F247"/>
    </row>
    <row r="248" spans="1:6" x14ac:dyDescent="0.25">
      <c r="A248" s="21">
        <f t="shared" si="7"/>
        <v>-0.1214927152937556</v>
      </c>
      <c r="C248" s="21" t="str">
        <f t="shared" si="6"/>
        <v>A</v>
      </c>
      <c r="D248">
        <v>135</v>
      </c>
      <c r="E248">
        <v>118.598483435343</v>
      </c>
      <c r="F248">
        <v>118.598483435343</v>
      </c>
    </row>
    <row r="249" spans="1:6" x14ac:dyDescent="0.25">
      <c r="A249" s="21">
        <f t="shared" si="7"/>
        <v>3.2594571986367837E-2</v>
      </c>
      <c r="C249" s="21" t="str">
        <f t="shared" si="6"/>
        <v>A</v>
      </c>
      <c r="D249">
        <v>106</v>
      </c>
      <c r="E249">
        <v>109.455024630555</v>
      </c>
      <c r="F249">
        <v>109.455024630555</v>
      </c>
    </row>
    <row r="250" spans="1:6" x14ac:dyDescent="0.25">
      <c r="A250" s="21">
        <f t="shared" si="7"/>
        <v>0.31423090221954997</v>
      </c>
      <c r="C250" s="21" t="str">
        <f t="shared" si="6"/>
        <v>B</v>
      </c>
      <c r="D250">
        <v>80</v>
      </c>
      <c r="E250">
        <v>105.138472177564</v>
      </c>
      <c r="F250"/>
    </row>
    <row r="251" spans="1:6" x14ac:dyDescent="0.25">
      <c r="A251" s="21">
        <f t="shared" si="7"/>
        <v>-8.120197308651611E-2</v>
      </c>
      <c r="C251" s="21" t="str">
        <f t="shared" si="6"/>
        <v>A</v>
      </c>
      <c r="D251">
        <v>124</v>
      </c>
      <c r="E251">
        <v>113.930955337272</v>
      </c>
      <c r="F251">
        <v>113.930955337272</v>
      </c>
    </row>
    <row r="252" spans="1:6" x14ac:dyDescent="0.25">
      <c r="A252" s="21">
        <f t="shared" si="7"/>
        <v>6.6588938054035651E-2</v>
      </c>
      <c r="C252" s="21" t="str">
        <f t="shared" si="6"/>
        <v>A</v>
      </c>
      <c r="D252">
        <v>112</v>
      </c>
      <c r="E252">
        <v>119.45796106205199</v>
      </c>
      <c r="F252">
        <v>119.45796106205199</v>
      </c>
    </row>
    <row r="253" spans="1:6" x14ac:dyDescent="0.25">
      <c r="A253" s="21">
        <f t="shared" si="7"/>
        <v>0.1247149437095938</v>
      </c>
      <c r="C253" s="21" t="str">
        <f t="shared" si="6"/>
        <v>A</v>
      </c>
      <c r="D253">
        <v>96</v>
      </c>
      <c r="E253">
        <v>107.972634596121</v>
      </c>
      <c r="F253">
        <v>107.972634596121</v>
      </c>
    </row>
    <row r="254" spans="1:6" x14ac:dyDescent="0.25">
      <c r="A254" s="21">
        <f t="shared" si="7"/>
        <v>0.32598078231661054</v>
      </c>
      <c r="C254" s="21" t="str">
        <f t="shared" si="6"/>
        <v>B</v>
      </c>
      <c r="D254">
        <v>77</v>
      </c>
      <c r="E254">
        <v>102.100520238379</v>
      </c>
      <c r="F254"/>
    </row>
    <row r="255" spans="1:6" x14ac:dyDescent="0.25">
      <c r="A255" s="21">
        <f t="shared" si="7"/>
        <v>-0.17871879891368614</v>
      </c>
      <c r="C255" s="21" t="str">
        <f t="shared" si="6"/>
        <v>A</v>
      </c>
      <c r="D255">
        <v>137</v>
      </c>
      <c r="E255">
        <v>112.515524548825</v>
      </c>
      <c r="F255">
        <v>112.515524548825</v>
      </c>
    </row>
    <row r="256" spans="1:6" x14ac:dyDescent="0.25">
      <c r="A256" s="21">
        <f t="shared" si="7"/>
        <v>-7.932838893523142E-3</v>
      </c>
      <c r="C256" s="21" t="str">
        <f t="shared" si="6"/>
        <v>A</v>
      </c>
      <c r="D256">
        <v>130</v>
      </c>
      <c r="E256">
        <v>128.96873094384199</v>
      </c>
      <c r="F256">
        <v>128.96873094384199</v>
      </c>
    </row>
    <row r="257" spans="1:6" x14ac:dyDescent="0.25">
      <c r="A257" s="21">
        <f t="shared" si="7"/>
        <v>-3.3811397177156977E-2</v>
      </c>
      <c r="C257" s="21" t="str">
        <f t="shared" si="6"/>
        <v>A</v>
      </c>
      <c r="D257">
        <v>121</v>
      </c>
      <c r="E257">
        <v>116.908820941564</v>
      </c>
      <c r="F257">
        <v>116.908820941564</v>
      </c>
    </row>
    <row r="258" spans="1:6" x14ac:dyDescent="0.25">
      <c r="A258" s="21">
        <f t="shared" si="7"/>
        <v>0.13370660865635164</v>
      </c>
      <c r="C258" s="21" t="str">
        <f t="shared" si="6"/>
        <v>A</v>
      </c>
      <c r="D258">
        <v>91</v>
      </c>
      <c r="E258">
        <v>103.167301387728</v>
      </c>
      <c r="F258">
        <v>103.167301387728</v>
      </c>
    </row>
    <row r="259" spans="1:6" x14ac:dyDescent="0.25">
      <c r="A259" s="21">
        <f t="shared" si="7"/>
        <v>8.2197488427065757E-2</v>
      </c>
      <c r="C259" s="21" t="str">
        <f t="shared" si="6"/>
        <v>A</v>
      </c>
      <c r="D259">
        <v>137</v>
      </c>
      <c r="E259">
        <v>148.26105591450801</v>
      </c>
      <c r="F259">
        <v>148.26105591450801</v>
      </c>
    </row>
    <row r="260" spans="1:6" x14ac:dyDescent="0.25">
      <c r="A260" s="21">
        <f t="shared" si="7"/>
        <v>0.17905262638003383</v>
      </c>
      <c r="C260" s="21" t="str">
        <f t="shared" si="6"/>
        <v>A</v>
      </c>
      <c r="D260">
        <v>119</v>
      </c>
      <c r="E260">
        <v>140.30726253922401</v>
      </c>
      <c r="F260">
        <v>140.30726253922401</v>
      </c>
    </row>
    <row r="261" spans="1:6" x14ac:dyDescent="0.25">
      <c r="A261" s="21">
        <f t="shared" si="7"/>
        <v>0.1006643214427374</v>
      </c>
      <c r="C261" s="21" t="str">
        <f t="shared" si="6"/>
        <v>A</v>
      </c>
      <c r="D261">
        <v>99</v>
      </c>
      <c r="E261">
        <v>108.965767822831</v>
      </c>
      <c r="F261">
        <v>108.965767822831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3"/>
  <sheetViews>
    <sheetView topLeftCell="D35" zoomScale="80" zoomScaleNormal="80" workbookViewId="0">
      <selection activeCell="Q47" sqref="Q47"/>
    </sheetView>
  </sheetViews>
  <sheetFormatPr defaultRowHeight="16.5" x14ac:dyDescent="0.25"/>
  <cols>
    <col min="1" max="1" width="9" style="1"/>
    <col min="2" max="2" width="8.5" style="1" customWidth="1"/>
    <col min="3" max="3" width="7" style="1" customWidth="1"/>
    <col min="4" max="4" width="9" style="1"/>
    <col min="5" max="8" width="12.125" style="1" customWidth="1"/>
    <col min="9" max="9" width="13.125" style="1" customWidth="1"/>
    <col min="10" max="10" width="14.125" style="1" customWidth="1"/>
    <col min="11" max="12" width="13.25" style="1" customWidth="1"/>
    <col min="13" max="13" width="12.375" style="1" customWidth="1"/>
    <col min="14" max="14" width="12.125" style="1" customWidth="1"/>
    <col min="15" max="15" width="11.5" style="1" customWidth="1"/>
    <col min="16" max="16" width="9" style="1"/>
    <col min="17" max="17" width="10.625" style="1" bestFit="1" customWidth="1"/>
    <col min="18" max="18" width="8.25" style="1" customWidth="1"/>
    <col min="19" max="16384" width="9" style="1"/>
  </cols>
  <sheetData>
    <row r="1" spans="4:16" x14ac:dyDescent="0.25">
      <c r="D1" s="1" t="s">
        <v>4</v>
      </c>
      <c r="H1" s="1" t="s">
        <v>5</v>
      </c>
    </row>
    <row r="2" spans="4:16" x14ac:dyDescent="0.25">
      <c r="D2" s="1" t="s">
        <v>6</v>
      </c>
      <c r="E2" s="1" t="s">
        <v>7</v>
      </c>
      <c r="F2" s="1" t="s">
        <v>8</v>
      </c>
      <c r="G2" s="1" t="s">
        <v>0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2</v>
      </c>
      <c r="P2" s="1" t="s">
        <v>0</v>
      </c>
    </row>
    <row r="3" spans="4:16" x14ac:dyDescent="0.25">
      <c r="D3" s="1">
        <v>0</v>
      </c>
      <c r="E3" s="1">
        <v>0</v>
      </c>
      <c r="H3" s="1">
        <v>50</v>
      </c>
    </row>
    <row r="4" spans="4:16" x14ac:dyDescent="0.25">
      <c r="D4" s="1">
        <v>30</v>
      </c>
      <c r="E4" s="1">
        <v>30</v>
      </c>
      <c r="H4" s="1">
        <v>50</v>
      </c>
    </row>
    <row r="5" spans="4:16" x14ac:dyDescent="0.25">
      <c r="D5" s="1">
        <v>140</v>
      </c>
      <c r="E5" s="1">
        <v>140</v>
      </c>
      <c r="H5" s="1">
        <v>170</v>
      </c>
    </row>
    <row r="6" spans="4:16" x14ac:dyDescent="0.25">
      <c r="D6" s="1">
        <v>280</v>
      </c>
      <c r="E6" s="1">
        <v>280</v>
      </c>
      <c r="H6" s="1">
        <v>380</v>
      </c>
    </row>
    <row r="7" spans="4:16" x14ac:dyDescent="0.25">
      <c r="D7" s="1">
        <v>860</v>
      </c>
      <c r="E7" s="1">
        <v>430</v>
      </c>
      <c r="H7" s="1">
        <v>1100</v>
      </c>
    </row>
    <row r="8" spans="4:16" x14ac:dyDescent="0.25">
      <c r="D8" s="1">
        <v>120</v>
      </c>
      <c r="E8" s="1">
        <v>120</v>
      </c>
      <c r="K8" s="1">
        <v>0</v>
      </c>
    </row>
    <row r="9" spans="4:16" x14ac:dyDescent="0.25">
      <c r="D9" s="1">
        <v>120</v>
      </c>
      <c r="E9" s="1">
        <v>120</v>
      </c>
      <c r="K9" s="1">
        <v>30</v>
      </c>
    </row>
    <row r="10" spans="4:16" x14ac:dyDescent="0.25">
      <c r="D10" s="1">
        <v>260</v>
      </c>
      <c r="E10" s="1">
        <v>260</v>
      </c>
      <c r="K10" s="1">
        <v>130</v>
      </c>
    </row>
    <row r="11" spans="4:16" x14ac:dyDescent="0.25">
      <c r="D11" s="1">
        <v>550</v>
      </c>
      <c r="E11" s="1">
        <v>550</v>
      </c>
      <c r="K11" s="1">
        <v>250</v>
      </c>
    </row>
    <row r="12" spans="4:16" x14ac:dyDescent="0.25">
      <c r="D12" s="1">
        <v>50</v>
      </c>
      <c r="I12" s="1">
        <v>0</v>
      </c>
    </row>
    <row r="13" spans="4:16" x14ac:dyDescent="0.25">
      <c r="D13" s="1">
        <v>50</v>
      </c>
      <c r="I13" s="1">
        <v>30</v>
      </c>
    </row>
    <row r="14" spans="4:16" x14ac:dyDescent="0.25">
      <c r="D14" s="1">
        <v>170</v>
      </c>
      <c r="I14" s="1">
        <v>145</v>
      </c>
    </row>
    <row r="15" spans="4:16" x14ac:dyDescent="0.25">
      <c r="D15" s="1">
        <v>385</v>
      </c>
      <c r="I15" s="1">
        <v>300</v>
      </c>
    </row>
    <row r="16" spans="4:16" x14ac:dyDescent="0.25">
      <c r="D16" s="1">
        <v>550</v>
      </c>
      <c r="I16" s="1">
        <v>450</v>
      </c>
    </row>
    <row r="17" spans="4:14" x14ac:dyDescent="0.25">
      <c r="D17" s="1">
        <v>0</v>
      </c>
      <c r="J17" s="1">
        <v>60</v>
      </c>
    </row>
    <row r="18" spans="4:14" x14ac:dyDescent="0.25">
      <c r="D18" s="1">
        <v>30</v>
      </c>
      <c r="J18" s="1">
        <v>60</v>
      </c>
    </row>
    <row r="19" spans="4:14" x14ac:dyDescent="0.25">
      <c r="D19" s="1">
        <v>50</v>
      </c>
      <c r="J19" s="1">
        <v>80</v>
      </c>
    </row>
    <row r="20" spans="4:14" x14ac:dyDescent="0.25">
      <c r="D20" s="1">
        <v>70</v>
      </c>
      <c r="J20" s="1">
        <v>110</v>
      </c>
    </row>
    <row r="21" spans="4:14" x14ac:dyDescent="0.25">
      <c r="D21" s="1">
        <v>520</v>
      </c>
      <c r="J21" s="1">
        <v>1100</v>
      </c>
    </row>
    <row r="22" spans="4:14" x14ac:dyDescent="0.25">
      <c r="D22" s="1">
        <v>250</v>
      </c>
      <c r="M22" s="1">
        <v>0</v>
      </c>
    </row>
    <row r="23" spans="4:14" x14ac:dyDescent="0.25">
      <c r="D23" s="1">
        <v>250</v>
      </c>
      <c r="M23" s="1">
        <v>40</v>
      </c>
    </row>
    <row r="24" spans="4:14" x14ac:dyDescent="0.25">
      <c r="D24" s="1">
        <v>550</v>
      </c>
      <c r="M24" s="1">
        <v>150</v>
      </c>
    </row>
    <row r="25" spans="4:14" x14ac:dyDescent="0.25">
      <c r="D25" s="1">
        <v>0</v>
      </c>
      <c r="L25" s="1">
        <v>100</v>
      </c>
    </row>
    <row r="26" spans="4:14" x14ac:dyDescent="0.25">
      <c r="D26" s="1">
        <v>25</v>
      </c>
      <c r="L26" s="1">
        <v>100</v>
      </c>
    </row>
    <row r="27" spans="4:14" x14ac:dyDescent="0.25">
      <c r="D27" s="1">
        <v>50</v>
      </c>
      <c r="L27" s="1">
        <v>125</v>
      </c>
    </row>
    <row r="28" spans="4:14" x14ac:dyDescent="0.25">
      <c r="D28" s="1">
        <v>80</v>
      </c>
      <c r="L28" s="1">
        <v>215</v>
      </c>
    </row>
    <row r="29" spans="4:14" x14ac:dyDescent="0.25">
      <c r="D29" s="1">
        <v>250</v>
      </c>
      <c r="L29" s="1">
        <v>1100</v>
      </c>
    </row>
    <row r="30" spans="4:14" x14ac:dyDescent="0.25">
      <c r="D30" s="1">
        <v>0</v>
      </c>
      <c r="N30" s="1">
        <v>150</v>
      </c>
    </row>
    <row r="31" spans="4:14" x14ac:dyDescent="0.25">
      <c r="D31" s="1">
        <v>35</v>
      </c>
      <c r="N31" s="1">
        <v>155</v>
      </c>
    </row>
    <row r="32" spans="4:14" x14ac:dyDescent="0.25">
      <c r="D32" s="1">
        <v>100</v>
      </c>
      <c r="N32" s="1">
        <v>1100</v>
      </c>
    </row>
    <row r="33" spans="1:20" x14ac:dyDescent="0.25">
      <c r="D33" s="1">
        <v>0</v>
      </c>
      <c r="O33" s="1">
        <v>0</v>
      </c>
    </row>
    <row r="34" spans="1:20" x14ac:dyDescent="0.25">
      <c r="D34" s="1">
        <v>550</v>
      </c>
      <c r="O34" s="1">
        <v>550</v>
      </c>
    </row>
    <row r="36" spans="1:20" ht="17.25" thickBot="1" x14ac:dyDescent="0.3"/>
    <row r="37" spans="1:20" ht="17.25" x14ac:dyDescent="0.25">
      <c r="D37" s="2" t="s">
        <v>18</v>
      </c>
      <c r="E37" s="15" t="s">
        <v>42</v>
      </c>
      <c r="F37" s="15" t="s">
        <v>34</v>
      </c>
      <c r="G37" s="15" t="s">
        <v>35</v>
      </c>
      <c r="H37" s="15" t="s">
        <v>54</v>
      </c>
      <c r="I37" s="15" t="s">
        <v>55</v>
      </c>
      <c r="J37" s="15" t="s">
        <v>56</v>
      </c>
      <c r="K37" s="15" t="s">
        <v>57</v>
      </c>
      <c r="L37" s="15" t="s">
        <v>58</v>
      </c>
      <c r="M37" s="15" t="s">
        <v>59</v>
      </c>
      <c r="N37" s="15" t="s">
        <v>60</v>
      </c>
      <c r="O37" s="15" t="s">
        <v>61</v>
      </c>
      <c r="P37" s="22" t="s">
        <v>62</v>
      </c>
      <c r="Q37" s="24"/>
      <c r="R37" s="25" t="s">
        <v>64</v>
      </c>
      <c r="S37" s="25" t="s">
        <v>65</v>
      </c>
      <c r="T37" s="26" t="s">
        <v>66</v>
      </c>
    </row>
    <row r="38" spans="1:20" ht="17.25" x14ac:dyDescent="0.25">
      <c r="A38" s="21">
        <f>E38/D38-1</f>
        <v>-6.5100322662369203E-2</v>
      </c>
      <c r="B38" t="s">
        <v>36</v>
      </c>
      <c r="C38" s="21" t="str">
        <f>IF(OR(A38&gt;=20%,A38&lt;=-20%),"B","A")</f>
        <v>A</v>
      </c>
      <c r="D38">
        <v>94</v>
      </c>
      <c r="E38">
        <v>87.880569669737298</v>
      </c>
      <c r="F38"/>
      <c r="G38" s="5"/>
      <c r="Q38" s="28" t="s">
        <v>67</v>
      </c>
      <c r="R38" s="23">
        <f>COUNTIF(C38:C261,"A")</f>
        <v>151</v>
      </c>
      <c r="S38" s="23">
        <f>COUNTIF(C38:C261,"B")</f>
        <v>73</v>
      </c>
      <c r="T38" s="27">
        <v>224</v>
      </c>
    </row>
    <row r="39" spans="1:20" ht="18" thickBot="1" x14ac:dyDescent="0.3">
      <c r="A39" s="21">
        <f t="shared" ref="A39:A102" si="0">E39/D39-1</f>
        <v>-0.36868112721644331</v>
      </c>
      <c r="B39" t="s">
        <v>36</v>
      </c>
      <c r="C39" s="21" t="str">
        <f t="shared" ref="C39:C102" si="1">IF(OR(A39&gt;=20%,A39&lt;=-20%),"B","A")</f>
        <v>B</v>
      </c>
      <c r="D39">
        <v>194</v>
      </c>
      <c r="E39">
        <v>122.47586132001</v>
      </c>
      <c r="F39"/>
      <c r="G39" s="5"/>
      <c r="Q39" s="29" t="s">
        <v>68</v>
      </c>
      <c r="R39" s="31">
        <f>R38/T38</f>
        <v>0.6741071428571429</v>
      </c>
      <c r="S39" s="31">
        <f>S38/T38</f>
        <v>0.32589285714285715</v>
      </c>
      <c r="T39" s="30">
        <f>R39+S39</f>
        <v>1</v>
      </c>
    </row>
    <row r="40" spans="1:20" ht="17.25" x14ac:dyDescent="0.25">
      <c r="A40" s="21">
        <f t="shared" si="0"/>
        <v>-0.20486612689576822</v>
      </c>
      <c r="B40" t="s">
        <v>36</v>
      </c>
      <c r="C40" s="21" t="str">
        <f t="shared" si="1"/>
        <v>B</v>
      </c>
      <c r="D40">
        <v>151</v>
      </c>
      <c r="E40">
        <v>120.065214838739</v>
      </c>
      <c r="F40"/>
      <c r="G40" s="5"/>
      <c r="Q40" s="21"/>
      <c r="R40" s="21"/>
    </row>
    <row r="41" spans="1:20" ht="17.25" x14ac:dyDescent="0.25">
      <c r="A41" s="21">
        <f t="shared" si="0"/>
        <v>0.14207675457121871</v>
      </c>
      <c r="B41" t="s">
        <v>36</v>
      </c>
      <c r="C41" s="21" t="str">
        <f t="shared" si="1"/>
        <v>A</v>
      </c>
      <c r="D41">
        <v>96</v>
      </c>
      <c r="E41">
        <v>109.639368438837</v>
      </c>
      <c r="F41"/>
      <c r="G41" s="5"/>
      <c r="Q41" s="21"/>
      <c r="R41" s="21"/>
    </row>
    <row r="42" spans="1:20" ht="17.25" x14ac:dyDescent="0.25">
      <c r="A42" s="21">
        <f t="shared" si="0"/>
        <v>-0.1009201063068409</v>
      </c>
      <c r="B42" t="s">
        <v>36</v>
      </c>
      <c r="C42" s="21" t="str">
        <f t="shared" si="1"/>
        <v>A</v>
      </c>
      <c r="D42">
        <v>132</v>
      </c>
      <c r="E42">
        <v>118.678545967497</v>
      </c>
      <c r="F42"/>
      <c r="G42" s="5"/>
      <c r="Q42" s="21"/>
      <c r="R42" s="21"/>
    </row>
    <row r="43" spans="1:20" ht="17.25" x14ac:dyDescent="0.25">
      <c r="A43" s="21">
        <f t="shared" si="0"/>
        <v>-3.7197697630991233E-2</v>
      </c>
      <c r="B43" t="s">
        <v>36</v>
      </c>
      <c r="C43" s="21" t="str">
        <f t="shared" si="1"/>
        <v>A</v>
      </c>
      <c r="D43">
        <v>115</v>
      </c>
      <c r="E43">
        <v>110.72226477243601</v>
      </c>
      <c r="F43"/>
      <c r="G43" s="5"/>
      <c r="Q43" s="21"/>
      <c r="R43" s="21"/>
    </row>
    <row r="44" spans="1:20" ht="17.25" x14ac:dyDescent="0.25">
      <c r="A44" s="21">
        <f t="shared" si="0"/>
        <v>-3.4449004254094473E-2</v>
      </c>
      <c r="B44" t="s">
        <v>36</v>
      </c>
      <c r="C44" s="21" t="str">
        <f t="shared" si="1"/>
        <v>A</v>
      </c>
      <c r="D44">
        <v>90</v>
      </c>
      <c r="E44">
        <v>86.899589617131497</v>
      </c>
      <c r="F44"/>
      <c r="G44" s="5"/>
      <c r="Q44" s="21"/>
      <c r="R44" s="21"/>
    </row>
    <row r="45" spans="1:20" ht="17.25" x14ac:dyDescent="0.25">
      <c r="A45" s="21">
        <f t="shared" si="0"/>
        <v>-0.42694063526168335</v>
      </c>
      <c r="B45" t="s">
        <v>36</v>
      </c>
      <c r="C45" s="21" t="str">
        <f t="shared" si="1"/>
        <v>B</v>
      </c>
      <c r="D45">
        <v>199</v>
      </c>
      <c r="E45">
        <v>114.038813582925</v>
      </c>
      <c r="F45"/>
      <c r="G45" s="5"/>
      <c r="Q45" s="21"/>
      <c r="R45" s="21"/>
    </row>
    <row r="46" spans="1:20" ht="17.25" x14ac:dyDescent="0.25">
      <c r="A46" s="21">
        <f t="shared" si="0"/>
        <v>-0.35409709298030967</v>
      </c>
      <c r="B46" t="s">
        <v>36</v>
      </c>
      <c r="C46" s="21" t="str">
        <f t="shared" si="1"/>
        <v>B</v>
      </c>
      <c r="D46">
        <v>197</v>
      </c>
      <c r="E46">
        <v>127.242872682879</v>
      </c>
      <c r="F46"/>
      <c r="G46" s="5"/>
      <c r="Q46" s="21"/>
      <c r="R46" s="21"/>
    </row>
    <row r="47" spans="1:20" ht="17.25" x14ac:dyDescent="0.25">
      <c r="A47" s="21">
        <f t="shared" si="0"/>
        <v>0.46774322544376101</v>
      </c>
      <c r="B47" t="s">
        <v>43</v>
      </c>
      <c r="C47" s="21" t="str">
        <f t="shared" si="1"/>
        <v>B</v>
      </c>
      <c r="D47">
        <v>92</v>
      </c>
      <c r="E47">
        <v>135.03237674082601</v>
      </c>
      <c r="F47"/>
      <c r="G47" s="5"/>
      <c r="Q47" s="21"/>
      <c r="R47" s="21"/>
    </row>
    <row r="48" spans="1:20" ht="17.25" x14ac:dyDescent="0.25">
      <c r="A48" s="21">
        <f t="shared" si="0"/>
        <v>5.8711466717927596E-2</v>
      </c>
      <c r="B48" t="s">
        <v>43</v>
      </c>
      <c r="C48" s="21" t="str">
        <f t="shared" si="1"/>
        <v>A</v>
      </c>
      <c r="D48">
        <v>94</v>
      </c>
      <c r="E48">
        <v>99.518877871485202</v>
      </c>
      <c r="F48"/>
      <c r="G48" s="5"/>
      <c r="Q48" s="21"/>
      <c r="R48" s="21"/>
    </row>
    <row r="49" spans="1:18" ht="17.25" x14ac:dyDescent="0.25">
      <c r="A49" s="21">
        <f t="shared" si="0"/>
        <v>-0.18328401075257328</v>
      </c>
      <c r="B49" t="s">
        <v>43</v>
      </c>
      <c r="C49" s="21" t="str">
        <f t="shared" si="1"/>
        <v>A</v>
      </c>
      <c r="D49">
        <v>101</v>
      </c>
      <c r="E49">
        <v>82.488314913990095</v>
      </c>
      <c r="F49"/>
      <c r="G49" s="5"/>
      <c r="Q49" s="21"/>
      <c r="R49" s="21"/>
    </row>
    <row r="50" spans="1:18" ht="17.25" x14ac:dyDescent="0.25">
      <c r="A50" s="21">
        <f t="shared" si="0"/>
        <v>-0.16144627023396152</v>
      </c>
      <c r="B50" t="s">
        <v>43</v>
      </c>
      <c r="C50" s="21" t="str">
        <f t="shared" si="1"/>
        <v>A</v>
      </c>
      <c r="D50">
        <v>96</v>
      </c>
      <c r="E50">
        <v>80.501158057539698</v>
      </c>
      <c r="F50"/>
      <c r="G50" s="5"/>
      <c r="Q50" s="21"/>
      <c r="R50" s="21"/>
    </row>
    <row r="51" spans="1:18" ht="17.25" x14ac:dyDescent="0.25">
      <c r="A51" s="21">
        <f t="shared" si="0"/>
        <v>-4.3675418093572338E-2</v>
      </c>
      <c r="B51" t="s">
        <v>43</v>
      </c>
      <c r="C51" s="21" t="str">
        <f t="shared" si="1"/>
        <v>A</v>
      </c>
      <c r="D51">
        <v>101</v>
      </c>
      <c r="E51">
        <v>96.588782772549195</v>
      </c>
      <c r="F51"/>
      <c r="G51" s="5"/>
      <c r="Q51" s="21"/>
      <c r="R51" s="21"/>
    </row>
    <row r="52" spans="1:18" ht="17.25" x14ac:dyDescent="0.25">
      <c r="A52" s="21">
        <f t="shared" si="0"/>
        <v>-2.9869141690618495E-2</v>
      </c>
      <c r="B52" t="s">
        <v>43</v>
      </c>
      <c r="C52" s="21" t="str">
        <f t="shared" si="1"/>
        <v>A</v>
      </c>
      <c r="D52">
        <v>92</v>
      </c>
      <c r="E52">
        <v>89.252038964463097</v>
      </c>
      <c r="F52"/>
      <c r="G52" s="5"/>
      <c r="Q52" s="21"/>
      <c r="R52" s="21"/>
    </row>
    <row r="53" spans="1:18" ht="17.25" x14ac:dyDescent="0.25">
      <c r="A53" s="21">
        <f t="shared" si="0"/>
        <v>-8.1630306625891325E-2</v>
      </c>
      <c r="B53" t="s">
        <v>43</v>
      </c>
      <c r="C53" s="21" t="str">
        <f t="shared" si="1"/>
        <v>A</v>
      </c>
      <c r="D53">
        <v>104</v>
      </c>
      <c r="E53">
        <v>95.510448110907305</v>
      </c>
      <c r="F53"/>
      <c r="G53" s="5"/>
      <c r="Q53" s="21"/>
      <c r="R53" s="21"/>
    </row>
    <row r="54" spans="1:18" ht="17.25" x14ac:dyDescent="0.25">
      <c r="A54" s="21">
        <f t="shared" si="0"/>
        <v>-5.8110899678439409E-2</v>
      </c>
      <c r="B54" t="s">
        <v>43</v>
      </c>
      <c r="C54" s="21" t="str">
        <f t="shared" si="1"/>
        <v>A</v>
      </c>
      <c r="D54">
        <v>94</v>
      </c>
      <c r="E54">
        <v>88.537575430226696</v>
      </c>
      <c r="F54"/>
      <c r="G54" s="5"/>
      <c r="Q54" s="21"/>
      <c r="R54" s="21"/>
    </row>
    <row r="55" spans="1:18" ht="17.25" x14ac:dyDescent="0.25">
      <c r="A55" s="21">
        <f t="shared" si="0"/>
        <v>-0.12730274026086197</v>
      </c>
      <c r="B55" t="s">
        <v>43</v>
      </c>
      <c r="C55" s="21" t="str">
        <f t="shared" si="1"/>
        <v>A</v>
      </c>
      <c r="D55">
        <v>145</v>
      </c>
      <c r="E55">
        <v>126.54110266217501</v>
      </c>
      <c r="F55"/>
      <c r="G55" s="5"/>
      <c r="Q55" s="21"/>
      <c r="R55" s="21"/>
    </row>
    <row r="56" spans="1:18" ht="17.25" x14ac:dyDescent="0.25">
      <c r="A56" s="21">
        <f t="shared" si="0"/>
        <v>-0.24818802453759703</v>
      </c>
      <c r="B56" t="s">
        <v>43</v>
      </c>
      <c r="C56" s="21" t="str">
        <f t="shared" si="1"/>
        <v>B</v>
      </c>
      <c r="D56">
        <v>139</v>
      </c>
      <c r="E56">
        <v>104.50186458927401</v>
      </c>
      <c r="F56"/>
      <c r="G56" s="5"/>
      <c r="Q56" s="21"/>
      <c r="R56" s="21"/>
    </row>
    <row r="57" spans="1:18" ht="17.25" x14ac:dyDescent="0.25">
      <c r="A57" s="21">
        <f t="shared" si="0"/>
        <v>-0.14166552361576257</v>
      </c>
      <c r="B57" t="s">
        <v>43</v>
      </c>
      <c r="C57" s="21" t="str">
        <f t="shared" si="1"/>
        <v>A</v>
      </c>
      <c r="D57">
        <v>115</v>
      </c>
      <c r="E57">
        <v>98.708464784187299</v>
      </c>
      <c r="F57"/>
      <c r="G57" s="5"/>
      <c r="Q57" s="21"/>
      <c r="R57" s="21"/>
    </row>
    <row r="58" spans="1:18" x14ac:dyDescent="0.25">
      <c r="A58" s="21">
        <f t="shared" si="0"/>
        <v>-2.0120687959694461E-2</v>
      </c>
      <c r="B58" t="s">
        <v>44</v>
      </c>
      <c r="C58" s="21" t="str">
        <f t="shared" si="1"/>
        <v>A</v>
      </c>
      <c r="D58">
        <v>90</v>
      </c>
      <c r="E58">
        <v>88.189138083627498</v>
      </c>
      <c r="F58"/>
      <c r="G58"/>
      <c r="Q58" s="21"/>
      <c r="R58" s="21"/>
    </row>
    <row r="59" spans="1:18" x14ac:dyDescent="0.25">
      <c r="A59" s="21">
        <f t="shared" si="0"/>
        <v>-0.21488046362488</v>
      </c>
      <c r="B59" t="s">
        <v>44</v>
      </c>
      <c r="C59" s="21" t="str">
        <f t="shared" si="1"/>
        <v>B</v>
      </c>
      <c r="D59">
        <v>137.5</v>
      </c>
      <c r="E59">
        <v>107.95393625157899</v>
      </c>
      <c r="F59"/>
      <c r="G59"/>
      <c r="Q59" s="21"/>
      <c r="R59" s="21"/>
    </row>
    <row r="60" spans="1:18" x14ac:dyDescent="0.25">
      <c r="A60" s="21">
        <f t="shared" si="0"/>
        <v>-0.24680246184654941</v>
      </c>
      <c r="B60" t="s">
        <v>44</v>
      </c>
      <c r="C60" s="21" t="str">
        <f t="shared" si="1"/>
        <v>B</v>
      </c>
      <c r="D60">
        <v>106.5</v>
      </c>
      <c r="E60">
        <v>80.215537813342493</v>
      </c>
      <c r="F60"/>
      <c r="G60"/>
      <c r="Q60" s="21"/>
      <c r="R60" s="21"/>
    </row>
    <row r="61" spans="1:18" x14ac:dyDescent="0.25">
      <c r="A61" s="21">
        <f t="shared" si="0"/>
        <v>-0.17452579452015449</v>
      </c>
      <c r="B61" t="s">
        <v>44</v>
      </c>
      <c r="C61" s="21" t="str">
        <f t="shared" si="1"/>
        <v>A</v>
      </c>
      <c r="D61">
        <v>101</v>
      </c>
      <c r="E61">
        <v>83.372894753464394</v>
      </c>
      <c r="F61"/>
      <c r="G61"/>
      <c r="Q61" s="21"/>
      <c r="R61" s="21"/>
    </row>
    <row r="62" spans="1:18" ht="17.25" x14ac:dyDescent="0.25">
      <c r="A62" s="21">
        <f t="shared" si="0"/>
        <v>-0.2135093888869245</v>
      </c>
      <c r="B62" t="s">
        <v>45</v>
      </c>
      <c r="C62" s="21" t="str">
        <f t="shared" si="1"/>
        <v>B</v>
      </c>
      <c r="D62">
        <v>212</v>
      </c>
      <c r="E62">
        <v>166.736009555972</v>
      </c>
      <c r="F62"/>
      <c r="G62" s="5"/>
      <c r="H62"/>
      <c r="Q62" s="21"/>
      <c r="R62" s="21"/>
    </row>
    <row r="63" spans="1:18" ht="17.25" x14ac:dyDescent="0.25">
      <c r="A63" s="21">
        <f t="shared" si="0"/>
        <v>-0.13728124720989143</v>
      </c>
      <c r="B63" t="s">
        <v>45</v>
      </c>
      <c r="C63" s="21" t="str">
        <f t="shared" si="1"/>
        <v>A</v>
      </c>
      <c r="D63">
        <v>258</v>
      </c>
      <c r="E63">
        <v>222.581438219848</v>
      </c>
      <c r="F63"/>
      <c r="G63" s="5"/>
      <c r="H63"/>
      <c r="Q63" s="21"/>
      <c r="R63" s="21"/>
    </row>
    <row r="64" spans="1:18" ht="17.25" x14ac:dyDescent="0.25">
      <c r="A64" s="21">
        <f t="shared" si="0"/>
        <v>-2.0032769170481579E-2</v>
      </c>
      <c r="B64" t="s">
        <v>45</v>
      </c>
      <c r="C64" s="21" t="str">
        <f t="shared" si="1"/>
        <v>A</v>
      </c>
      <c r="D64">
        <v>257.5</v>
      </c>
      <c r="E64">
        <v>252.34156193860099</v>
      </c>
      <c r="F64"/>
      <c r="G64" s="5"/>
      <c r="H64"/>
      <c r="Q64" s="21"/>
      <c r="R64" s="21"/>
    </row>
    <row r="65" spans="1:18" ht="17.25" x14ac:dyDescent="0.25">
      <c r="A65" s="21">
        <f t="shared" si="0"/>
        <v>-3.6684847798850839E-2</v>
      </c>
      <c r="B65" t="s">
        <v>45</v>
      </c>
      <c r="C65" s="21" t="str">
        <f t="shared" si="1"/>
        <v>A</v>
      </c>
      <c r="D65">
        <v>204.5</v>
      </c>
      <c r="E65">
        <v>196.997948625135</v>
      </c>
      <c r="F65"/>
      <c r="G65" s="5"/>
      <c r="H65"/>
      <c r="Q65" s="21"/>
      <c r="R65" s="21"/>
    </row>
    <row r="66" spans="1:18" ht="17.25" x14ac:dyDescent="0.25">
      <c r="A66" s="21">
        <f t="shared" si="0"/>
        <v>-0.16647374241260571</v>
      </c>
      <c r="B66" t="s">
        <v>45</v>
      </c>
      <c r="C66" s="21" t="str">
        <f t="shared" si="1"/>
        <v>A</v>
      </c>
      <c r="D66">
        <v>383</v>
      </c>
      <c r="E66">
        <v>319.240556655972</v>
      </c>
      <c r="F66"/>
      <c r="G66" s="5"/>
      <c r="H66"/>
      <c r="Q66" s="21"/>
      <c r="R66" s="21"/>
    </row>
    <row r="67" spans="1:18" ht="17.25" x14ac:dyDescent="0.25">
      <c r="A67" s="21">
        <f t="shared" si="0"/>
        <v>-0.11387942661528505</v>
      </c>
      <c r="B67" t="s">
        <v>46</v>
      </c>
      <c r="C67" s="21" t="str">
        <f t="shared" si="1"/>
        <v>A</v>
      </c>
      <c r="D67">
        <v>96.5</v>
      </c>
      <c r="E67">
        <v>85.510635331624997</v>
      </c>
      <c r="F67"/>
      <c r="G67" s="5"/>
      <c r="I67"/>
      <c r="Q67" s="21"/>
      <c r="R67" s="21"/>
    </row>
    <row r="68" spans="1:18" ht="17.25" x14ac:dyDescent="0.25">
      <c r="A68" s="21">
        <f t="shared" si="0"/>
        <v>-0.19923528228909448</v>
      </c>
      <c r="B68" t="s">
        <v>46</v>
      </c>
      <c r="C68" s="21" t="str">
        <f t="shared" si="1"/>
        <v>A</v>
      </c>
      <c r="D68">
        <v>153.5</v>
      </c>
      <c r="E68">
        <v>122.917384168624</v>
      </c>
      <c r="F68"/>
      <c r="G68" s="5"/>
      <c r="I68"/>
      <c r="Q68" s="21"/>
      <c r="R68" s="21"/>
    </row>
    <row r="69" spans="1:18" ht="17.25" x14ac:dyDescent="0.25">
      <c r="A69" s="21">
        <f t="shared" si="0"/>
        <v>-8.5607825654965497E-2</v>
      </c>
      <c r="B69" t="s">
        <v>46</v>
      </c>
      <c r="C69" s="21" t="str">
        <f t="shared" si="1"/>
        <v>A</v>
      </c>
      <c r="D69">
        <v>130.5</v>
      </c>
      <c r="E69">
        <v>119.328178752027</v>
      </c>
      <c r="F69"/>
      <c r="G69" s="5"/>
      <c r="I69"/>
      <c r="Q69" s="21"/>
      <c r="R69" s="21"/>
    </row>
    <row r="70" spans="1:18" ht="17.25" x14ac:dyDescent="0.25">
      <c r="A70" s="21">
        <f t="shared" si="0"/>
        <v>-0.13959220666661765</v>
      </c>
      <c r="B70" t="s">
        <v>46</v>
      </c>
      <c r="C70" s="21" t="str">
        <f t="shared" si="1"/>
        <v>A</v>
      </c>
      <c r="D70">
        <v>136</v>
      </c>
      <c r="E70">
        <v>117.01545989333999</v>
      </c>
      <c r="F70"/>
      <c r="G70" s="5"/>
      <c r="I70"/>
      <c r="Q70" s="21"/>
      <c r="R70" s="21"/>
    </row>
    <row r="71" spans="1:18" ht="17.25" x14ac:dyDescent="0.25">
      <c r="A71" s="21">
        <f t="shared" si="0"/>
        <v>-0.12832021504719282</v>
      </c>
      <c r="B71" t="s">
        <v>46</v>
      </c>
      <c r="C71" s="21" t="str">
        <f t="shared" si="1"/>
        <v>A</v>
      </c>
      <c r="D71">
        <v>111</v>
      </c>
      <c r="E71">
        <v>96.756456129761602</v>
      </c>
      <c r="F71"/>
      <c r="G71" s="5"/>
      <c r="I71"/>
      <c r="Q71" s="21"/>
      <c r="R71" s="21"/>
    </row>
    <row r="72" spans="1:18" ht="17.25" x14ac:dyDescent="0.25">
      <c r="A72" s="21">
        <f t="shared" si="0"/>
        <v>-0.29411279182682426</v>
      </c>
      <c r="B72" t="s">
        <v>46</v>
      </c>
      <c r="C72" s="21" t="str">
        <f t="shared" si="1"/>
        <v>B</v>
      </c>
      <c r="D72">
        <v>156.5</v>
      </c>
      <c r="E72">
        <v>110.471348079102</v>
      </c>
      <c r="F72"/>
      <c r="G72" s="5"/>
      <c r="I72"/>
      <c r="Q72" s="21"/>
      <c r="R72" s="21"/>
    </row>
    <row r="73" spans="1:18" ht="17.25" x14ac:dyDescent="0.25">
      <c r="A73" s="21">
        <f t="shared" si="0"/>
        <v>-4.4303427983550359E-2</v>
      </c>
      <c r="B73" t="s">
        <v>46</v>
      </c>
      <c r="C73" s="21" t="str">
        <f t="shared" si="1"/>
        <v>A</v>
      </c>
      <c r="D73">
        <v>109</v>
      </c>
      <c r="E73">
        <v>104.17092634979301</v>
      </c>
      <c r="F73"/>
      <c r="G73" s="5"/>
      <c r="I73"/>
      <c r="Q73" s="21"/>
      <c r="R73" s="21"/>
    </row>
    <row r="74" spans="1:18" ht="17.25" x14ac:dyDescent="0.25">
      <c r="A74" s="21">
        <f t="shared" si="0"/>
        <v>5.9509697348330226E-2</v>
      </c>
      <c r="B74" t="s">
        <v>46</v>
      </c>
      <c r="C74" s="21" t="str">
        <f t="shared" si="1"/>
        <v>A</v>
      </c>
      <c r="D74">
        <v>112</v>
      </c>
      <c r="E74">
        <v>118.665086103013</v>
      </c>
      <c r="F74"/>
      <c r="G74" s="5"/>
      <c r="I74"/>
      <c r="Q74" s="21"/>
      <c r="R74" s="21"/>
    </row>
    <row r="75" spans="1:18" ht="17.25" x14ac:dyDescent="0.25">
      <c r="A75" s="21">
        <f t="shared" si="0"/>
        <v>7.6132667737698778E-2</v>
      </c>
      <c r="B75" t="s">
        <v>46</v>
      </c>
      <c r="C75" s="21" t="str">
        <f t="shared" si="1"/>
        <v>A</v>
      </c>
      <c r="D75">
        <v>93</v>
      </c>
      <c r="E75">
        <v>100.080338099606</v>
      </c>
      <c r="F75"/>
      <c r="G75" s="5"/>
      <c r="I75"/>
      <c r="Q75" s="21"/>
      <c r="R75" s="21"/>
    </row>
    <row r="76" spans="1:18" ht="17.25" x14ac:dyDescent="0.25">
      <c r="A76" s="21">
        <f t="shared" si="0"/>
        <v>-0.23640907494741281</v>
      </c>
      <c r="B76" t="s">
        <v>46</v>
      </c>
      <c r="C76" s="21" t="str">
        <f t="shared" si="1"/>
        <v>B</v>
      </c>
      <c r="D76">
        <v>163.5</v>
      </c>
      <c r="E76">
        <v>124.847116246098</v>
      </c>
      <c r="F76"/>
      <c r="G76" s="5"/>
      <c r="I76"/>
      <c r="Q76" s="21"/>
      <c r="R76" s="21"/>
    </row>
    <row r="77" spans="1:18" ht="17.25" x14ac:dyDescent="0.25">
      <c r="A77" s="21">
        <f t="shared" si="0"/>
        <v>-6.4137456715933849E-2</v>
      </c>
      <c r="B77" t="s">
        <v>46</v>
      </c>
      <c r="C77" s="21" t="str">
        <f t="shared" si="1"/>
        <v>A</v>
      </c>
      <c r="D77">
        <v>136</v>
      </c>
      <c r="E77">
        <v>127.277305886633</v>
      </c>
      <c r="F77"/>
      <c r="G77" s="5"/>
      <c r="I77"/>
      <c r="Q77" s="21"/>
      <c r="R77" s="21"/>
    </row>
    <row r="78" spans="1:18" ht="17.25" x14ac:dyDescent="0.25">
      <c r="A78" s="21">
        <f t="shared" si="0"/>
        <v>0.11858337787017481</v>
      </c>
      <c r="B78" t="s">
        <v>46</v>
      </c>
      <c r="C78" s="21" t="str">
        <f t="shared" si="1"/>
        <v>A</v>
      </c>
      <c r="D78">
        <v>120</v>
      </c>
      <c r="E78">
        <v>134.23000534442099</v>
      </c>
      <c r="F78"/>
      <c r="G78" s="5"/>
      <c r="I78"/>
      <c r="Q78" s="21"/>
      <c r="R78" s="21"/>
    </row>
    <row r="79" spans="1:18" ht="17.25" x14ac:dyDescent="0.25">
      <c r="A79" s="21">
        <f t="shared" si="0"/>
        <v>-2.9271082544623295E-2</v>
      </c>
      <c r="B79" t="s">
        <v>47</v>
      </c>
      <c r="C79" s="21" t="str">
        <f t="shared" si="1"/>
        <v>A</v>
      </c>
      <c r="D79">
        <v>184.5</v>
      </c>
      <c r="E79">
        <v>179.09948527051699</v>
      </c>
      <c r="F79"/>
      <c r="G79" s="5"/>
      <c r="J79"/>
      <c r="Q79" s="21"/>
      <c r="R79" s="21"/>
    </row>
    <row r="80" spans="1:18" ht="17.25" x14ac:dyDescent="0.25">
      <c r="A80" s="21">
        <f t="shared" si="0"/>
        <v>-0.11780219853953855</v>
      </c>
      <c r="B80" t="s">
        <v>47</v>
      </c>
      <c r="C80" s="21" t="str">
        <f t="shared" si="1"/>
        <v>A</v>
      </c>
      <c r="D80">
        <v>195</v>
      </c>
      <c r="E80">
        <v>172.02857128478999</v>
      </c>
      <c r="F80"/>
      <c r="G80" s="5"/>
      <c r="J80"/>
      <c r="Q80" s="21"/>
      <c r="R80" s="21"/>
    </row>
    <row r="81" spans="1:18" ht="17.25" x14ac:dyDescent="0.25">
      <c r="A81" s="21">
        <f t="shared" si="0"/>
        <v>-0.21487171148858042</v>
      </c>
      <c r="B81" t="s">
        <v>47</v>
      </c>
      <c r="C81" s="21" t="str">
        <f t="shared" si="1"/>
        <v>B</v>
      </c>
      <c r="D81">
        <v>224</v>
      </c>
      <c r="E81">
        <v>175.86873662655799</v>
      </c>
      <c r="F81"/>
      <c r="G81" s="5"/>
      <c r="J81"/>
      <c r="Q81" s="21"/>
      <c r="R81" s="21"/>
    </row>
    <row r="82" spans="1:18" ht="17.25" x14ac:dyDescent="0.25">
      <c r="A82" s="21">
        <f t="shared" si="0"/>
        <v>-0.21389324814019428</v>
      </c>
      <c r="B82" t="s">
        <v>47</v>
      </c>
      <c r="C82" s="21" t="str">
        <f t="shared" si="1"/>
        <v>B</v>
      </c>
      <c r="D82">
        <v>247</v>
      </c>
      <c r="E82">
        <v>194.16836770937201</v>
      </c>
      <c r="F82"/>
      <c r="G82" s="5"/>
      <c r="J82"/>
      <c r="Q82" s="21"/>
      <c r="R82" s="21"/>
    </row>
    <row r="83" spans="1:18" ht="17.25" x14ac:dyDescent="0.25">
      <c r="A83" s="21">
        <f t="shared" si="0"/>
        <v>5.2736828502321975E-2</v>
      </c>
      <c r="B83" t="s">
        <v>47</v>
      </c>
      <c r="C83" s="21" t="str">
        <f t="shared" si="1"/>
        <v>A</v>
      </c>
      <c r="D83">
        <v>146</v>
      </c>
      <c r="E83">
        <v>153.69957696133901</v>
      </c>
      <c r="F83"/>
      <c r="G83" s="5"/>
      <c r="J83"/>
      <c r="Q83" s="21"/>
      <c r="R83" s="21"/>
    </row>
    <row r="84" spans="1:18" ht="17.25" x14ac:dyDescent="0.25">
      <c r="A84" s="21">
        <f t="shared" si="0"/>
        <v>-0.19545967915355189</v>
      </c>
      <c r="B84" t="s">
        <v>47</v>
      </c>
      <c r="C84" s="21" t="str">
        <f t="shared" si="1"/>
        <v>A</v>
      </c>
      <c r="D84">
        <v>183</v>
      </c>
      <c r="E84">
        <v>147.2308787149</v>
      </c>
      <c r="F84"/>
      <c r="G84" s="5"/>
      <c r="J84"/>
      <c r="Q84" s="21"/>
      <c r="R84" s="21"/>
    </row>
    <row r="85" spans="1:18" ht="17.25" x14ac:dyDescent="0.25">
      <c r="A85" s="21">
        <f t="shared" si="0"/>
        <v>-5.8948403139685857E-3</v>
      </c>
      <c r="B85" t="s">
        <v>47</v>
      </c>
      <c r="C85" s="21" t="str">
        <f t="shared" si="1"/>
        <v>A</v>
      </c>
      <c r="D85">
        <v>159</v>
      </c>
      <c r="E85">
        <v>158.06272039007899</v>
      </c>
      <c r="F85"/>
      <c r="G85" s="5"/>
      <c r="J85"/>
      <c r="Q85" s="21"/>
      <c r="R85" s="21"/>
    </row>
    <row r="86" spans="1:18" ht="17.25" x14ac:dyDescent="0.25">
      <c r="A86" s="21">
        <f t="shared" si="0"/>
        <v>-6.4840422018983879E-2</v>
      </c>
      <c r="B86" t="s">
        <v>48</v>
      </c>
      <c r="C86" s="21" t="str">
        <f t="shared" si="1"/>
        <v>A</v>
      </c>
      <c r="D86">
        <v>99</v>
      </c>
      <c r="E86">
        <v>92.580798220120599</v>
      </c>
      <c r="F86"/>
      <c r="G86" s="5"/>
      <c r="K86"/>
      <c r="Q86" s="21"/>
      <c r="R86" s="21"/>
    </row>
    <row r="87" spans="1:18" ht="17.25" x14ac:dyDescent="0.25">
      <c r="A87" s="21">
        <f t="shared" si="0"/>
        <v>-0.13295912686603573</v>
      </c>
      <c r="B87" t="s">
        <v>48</v>
      </c>
      <c r="C87" s="21" t="str">
        <f t="shared" si="1"/>
        <v>A</v>
      </c>
      <c r="D87">
        <v>140</v>
      </c>
      <c r="E87">
        <v>121.38572223875499</v>
      </c>
      <c r="F87"/>
      <c r="G87" s="5"/>
      <c r="K87"/>
      <c r="Q87" s="21"/>
      <c r="R87" s="21"/>
    </row>
    <row r="88" spans="1:18" ht="17.25" x14ac:dyDescent="0.25">
      <c r="A88" s="21">
        <f t="shared" si="0"/>
        <v>-7.8274841014081442E-2</v>
      </c>
      <c r="B88" t="s">
        <v>48</v>
      </c>
      <c r="C88" s="21" t="str">
        <f t="shared" si="1"/>
        <v>A</v>
      </c>
      <c r="D88">
        <v>135</v>
      </c>
      <c r="E88">
        <v>124.432896463099</v>
      </c>
      <c r="F88"/>
      <c r="G88" s="5"/>
      <c r="K88"/>
      <c r="Q88" s="21"/>
      <c r="R88" s="21"/>
    </row>
    <row r="89" spans="1:18" ht="17.25" x14ac:dyDescent="0.25">
      <c r="A89" s="21">
        <f t="shared" si="0"/>
        <v>9.4172126623744967E-2</v>
      </c>
      <c r="B89" t="s">
        <v>48</v>
      </c>
      <c r="C89" s="21" t="str">
        <f t="shared" si="1"/>
        <v>A</v>
      </c>
      <c r="D89">
        <v>98</v>
      </c>
      <c r="E89">
        <v>107.228868409127</v>
      </c>
      <c r="F89"/>
      <c r="G89" s="5"/>
      <c r="K89"/>
      <c r="Q89" s="21"/>
      <c r="R89" s="21"/>
    </row>
    <row r="90" spans="1:18" ht="17.25" x14ac:dyDescent="0.25">
      <c r="A90" s="21">
        <f t="shared" si="0"/>
        <v>-1.5625007131656599E-3</v>
      </c>
      <c r="B90" t="s">
        <v>48</v>
      </c>
      <c r="C90" s="21" t="str">
        <f t="shared" si="1"/>
        <v>A</v>
      </c>
      <c r="D90">
        <v>93</v>
      </c>
      <c r="E90">
        <v>92.854687433675593</v>
      </c>
      <c r="F90"/>
      <c r="G90" s="5"/>
      <c r="K90"/>
      <c r="Q90" s="21"/>
      <c r="R90" s="21"/>
    </row>
    <row r="91" spans="1:18" ht="17.25" x14ac:dyDescent="0.25">
      <c r="A91" s="21">
        <f t="shared" si="0"/>
        <v>-0.14770857389647019</v>
      </c>
      <c r="B91" t="s">
        <v>48</v>
      </c>
      <c r="C91" s="21" t="str">
        <f t="shared" si="1"/>
        <v>A</v>
      </c>
      <c r="D91">
        <v>151</v>
      </c>
      <c r="E91">
        <v>128.696005341633</v>
      </c>
      <c r="F91"/>
      <c r="G91" s="5"/>
      <c r="K91"/>
      <c r="Q91" s="21"/>
      <c r="R91" s="21"/>
    </row>
    <row r="92" spans="1:18" ht="17.25" x14ac:dyDescent="0.25">
      <c r="A92" s="21">
        <f t="shared" si="0"/>
        <v>-5.918755107917073E-2</v>
      </c>
      <c r="B92" t="s">
        <v>48</v>
      </c>
      <c r="C92" s="21" t="str">
        <f t="shared" si="1"/>
        <v>A</v>
      </c>
      <c r="D92">
        <v>164</v>
      </c>
      <c r="E92">
        <v>154.293241623016</v>
      </c>
      <c r="F92"/>
      <c r="G92" s="5"/>
      <c r="K92"/>
      <c r="Q92" s="21"/>
      <c r="R92" s="21"/>
    </row>
    <row r="93" spans="1:18" ht="17.25" x14ac:dyDescent="0.25">
      <c r="A93" s="21">
        <f t="shared" si="0"/>
        <v>-0.21599425239420311</v>
      </c>
      <c r="B93" t="s">
        <v>48</v>
      </c>
      <c r="C93" s="21" t="str">
        <f t="shared" si="1"/>
        <v>B</v>
      </c>
      <c r="D93">
        <v>128</v>
      </c>
      <c r="E93">
        <v>100.352735693542</v>
      </c>
      <c r="F93"/>
      <c r="G93" s="5"/>
      <c r="K93"/>
      <c r="Q93" s="21"/>
      <c r="R93" s="21"/>
    </row>
    <row r="94" spans="1:18" ht="17.25" x14ac:dyDescent="0.25">
      <c r="A94" s="21">
        <f t="shared" si="0"/>
        <v>0.23446318920614018</v>
      </c>
      <c r="B94" t="s">
        <v>49</v>
      </c>
      <c r="C94" s="21" t="str">
        <f t="shared" si="1"/>
        <v>B</v>
      </c>
      <c r="D94">
        <v>77</v>
      </c>
      <c r="E94">
        <v>95.053665568872802</v>
      </c>
      <c r="F94"/>
      <c r="G94" s="5"/>
      <c r="L94"/>
      <c r="Q94" s="21"/>
      <c r="R94" s="21"/>
    </row>
    <row r="95" spans="1:18" ht="17.25" x14ac:dyDescent="0.25">
      <c r="A95" s="21">
        <f t="shared" si="0"/>
        <v>-0.13309265950107518</v>
      </c>
      <c r="B95" t="s">
        <v>49</v>
      </c>
      <c r="C95" s="21" t="str">
        <f t="shared" si="1"/>
        <v>A</v>
      </c>
      <c r="D95">
        <v>133</v>
      </c>
      <c r="E95">
        <v>115.29867628635699</v>
      </c>
      <c r="F95"/>
      <c r="G95" s="5"/>
      <c r="L95"/>
      <c r="Q95" s="21"/>
      <c r="R95" s="21"/>
    </row>
    <row r="96" spans="1:18" ht="17.25" x14ac:dyDescent="0.25">
      <c r="A96" s="21">
        <f t="shared" si="0"/>
        <v>0.10151217210116359</v>
      </c>
      <c r="B96" t="s">
        <v>49</v>
      </c>
      <c r="C96" s="21" t="str">
        <f t="shared" si="1"/>
        <v>A</v>
      </c>
      <c r="D96">
        <v>110</v>
      </c>
      <c r="E96">
        <v>121.166338931128</v>
      </c>
      <c r="F96"/>
      <c r="G96" s="5"/>
      <c r="L96"/>
      <c r="Q96" s="21"/>
      <c r="R96" s="21"/>
    </row>
    <row r="97" spans="1:18" ht="17.25" x14ac:dyDescent="0.25">
      <c r="A97" s="21">
        <f t="shared" si="0"/>
        <v>2.805086855847061E-2</v>
      </c>
      <c r="B97" t="s">
        <v>49</v>
      </c>
      <c r="C97" s="21" t="str">
        <f t="shared" si="1"/>
        <v>A</v>
      </c>
      <c r="D97">
        <v>102</v>
      </c>
      <c r="E97">
        <v>104.861188592964</v>
      </c>
      <c r="F97"/>
      <c r="G97" s="5"/>
      <c r="L97"/>
      <c r="Q97" s="21"/>
      <c r="R97" s="21"/>
    </row>
    <row r="98" spans="1:18" ht="17.25" x14ac:dyDescent="0.25">
      <c r="A98" s="21">
        <f t="shared" si="0"/>
        <v>0.26752477778694939</v>
      </c>
      <c r="B98" t="s">
        <v>49</v>
      </c>
      <c r="C98" s="21" t="str">
        <f t="shared" si="1"/>
        <v>B</v>
      </c>
      <c r="D98">
        <v>79</v>
      </c>
      <c r="E98">
        <v>100.13445744516901</v>
      </c>
      <c r="F98"/>
      <c r="G98" s="5"/>
      <c r="L98"/>
      <c r="Q98" s="21"/>
      <c r="R98" s="21"/>
    </row>
    <row r="99" spans="1:18" ht="17.25" x14ac:dyDescent="0.25">
      <c r="A99" s="21">
        <f t="shared" si="0"/>
        <v>-0.33013619997719357</v>
      </c>
      <c r="B99" t="s">
        <v>49</v>
      </c>
      <c r="C99" s="21" t="str">
        <f t="shared" si="1"/>
        <v>B</v>
      </c>
      <c r="D99">
        <v>155</v>
      </c>
      <c r="E99">
        <v>103.828889003535</v>
      </c>
      <c r="F99"/>
      <c r="G99" s="5"/>
      <c r="L99"/>
      <c r="Q99" s="21"/>
      <c r="R99" s="21"/>
    </row>
    <row r="100" spans="1:18" ht="17.25" x14ac:dyDescent="0.25">
      <c r="A100" s="21">
        <f t="shared" si="0"/>
        <v>-0.26039639524490565</v>
      </c>
      <c r="B100" t="s">
        <v>49</v>
      </c>
      <c r="C100" s="21" t="str">
        <f t="shared" si="1"/>
        <v>B</v>
      </c>
      <c r="D100">
        <v>159</v>
      </c>
      <c r="E100">
        <v>117.59697315606</v>
      </c>
      <c r="F100"/>
      <c r="G100" s="5"/>
      <c r="L100"/>
      <c r="Q100" s="21"/>
      <c r="R100" s="21"/>
    </row>
    <row r="101" spans="1:18" ht="17.25" x14ac:dyDescent="0.25">
      <c r="A101" s="21">
        <f t="shared" si="0"/>
        <v>4.4933569303579057E-2</v>
      </c>
      <c r="B101" t="s">
        <v>49</v>
      </c>
      <c r="C101" s="21" t="str">
        <f t="shared" si="1"/>
        <v>A</v>
      </c>
      <c r="D101">
        <v>114</v>
      </c>
      <c r="E101">
        <v>119.122426900608</v>
      </c>
      <c r="F101"/>
      <c r="G101" s="5"/>
      <c r="L101"/>
      <c r="Q101" s="21"/>
      <c r="R101" s="21"/>
    </row>
    <row r="102" spans="1:18" ht="17.25" x14ac:dyDescent="0.25">
      <c r="A102" s="21">
        <f t="shared" si="0"/>
        <v>0.10674235788505149</v>
      </c>
      <c r="B102" t="s">
        <v>49</v>
      </c>
      <c r="C102" s="21" t="str">
        <f t="shared" si="1"/>
        <v>A</v>
      </c>
      <c r="D102">
        <v>136</v>
      </c>
      <c r="E102">
        <v>150.51696067236699</v>
      </c>
      <c r="F102"/>
      <c r="G102" s="5"/>
      <c r="L102"/>
      <c r="Q102" s="21"/>
      <c r="R102" s="21"/>
    </row>
    <row r="103" spans="1:18" ht="17.25" x14ac:dyDescent="0.25">
      <c r="A103" s="21">
        <f t="shared" ref="A103:A167" si="2">E103/D103-1</f>
        <v>0.26973251994507996</v>
      </c>
      <c r="B103" t="s">
        <v>49</v>
      </c>
      <c r="C103" s="21" t="str">
        <f t="shared" ref="C103:C166" si="3">IF(OR(A103&gt;=20%,A103&lt;=-20%),"B","A")</f>
        <v>B</v>
      </c>
      <c r="D103">
        <v>125</v>
      </c>
      <c r="E103">
        <v>158.71656499313499</v>
      </c>
      <c r="F103"/>
      <c r="G103" s="5"/>
      <c r="L103"/>
      <c r="Q103" s="21"/>
      <c r="R103" s="21"/>
    </row>
    <row r="104" spans="1:18" ht="17.25" x14ac:dyDescent="0.25">
      <c r="A104" s="21">
        <f t="shared" si="2"/>
        <v>-0.13272875676211893</v>
      </c>
      <c r="B104" t="s">
        <v>49</v>
      </c>
      <c r="C104" s="21" t="str">
        <f t="shared" si="3"/>
        <v>A</v>
      </c>
      <c r="D104">
        <v>168</v>
      </c>
      <c r="E104">
        <v>145.70156886396401</v>
      </c>
      <c r="F104"/>
      <c r="G104" s="5"/>
      <c r="L104"/>
      <c r="Q104" s="21"/>
      <c r="R104" s="21"/>
    </row>
    <row r="105" spans="1:18" ht="17.25" x14ac:dyDescent="0.25">
      <c r="A105" s="21">
        <f t="shared" si="2"/>
        <v>-3.2016785968283834E-2</v>
      </c>
      <c r="B105" t="s">
        <v>49</v>
      </c>
      <c r="C105" s="21" t="str">
        <f t="shared" si="3"/>
        <v>A</v>
      </c>
      <c r="D105">
        <v>148</v>
      </c>
      <c r="E105">
        <v>143.26151567669399</v>
      </c>
      <c r="F105"/>
      <c r="G105" s="5"/>
      <c r="L105"/>
      <c r="Q105" s="21"/>
      <c r="R105" s="21"/>
    </row>
    <row r="106" spans="1:18" ht="17.25" x14ac:dyDescent="0.25">
      <c r="A106" s="21">
        <f t="shared" si="2"/>
        <v>-0.30255086785148122</v>
      </c>
      <c r="B106" t="s">
        <v>49</v>
      </c>
      <c r="C106" s="21" t="str">
        <f t="shared" si="3"/>
        <v>B</v>
      </c>
      <c r="D106">
        <v>214</v>
      </c>
      <c r="E106">
        <v>149.25411427978301</v>
      </c>
      <c r="F106"/>
      <c r="G106" s="5"/>
      <c r="L106"/>
      <c r="Q106" s="21"/>
      <c r="R106" s="21"/>
    </row>
    <row r="107" spans="1:18" ht="17.25" x14ac:dyDescent="0.25">
      <c r="A107" s="21">
        <f t="shared" si="2"/>
        <v>-0.14807654313664276</v>
      </c>
      <c r="B107" t="s">
        <v>49</v>
      </c>
      <c r="C107" s="21" t="str">
        <f t="shared" si="3"/>
        <v>A</v>
      </c>
      <c r="D107">
        <v>196</v>
      </c>
      <c r="E107">
        <v>166.97699754521801</v>
      </c>
      <c r="F107"/>
      <c r="G107" s="5"/>
      <c r="L107"/>
      <c r="Q107" s="21"/>
      <c r="R107" s="21"/>
    </row>
    <row r="108" spans="1:18" ht="17.25" x14ac:dyDescent="0.25">
      <c r="A108" s="21">
        <f t="shared" si="2"/>
        <v>-0.12354445820751725</v>
      </c>
      <c r="B108" t="s">
        <v>49</v>
      </c>
      <c r="C108" s="21" t="str">
        <f t="shared" si="3"/>
        <v>A</v>
      </c>
      <c r="D108">
        <v>203</v>
      </c>
      <c r="E108">
        <v>177.92047498387399</v>
      </c>
      <c r="F108"/>
      <c r="G108" s="5"/>
      <c r="L108"/>
      <c r="Q108" s="21"/>
      <c r="R108" s="21"/>
    </row>
    <row r="109" spans="1:18" ht="17.25" x14ac:dyDescent="0.25">
      <c r="A109" s="21">
        <f t="shared" si="2"/>
        <v>-0.38684193465448202</v>
      </c>
      <c r="B109" t="s">
        <v>49</v>
      </c>
      <c r="C109" s="21" t="str">
        <f t="shared" si="3"/>
        <v>B</v>
      </c>
      <c r="D109">
        <v>278</v>
      </c>
      <c r="E109">
        <v>170.45794216605401</v>
      </c>
      <c r="F109"/>
      <c r="G109" s="5"/>
      <c r="L109"/>
      <c r="Q109" s="21"/>
      <c r="R109" s="21"/>
    </row>
    <row r="110" spans="1:18" ht="17.25" x14ac:dyDescent="0.25">
      <c r="A110" s="21">
        <f t="shared" si="2"/>
        <v>-0.29364622634439908</v>
      </c>
      <c r="B110" t="s">
        <v>49</v>
      </c>
      <c r="C110" s="21" t="str">
        <f t="shared" si="3"/>
        <v>B</v>
      </c>
      <c r="D110">
        <v>228</v>
      </c>
      <c r="E110">
        <v>161.04866039347701</v>
      </c>
      <c r="F110"/>
      <c r="G110" s="5"/>
      <c r="L110"/>
      <c r="Q110" s="21"/>
      <c r="R110" s="21"/>
    </row>
    <row r="111" spans="1:18" ht="17.25" x14ac:dyDescent="0.25">
      <c r="A111" s="21">
        <f t="shared" si="2"/>
        <v>-0.16810199246570767</v>
      </c>
      <c r="B111" t="s">
        <v>49</v>
      </c>
      <c r="C111" s="21" t="str">
        <f t="shared" si="3"/>
        <v>A</v>
      </c>
      <c r="D111">
        <v>195</v>
      </c>
      <c r="E111">
        <v>162.220111469187</v>
      </c>
      <c r="F111"/>
      <c r="G111" s="5"/>
      <c r="L111"/>
      <c r="Q111" s="21"/>
      <c r="R111" s="21"/>
    </row>
    <row r="112" spans="1:18" ht="17.25" x14ac:dyDescent="0.25">
      <c r="A112" s="21">
        <f t="shared" si="2"/>
        <v>-0.14507589875387772</v>
      </c>
      <c r="B112" t="s">
        <v>49</v>
      </c>
      <c r="C112" s="21" t="str">
        <f t="shared" si="3"/>
        <v>A</v>
      </c>
      <c r="D112">
        <v>253.5</v>
      </c>
      <c r="E112">
        <v>216.72325966589199</v>
      </c>
      <c r="F112"/>
      <c r="G112" s="5"/>
      <c r="L112"/>
      <c r="Q112" s="21"/>
      <c r="R112" s="21"/>
    </row>
    <row r="113" spans="1:18" ht="17.25" x14ac:dyDescent="0.25">
      <c r="A113" s="21">
        <f t="shared" si="2"/>
        <v>-0.14152265041918344</v>
      </c>
      <c r="B113" t="s">
        <v>49</v>
      </c>
      <c r="C113" s="21" t="str">
        <f t="shared" si="3"/>
        <v>A</v>
      </c>
      <c r="D113">
        <v>242.5</v>
      </c>
      <c r="E113">
        <v>208.18075727334801</v>
      </c>
      <c r="F113"/>
      <c r="G113" s="5"/>
      <c r="L113"/>
      <c r="Q113" s="21"/>
      <c r="R113" s="21"/>
    </row>
    <row r="114" spans="1:18" ht="17.25" x14ac:dyDescent="0.25">
      <c r="A114" s="21">
        <f t="shared" si="2"/>
        <v>-0.1465406996829699</v>
      </c>
      <c r="B114" t="s">
        <v>49</v>
      </c>
      <c r="C114" s="21" t="str">
        <f t="shared" si="3"/>
        <v>A</v>
      </c>
      <c r="D114">
        <v>266</v>
      </c>
      <c r="E114">
        <v>227.02017388433001</v>
      </c>
      <c r="F114"/>
      <c r="G114" s="5"/>
      <c r="L114"/>
      <c r="Q114" s="21"/>
      <c r="R114" s="21"/>
    </row>
    <row r="115" spans="1:18" ht="17.25" x14ac:dyDescent="0.25">
      <c r="A115" s="21">
        <f t="shared" si="2"/>
        <v>-0.33695748958669769</v>
      </c>
      <c r="B115" t="s">
        <v>49</v>
      </c>
      <c r="C115" s="21" t="str">
        <f t="shared" si="3"/>
        <v>B</v>
      </c>
      <c r="D115">
        <v>215</v>
      </c>
      <c r="E115">
        <v>142.55413973885999</v>
      </c>
      <c r="F115"/>
      <c r="G115" s="5"/>
      <c r="L115"/>
      <c r="Q115" s="21"/>
      <c r="R115" s="21"/>
    </row>
    <row r="116" spans="1:18" ht="17.25" x14ac:dyDescent="0.25">
      <c r="A116" s="21">
        <f t="shared" si="2"/>
        <v>-3.9392662961369229E-2</v>
      </c>
      <c r="B116" t="s">
        <v>49</v>
      </c>
      <c r="C116" s="21" t="str">
        <f t="shared" si="3"/>
        <v>A</v>
      </c>
      <c r="D116">
        <v>139.5</v>
      </c>
      <c r="E116">
        <v>134.00472351688899</v>
      </c>
      <c r="F116"/>
      <c r="G116" s="5"/>
      <c r="L116"/>
      <c r="Q116" s="21"/>
      <c r="R116" s="21"/>
    </row>
    <row r="117" spans="1:18" ht="17.25" x14ac:dyDescent="0.25">
      <c r="A117" s="21">
        <f t="shared" si="2"/>
        <v>-5.7426485789267345E-2</v>
      </c>
      <c r="B117" t="s">
        <v>49</v>
      </c>
      <c r="C117" s="21" t="str">
        <f t="shared" si="3"/>
        <v>A</v>
      </c>
      <c r="D117">
        <v>187</v>
      </c>
      <c r="E117">
        <v>176.26124715740701</v>
      </c>
      <c r="F117"/>
      <c r="G117" s="5"/>
      <c r="L117"/>
      <c r="Q117" s="21"/>
      <c r="R117" s="21"/>
    </row>
    <row r="118" spans="1:18" ht="17.25" x14ac:dyDescent="0.25">
      <c r="A118" s="21">
        <f t="shared" si="2"/>
        <v>-9.3785054575213578E-2</v>
      </c>
      <c r="B118" t="s">
        <v>49</v>
      </c>
      <c r="C118" s="21" t="str">
        <f t="shared" si="3"/>
        <v>A</v>
      </c>
      <c r="D118">
        <v>281</v>
      </c>
      <c r="E118">
        <v>254.64639966436499</v>
      </c>
      <c r="F118"/>
      <c r="G118" s="5"/>
      <c r="L118"/>
      <c r="Q118" s="21"/>
      <c r="R118" s="21"/>
    </row>
    <row r="119" spans="1:18" ht="17.25" x14ac:dyDescent="0.25">
      <c r="A119" s="21">
        <f t="shared" si="2"/>
        <v>-0.1898952912930294</v>
      </c>
      <c r="B119" t="s">
        <v>49</v>
      </c>
      <c r="C119" s="21" t="str">
        <f t="shared" si="3"/>
        <v>A</v>
      </c>
      <c r="D119">
        <v>306</v>
      </c>
      <c r="E119">
        <v>247.89204086433301</v>
      </c>
      <c r="F119"/>
      <c r="G119" s="5"/>
      <c r="L119"/>
      <c r="Q119" s="21"/>
      <c r="R119" s="21"/>
    </row>
    <row r="120" spans="1:18" ht="17.25" x14ac:dyDescent="0.25">
      <c r="A120" s="21">
        <f t="shared" si="2"/>
        <v>-0.24069077720870158</v>
      </c>
      <c r="B120" t="s">
        <v>49</v>
      </c>
      <c r="C120" s="21" t="str">
        <f t="shared" si="3"/>
        <v>B</v>
      </c>
      <c r="D120">
        <v>258</v>
      </c>
      <c r="E120">
        <v>195.901779480155</v>
      </c>
      <c r="F120"/>
      <c r="G120" s="5"/>
      <c r="L120"/>
      <c r="Q120" s="21"/>
      <c r="R120" s="21"/>
    </row>
    <row r="121" spans="1:18" ht="17.25" x14ac:dyDescent="0.25">
      <c r="A121" s="21">
        <f t="shared" si="2"/>
        <v>-7.9611632929014187E-2</v>
      </c>
      <c r="B121" t="s">
        <v>49</v>
      </c>
      <c r="C121" s="21" t="str">
        <f t="shared" si="3"/>
        <v>A</v>
      </c>
      <c r="D121">
        <v>212</v>
      </c>
      <c r="E121">
        <v>195.122333819049</v>
      </c>
      <c r="F121"/>
      <c r="G121" s="5"/>
      <c r="L121"/>
      <c r="Q121" s="21"/>
      <c r="R121" s="21"/>
    </row>
    <row r="122" spans="1:18" ht="17.25" x14ac:dyDescent="0.25">
      <c r="A122" s="21">
        <f t="shared" si="2"/>
        <v>-2.8794671188661303E-2</v>
      </c>
      <c r="B122" t="s">
        <v>49</v>
      </c>
      <c r="C122" s="21" t="str">
        <f t="shared" si="3"/>
        <v>A</v>
      </c>
      <c r="D122">
        <v>186</v>
      </c>
      <c r="E122">
        <v>180.644191158909</v>
      </c>
      <c r="F122"/>
      <c r="G122" s="5"/>
      <c r="L122"/>
      <c r="Q122" s="21"/>
      <c r="R122" s="21"/>
    </row>
    <row r="123" spans="1:18" ht="17.25" x14ac:dyDescent="0.25">
      <c r="A123" s="21">
        <f t="shared" si="2"/>
        <v>0.30418065688568419</v>
      </c>
      <c r="B123" t="s">
        <v>49</v>
      </c>
      <c r="C123" s="21" t="str">
        <f t="shared" si="3"/>
        <v>B</v>
      </c>
      <c r="D123">
        <v>76</v>
      </c>
      <c r="E123">
        <v>99.117729923311998</v>
      </c>
      <c r="F123"/>
      <c r="G123" s="5"/>
      <c r="L123"/>
      <c r="Q123" s="21"/>
      <c r="R123" s="21"/>
    </row>
    <row r="124" spans="1:18" ht="17.25" x14ac:dyDescent="0.25">
      <c r="A124" s="21">
        <f t="shared" si="2"/>
        <v>-0.21244267947828055</v>
      </c>
      <c r="B124" t="s">
        <v>49</v>
      </c>
      <c r="C124" s="21" t="str">
        <f t="shared" si="3"/>
        <v>B</v>
      </c>
      <c r="D124">
        <v>113</v>
      </c>
      <c r="E124">
        <v>88.993977218954299</v>
      </c>
      <c r="F124"/>
      <c r="G124" s="5"/>
      <c r="L124"/>
      <c r="Q124" s="21"/>
      <c r="R124" s="21"/>
    </row>
    <row r="125" spans="1:18" ht="17.25" x14ac:dyDescent="0.25">
      <c r="A125" s="21">
        <f t="shared" si="2"/>
        <v>-8.5342321930050646E-2</v>
      </c>
      <c r="B125" t="s">
        <v>49</v>
      </c>
      <c r="C125" s="21" t="str">
        <f t="shared" si="3"/>
        <v>A</v>
      </c>
      <c r="D125">
        <v>87</v>
      </c>
      <c r="E125">
        <v>79.575217992085598</v>
      </c>
      <c r="F125"/>
      <c r="G125" s="5"/>
      <c r="L125"/>
      <c r="Q125" s="21"/>
      <c r="R125" s="21"/>
    </row>
    <row r="126" spans="1:18" ht="17.25" x14ac:dyDescent="0.25">
      <c r="A126" s="21">
        <f t="shared" si="2"/>
        <v>-3.6500653055423493E-2</v>
      </c>
      <c r="B126" t="s">
        <v>50</v>
      </c>
      <c r="C126" s="21" t="str">
        <f t="shared" si="3"/>
        <v>A</v>
      </c>
      <c r="D126">
        <v>81</v>
      </c>
      <c r="E126">
        <v>78.043447102510697</v>
      </c>
      <c r="F126"/>
      <c r="G126" s="5"/>
      <c r="M126"/>
      <c r="Q126" s="21"/>
      <c r="R126" s="21"/>
    </row>
    <row r="127" spans="1:18" x14ac:dyDescent="0.25">
      <c r="A127" s="21">
        <f t="shared" si="2"/>
        <v>0.11950031546056361</v>
      </c>
      <c r="B127" t="s">
        <v>50</v>
      </c>
      <c r="C127" s="21" t="str">
        <f t="shared" si="3"/>
        <v>A</v>
      </c>
      <c r="D127">
        <v>110</v>
      </c>
      <c r="E127">
        <v>123.14503470066199</v>
      </c>
      <c r="F127"/>
      <c r="M127"/>
      <c r="Q127" s="21"/>
      <c r="R127" s="21"/>
    </row>
    <row r="128" spans="1:18" x14ac:dyDescent="0.25">
      <c r="A128" s="21">
        <f t="shared" si="2"/>
        <v>-5.3803381394837868E-2</v>
      </c>
      <c r="B128" t="s">
        <v>50</v>
      </c>
      <c r="C128" s="21" t="str">
        <f t="shared" si="3"/>
        <v>A</v>
      </c>
      <c r="D128">
        <v>111</v>
      </c>
      <c r="E128">
        <v>105.027824665173</v>
      </c>
      <c r="F128"/>
      <c r="M128"/>
      <c r="Q128" s="21"/>
      <c r="R128" s="21"/>
    </row>
    <row r="129" spans="1:18" x14ac:dyDescent="0.25">
      <c r="A129" s="21">
        <f t="shared" si="2"/>
        <v>0.22914249546282806</v>
      </c>
      <c r="B129" t="s">
        <v>50</v>
      </c>
      <c r="C129" s="21" t="str">
        <f t="shared" si="3"/>
        <v>B</v>
      </c>
      <c r="D129">
        <v>93</v>
      </c>
      <c r="E129">
        <v>114.31025207804301</v>
      </c>
      <c r="F129"/>
      <c r="M129"/>
      <c r="Q129" s="21"/>
      <c r="R129" s="21"/>
    </row>
    <row r="130" spans="1:18" x14ac:dyDescent="0.25">
      <c r="A130" s="21">
        <f t="shared" si="2"/>
        <v>-0.11573214080643901</v>
      </c>
      <c r="B130" t="s">
        <v>50</v>
      </c>
      <c r="C130" s="21" t="str">
        <f t="shared" si="3"/>
        <v>A</v>
      </c>
      <c r="D130">
        <v>221</v>
      </c>
      <c r="E130">
        <v>195.42319688177699</v>
      </c>
      <c r="F130"/>
      <c r="M130"/>
      <c r="Q130" s="21"/>
      <c r="R130" s="21"/>
    </row>
    <row r="131" spans="1:18" x14ac:dyDescent="0.25">
      <c r="A131" s="21">
        <f t="shared" si="2"/>
        <v>-0.38853867591071167</v>
      </c>
      <c r="B131" t="s">
        <v>50</v>
      </c>
      <c r="C131" s="21" t="str">
        <f t="shared" si="3"/>
        <v>B</v>
      </c>
      <c r="D131">
        <v>281</v>
      </c>
      <c r="E131">
        <v>171.82063206909001</v>
      </c>
      <c r="F131"/>
      <c r="M131"/>
      <c r="Q131" s="21"/>
      <c r="R131" s="21"/>
    </row>
    <row r="132" spans="1:18" x14ac:dyDescent="0.25">
      <c r="A132" s="21">
        <f t="shared" si="2"/>
        <v>-0.3988260021710941</v>
      </c>
      <c r="B132" t="s">
        <v>50</v>
      </c>
      <c r="C132" s="21" t="str">
        <f t="shared" si="3"/>
        <v>B</v>
      </c>
      <c r="D132">
        <v>287</v>
      </c>
      <c r="E132">
        <v>172.53693737689599</v>
      </c>
      <c r="F132"/>
      <c r="M132"/>
      <c r="Q132" s="21"/>
      <c r="R132" s="21"/>
    </row>
    <row r="133" spans="1:18" x14ac:dyDescent="0.25">
      <c r="A133" s="21">
        <f t="shared" si="2"/>
        <v>-0.32866897329883848</v>
      </c>
      <c r="B133" t="s">
        <v>50</v>
      </c>
      <c r="C133" s="21" t="str">
        <f t="shared" si="3"/>
        <v>B</v>
      </c>
      <c r="D133">
        <v>260</v>
      </c>
      <c r="E133">
        <v>174.54606694230199</v>
      </c>
      <c r="F133"/>
      <c r="M133"/>
      <c r="Q133" s="21"/>
      <c r="R133" s="21"/>
    </row>
    <row r="134" spans="1:18" x14ac:dyDescent="0.25">
      <c r="A134" s="21">
        <f t="shared" si="2"/>
        <v>-0.20201662774290874</v>
      </c>
      <c r="B134" t="s">
        <v>51</v>
      </c>
      <c r="C134" s="21" t="str">
        <f t="shared" si="3"/>
        <v>B</v>
      </c>
      <c r="D134">
        <v>263</v>
      </c>
      <c r="E134">
        <v>209.869626903615</v>
      </c>
      <c r="F134"/>
      <c r="N134"/>
      <c r="Q134" s="21"/>
      <c r="R134" s="21"/>
    </row>
    <row r="135" spans="1:18" x14ac:dyDescent="0.25">
      <c r="A135" s="21">
        <f t="shared" si="2"/>
        <v>-0.35882796410447981</v>
      </c>
      <c r="B135" t="s">
        <v>51</v>
      </c>
      <c r="C135" s="21" t="str">
        <f t="shared" si="3"/>
        <v>B</v>
      </c>
      <c r="D135">
        <v>323</v>
      </c>
      <c r="E135">
        <v>207.09856759425301</v>
      </c>
      <c r="F135"/>
      <c r="N135"/>
      <c r="Q135" s="21"/>
      <c r="R135" s="21"/>
    </row>
    <row r="136" spans="1:18" x14ac:dyDescent="0.25">
      <c r="A136" s="21">
        <f t="shared" si="2"/>
        <v>-0.20443455731546667</v>
      </c>
      <c r="B136" t="s">
        <v>51</v>
      </c>
      <c r="C136" s="21" t="str">
        <f t="shared" si="3"/>
        <v>B</v>
      </c>
      <c r="D136">
        <v>150</v>
      </c>
      <c r="E136">
        <v>119.33481640268</v>
      </c>
      <c r="F136"/>
      <c r="N136"/>
      <c r="Q136" s="21"/>
      <c r="R136" s="21"/>
    </row>
    <row r="137" spans="1:18" x14ac:dyDescent="0.25">
      <c r="A137" s="21">
        <f t="shared" si="2"/>
        <v>-7.5710064393999965E-2</v>
      </c>
      <c r="B137" t="s">
        <v>51</v>
      </c>
      <c r="C137" s="21" t="str">
        <f t="shared" si="3"/>
        <v>A</v>
      </c>
      <c r="D137">
        <v>131</v>
      </c>
      <c r="E137">
        <v>121.081981564386</v>
      </c>
      <c r="F137"/>
      <c r="N137"/>
      <c r="Q137" s="21"/>
      <c r="R137" s="21"/>
    </row>
    <row r="138" spans="1:18" x14ac:dyDescent="0.25">
      <c r="A138" s="21">
        <f t="shared" si="2"/>
        <v>-0.34483101359442703</v>
      </c>
      <c r="B138" t="s">
        <v>51</v>
      </c>
      <c r="C138" s="21" t="str">
        <f t="shared" si="3"/>
        <v>B</v>
      </c>
      <c r="D138">
        <v>152</v>
      </c>
      <c r="E138">
        <v>99.585685933647099</v>
      </c>
      <c r="F138"/>
      <c r="N138"/>
      <c r="Q138" s="21"/>
      <c r="R138" s="21"/>
    </row>
    <row r="139" spans="1:18" x14ac:dyDescent="0.25">
      <c r="A139" s="21">
        <f t="shared" si="2"/>
        <v>-6.2121903749192353E-2</v>
      </c>
      <c r="B139" t="s">
        <v>51</v>
      </c>
      <c r="C139" s="21" t="str">
        <f t="shared" si="3"/>
        <v>A</v>
      </c>
      <c r="D139">
        <v>156</v>
      </c>
      <c r="E139">
        <v>146.30898301512599</v>
      </c>
      <c r="F139"/>
      <c r="N139"/>
      <c r="Q139" s="21"/>
      <c r="R139" s="21"/>
    </row>
    <row r="140" spans="1:18" x14ac:dyDescent="0.25">
      <c r="A140" s="21">
        <f t="shared" si="2"/>
        <v>-3.8579342566596786E-2</v>
      </c>
      <c r="B140" t="s">
        <v>51</v>
      </c>
      <c r="C140" s="21" t="str">
        <f t="shared" si="3"/>
        <v>A</v>
      </c>
      <c r="D140">
        <v>93</v>
      </c>
      <c r="E140">
        <v>89.4121211413065</v>
      </c>
      <c r="F140"/>
      <c r="N140"/>
      <c r="Q140" s="21"/>
      <c r="R140" s="21"/>
    </row>
    <row r="141" spans="1:18" x14ac:dyDescent="0.25">
      <c r="A141" s="21">
        <f t="shared" si="2"/>
        <v>-0.18840608502608391</v>
      </c>
      <c r="B141" t="s">
        <v>51</v>
      </c>
      <c r="C141" s="21" t="str">
        <f t="shared" si="3"/>
        <v>A</v>
      </c>
      <c r="D141">
        <v>155</v>
      </c>
      <c r="E141">
        <v>125.797056820957</v>
      </c>
      <c r="F141"/>
      <c r="N141"/>
      <c r="Q141" s="21"/>
      <c r="R141" s="21"/>
    </row>
    <row r="142" spans="1:18" x14ac:dyDescent="0.25">
      <c r="A142" s="21">
        <f t="shared" si="2"/>
        <v>-0.13274302357351708</v>
      </c>
      <c r="B142" t="s">
        <v>52</v>
      </c>
      <c r="C142" s="21" t="str">
        <f t="shared" si="3"/>
        <v>A</v>
      </c>
      <c r="D142">
        <v>147</v>
      </c>
      <c r="E142">
        <v>127.486775534693</v>
      </c>
      <c r="F142"/>
      <c r="O142"/>
      <c r="Q142" s="21"/>
      <c r="R142" s="21"/>
    </row>
    <row r="143" spans="1:18" x14ac:dyDescent="0.25">
      <c r="A143" s="21">
        <f t="shared" si="2"/>
        <v>-0.16065133005019472</v>
      </c>
      <c r="B143" t="s">
        <v>52</v>
      </c>
      <c r="C143" s="21" t="str">
        <f t="shared" si="3"/>
        <v>A</v>
      </c>
      <c r="D143">
        <v>112</v>
      </c>
      <c r="E143">
        <v>94.007051034378193</v>
      </c>
      <c r="F143"/>
      <c r="O143"/>
      <c r="Q143" s="21"/>
      <c r="R143" s="21"/>
    </row>
    <row r="144" spans="1:18" x14ac:dyDescent="0.25">
      <c r="A144" s="21">
        <f t="shared" si="2"/>
        <v>0.11766048517993055</v>
      </c>
      <c r="B144" t="s">
        <v>52</v>
      </c>
      <c r="C144" s="21" t="str">
        <f t="shared" si="3"/>
        <v>A</v>
      </c>
      <c r="D144">
        <v>101</v>
      </c>
      <c r="E144">
        <v>112.883709003173</v>
      </c>
      <c r="F144"/>
      <c r="O144"/>
      <c r="Q144" s="21"/>
      <c r="R144" s="21"/>
    </row>
    <row r="145" spans="1:18" x14ac:dyDescent="0.25">
      <c r="A145" s="21">
        <f t="shared" si="2"/>
        <v>-0.22466534170097974</v>
      </c>
      <c r="B145" t="s">
        <v>52</v>
      </c>
      <c r="C145" s="21" t="str">
        <f t="shared" si="3"/>
        <v>B</v>
      </c>
      <c r="D145">
        <v>173.5</v>
      </c>
      <c r="E145">
        <v>134.52056321488001</v>
      </c>
      <c r="F145"/>
      <c r="O145"/>
      <c r="Q145" s="21"/>
      <c r="R145" s="21"/>
    </row>
    <row r="146" spans="1:18" x14ac:dyDescent="0.25">
      <c r="A146" s="21">
        <f t="shared" si="2"/>
        <v>-1.757980461946107E-2</v>
      </c>
      <c r="B146" t="s">
        <v>52</v>
      </c>
      <c r="C146" s="21" t="str">
        <f t="shared" si="3"/>
        <v>A</v>
      </c>
      <c r="D146">
        <v>141</v>
      </c>
      <c r="E146">
        <v>138.52124754865599</v>
      </c>
      <c r="F146"/>
      <c r="O146"/>
      <c r="Q146" s="21"/>
      <c r="R146" s="21"/>
    </row>
    <row r="147" spans="1:18" x14ac:dyDescent="0.25">
      <c r="A147" s="21">
        <f t="shared" si="2"/>
        <v>-0.1479462557701402</v>
      </c>
      <c r="B147" t="s">
        <v>53</v>
      </c>
      <c r="C147" s="21" t="str">
        <f t="shared" si="3"/>
        <v>A</v>
      </c>
      <c r="D147">
        <v>157</v>
      </c>
      <c r="E147">
        <v>133.77243784408799</v>
      </c>
      <c r="F147"/>
      <c r="O147"/>
      <c r="Q147" s="21"/>
      <c r="R147" s="21"/>
    </row>
    <row r="148" spans="1:18" x14ac:dyDescent="0.25">
      <c r="A148" s="21">
        <f t="shared" si="2"/>
        <v>0.17747256711317183</v>
      </c>
      <c r="B148" t="s">
        <v>53</v>
      </c>
      <c r="C148" s="21" t="str">
        <f t="shared" si="3"/>
        <v>A</v>
      </c>
      <c r="D148">
        <v>138.25</v>
      </c>
      <c r="E148">
        <v>162.78558240339601</v>
      </c>
      <c r="F148"/>
      <c r="O148"/>
      <c r="Q148" s="21"/>
      <c r="R148" s="21"/>
    </row>
    <row r="149" spans="1:18" x14ac:dyDescent="0.25">
      <c r="A149" s="21">
        <f t="shared" si="2"/>
        <v>0.38297568808010807</v>
      </c>
      <c r="B149" t="s">
        <v>53</v>
      </c>
      <c r="C149" s="21" t="str">
        <f t="shared" si="3"/>
        <v>B</v>
      </c>
      <c r="D149">
        <v>111</v>
      </c>
      <c r="E149">
        <v>153.51030137689199</v>
      </c>
      <c r="F149"/>
      <c r="O149"/>
      <c r="Q149" s="21"/>
      <c r="R149" s="21"/>
    </row>
    <row r="150" spans="1:18" x14ac:dyDescent="0.25">
      <c r="A150" s="21">
        <f t="shared" si="2"/>
        <v>6.787099695458565E-2</v>
      </c>
      <c r="B150" t="s">
        <v>53</v>
      </c>
      <c r="C150" s="21" t="str">
        <f t="shared" si="3"/>
        <v>A</v>
      </c>
      <c r="D150">
        <v>111</v>
      </c>
      <c r="E150">
        <v>118.533680661959</v>
      </c>
      <c r="F150"/>
      <c r="O150"/>
      <c r="Q150" s="21"/>
      <c r="R150" s="21"/>
    </row>
    <row r="151" spans="1:18" x14ac:dyDescent="0.25">
      <c r="A151" s="21">
        <f t="shared" si="2"/>
        <v>0.13920872275724205</v>
      </c>
      <c r="B151" t="s">
        <v>53</v>
      </c>
      <c r="C151" s="21" t="str">
        <f t="shared" si="3"/>
        <v>A</v>
      </c>
      <c r="D151">
        <v>95</v>
      </c>
      <c r="E151">
        <v>108.22482866193801</v>
      </c>
      <c r="F151"/>
      <c r="O151"/>
      <c r="Q151" s="21"/>
      <c r="R151" s="21"/>
    </row>
    <row r="152" spans="1:18" x14ac:dyDescent="0.25">
      <c r="A152" s="21">
        <f t="shared" si="2"/>
        <v>-0.18563469027646007</v>
      </c>
      <c r="C152" s="21" t="str">
        <f t="shared" si="3"/>
        <v>A</v>
      </c>
      <c r="D152">
        <v>156.5</v>
      </c>
      <c r="E152">
        <v>127.448170971734</v>
      </c>
      <c r="F152"/>
      <c r="Q152" s="21"/>
      <c r="R152" s="21"/>
    </row>
    <row r="153" spans="1:18" x14ac:dyDescent="0.25">
      <c r="A153" s="21">
        <f t="shared" si="2"/>
        <v>0.16888383864562928</v>
      </c>
      <c r="C153" s="21" t="str">
        <f t="shared" si="3"/>
        <v>A</v>
      </c>
      <c r="D153">
        <v>116</v>
      </c>
      <c r="E153">
        <v>135.590525282893</v>
      </c>
      <c r="F153"/>
      <c r="Q153" s="21"/>
      <c r="R153" s="21"/>
    </row>
    <row r="154" spans="1:18" x14ac:dyDescent="0.25">
      <c r="A154" s="21">
        <f t="shared" si="2"/>
        <v>3.8896115193148839E-2</v>
      </c>
      <c r="C154" s="21" t="str">
        <f t="shared" si="3"/>
        <v>A</v>
      </c>
      <c r="D154">
        <v>121</v>
      </c>
      <c r="E154">
        <v>125.706429938371</v>
      </c>
      <c r="F154"/>
      <c r="Q154" s="21"/>
      <c r="R154" s="21"/>
    </row>
    <row r="155" spans="1:18" x14ac:dyDescent="0.25">
      <c r="A155" s="21">
        <f t="shared" si="2"/>
        <v>-7.2047588401658924E-2</v>
      </c>
      <c r="C155" s="21" t="str">
        <f t="shared" si="3"/>
        <v>A</v>
      </c>
      <c r="D155">
        <v>108.5</v>
      </c>
      <c r="E155">
        <v>100.68283665842</v>
      </c>
      <c r="F155"/>
      <c r="Q155" s="21"/>
      <c r="R155" s="21"/>
    </row>
    <row r="156" spans="1:18" x14ac:dyDescent="0.25">
      <c r="A156" s="21">
        <f t="shared" si="2"/>
        <v>-0.40111571904612775</v>
      </c>
      <c r="C156" s="21" t="str">
        <f t="shared" si="3"/>
        <v>B</v>
      </c>
      <c r="D156">
        <v>203.5</v>
      </c>
      <c r="E156">
        <v>121.872951174113</v>
      </c>
      <c r="F156"/>
      <c r="Q156" s="21"/>
      <c r="R156" s="21"/>
    </row>
    <row r="157" spans="1:18" x14ac:dyDescent="0.25">
      <c r="A157" s="21">
        <f t="shared" si="2"/>
        <v>-0.42134845546165667</v>
      </c>
      <c r="C157" s="21" t="str">
        <f t="shared" si="3"/>
        <v>B</v>
      </c>
      <c r="D157">
        <v>159</v>
      </c>
      <c r="E157">
        <v>92.005595581596594</v>
      </c>
      <c r="F157"/>
      <c r="Q157" s="21"/>
      <c r="R157" s="21"/>
    </row>
    <row r="158" spans="1:18" x14ac:dyDescent="0.25">
      <c r="A158" s="21">
        <f t="shared" si="2"/>
        <v>-6.7502654593130762E-2</v>
      </c>
      <c r="C158" s="21" t="str">
        <f t="shared" si="3"/>
        <v>A</v>
      </c>
      <c r="D158">
        <v>91</v>
      </c>
      <c r="E158">
        <v>84.857258432025105</v>
      </c>
      <c r="F158"/>
      <c r="Q158" s="21"/>
      <c r="R158" s="21"/>
    </row>
    <row r="159" spans="1:18" x14ac:dyDescent="0.25">
      <c r="A159" s="21">
        <f t="shared" si="2"/>
        <v>9.2507292649820494E-2</v>
      </c>
      <c r="C159" s="21" t="str">
        <f t="shared" si="3"/>
        <v>A</v>
      </c>
      <c r="D159">
        <v>87.5</v>
      </c>
      <c r="E159">
        <v>95.594388106859299</v>
      </c>
      <c r="F159"/>
      <c r="Q159" s="21"/>
      <c r="R159" s="21"/>
    </row>
    <row r="160" spans="1:18" x14ac:dyDescent="0.25">
      <c r="A160" s="21">
        <f t="shared" si="2"/>
        <v>-0.28789632727337944</v>
      </c>
      <c r="C160" s="21" t="str">
        <f t="shared" si="3"/>
        <v>B</v>
      </c>
      <c r="D160">
        <v>131</v>
      </c>
      <c r="E160">
        <v>93.285581127187299</v>
      </c>
      <c r="F160"/>
      <c r="Q160" s="21"/>
      <c r="R160" s="21"/>
    </row>
    <row r="161" spans="1:18" x14ac:dyDescent="0.25">
      <c r="A161" s="21">
        <f t="shared" si="2"/>
        <v>-0.12037723676777867</v>
      </c>
      <c r="C161" s="21" t="str">
        <f t="shared" si="3"/>
        <v>A</v>
      </c>
      <c r="D161">
        <v>117.5</v>
      </c>
      <c r="E161">
        <v>103.35567467978601</v>
      </c>
      <c r="F161"/>
      <c r="Q161" s="21"/>
      <c r="R161" s="21"/>
    </row>
    <row r="162" spans="1:18" x14ac:dyDescent="0.25">
      <c r="A162" s="21">
        <f t="shared" si="2"/>
        <v>2.2246322695371523E-2</v>
      </c>
      <c r="C162" s="21" t="str">
        <f t="shared" si="3"/>
        <v>A</v>
      </c>
      <c r="D162">
        <v>105</v>
      </c>
      <c r="E162">
        <v>107.335863883014</v>
      </c>
      <c r="F162"/>
      <c r="Q162" s="21"/>
      <c r="R162" s="21"/>
    </row>
    <row r="163" spans="1:18" x14ac:dyDescent="0.25">
      <c r="A163" s="21">
        <f t="shared" si="2"/>
        <v>-0.15871515962273508</v>
      </c>
      <c r="C163" s="21" t="str">
        <f t="shared" si="3"/>
        <v>A</v>
      </c>
      <c r="D163">
        <v>95.5</v>
      </c>
      <c r="E163">
        <v>80.342702256028801</v>
      </c>
      <c r="F163"/>
      <c r="Q163" s="21"/>
      <c r="R163" s="21"/>
    </row>
    <row r="164" spans="1:18" x14ac:dyDescent="0.25">
      <c r="A164" s="21">
        <f t="shared" si="2"/>
        <v>-0.43938998355286307</v>
      </c>
      <c r="C164" s="21" t="str">
        <f t="shared" si="3"/>
        <v>B</v>
      </c>
      <c r="D164">
        <v>219</v>
      </c>
      <c r="E164">
        <v>122.773593601923</v>
      </c>
      <c r="F164"/>
      <c r="Q164" s="21"/>
      <c r="R164" s="21"/>
    </row>
    <row r="165" spans="1:18" x14ac:dyDescent="0.25">
      <c r="A165" s="21">
        <f t="shared" si="2"/>
        <v>-0.33220523545233005</v>
      </c>
      <c r="C165" s="21" t="str">
        <f t="shared" si="3"/>
        <v>B</v>
      </c>
      <c r="D165">
        <v>197</v>
      </c>
      <c r="E165">
        <v>131.55556861589099</v>
      </c>
      <c r="F165"/>
      <c r="Q165" s="21"/>
      <c r="R165" s="21"/>
    </row>
    <row r="166" spans="1:18" x14ac:dyDescent="0.25">
      <c r="A166" s="21">
        <f t="shared" si="2"/>
        <v>-0.16080032791761034</v>
      </c>
      <c r="C166" s="21" t="str">
        <f t="shared" si="3"/>
        <v>A</v>
      </c>
      <c r="D166">
        <v>154</v>
      </c>
      <c r="E166">
        <v>129.23674950068801</v>
      </c>
      <c r="F166"/>
      <c r="Q166" s="21"/>
      <c r="R166" s="21"/>
    </row>
    <row r="167" spans="1:18" x14ac:dyDescent="0.25">
      <c r="A167" s="21">
        <f t="shared" si="2"/>
        <v>-1.900140133134598E-2</v>
      </c>
      <c r="C167" s="21" t="str">
        <f t="shared" ref="C167:C230" si="4">IF(OR(A167&gt;=20%,A167&lt;=-20%),"B","A")</f>
        <v>A</v>
      </c>
      <c r="D167">
        <v>87</v>
      </c>
      <c r="E167">
        <v>85.3468780841729</v>
      </c>
      <c r="F167"/>
    </row>
    <row r="168" spans="1:18" x14ac:dyDescent="0.25">
      <c r="A168" s="21">
        <f t="shared" ref="A168:A231" si="5">E168/D168-1</f>
        <v>-0.12028730413595479</v>
      </c>
      <c r="C168" s="21" t="str">
        <f t="shared" si="4"/>
        <v>A</v>
      </c>
      <c r="D168">
        <v>155</v>
      </c>
      <c r="E168">
        <v>136.355467858927</v>
      </c>
      <c r="F168"/>
    </row>
    <row r="169" spans="1:18" x14ac:dyDescent="0.25">
      <c r="A169" s="21">
        <f t="shared" si="5"/>
        <v>-0.11902999048742358</v>
      </c>
      <c r="C169" s="21" t="str">
        <f t="shared" si="4"/>
        <v>A</v>
      </c>
      <c r="D169">
        <v>110</v>
      </c>
      <c r="E169">
        <v>96.906701046383404</v>
      </c>
      <c r="F169"/>
    </row>
    <row r="170" spans="1:18" x14ac:dyDescent="0.25">
      <c r="A170" s="21">
        <f t="shared" si="5"/>
        <v>0.18053702519934478</v>
      </c>
      <c r="C170" s="21" t="str">
        <f t="shared" si="4"/>
        <v>A</v>
      </c>
      <c r="D170">
        <v>87</v>
      </c>
      <c r="E170">
        <v>102.706721192343</v>
      </c>
    </row>
    <row r="171" spans="1:18" x14ac:dyDescent="0.25">
      <c r="A171" s="21">
        <f t="shared" si="5"/>
        <v>-0.13016431355291913</v>
      </c>
      <c r="C171" s="21" t="str">
        <f t="shared" si="4"/>
        <v>A</v>
      </c>
      <c r="D171">
        <v>110</v>
      </c>
      <c r="E171">
        <v>95.681925509178896</v>
      </c>
      <c r="F171"/>
    </row>
    <row r="172" spans="1:18" x14ac:dyDescent="0.25">
      <c r="A172" s="21">
        <f t="shared" si="5"/>
        <v>-8.560366013615317E-3</v>
      </c>
      <c r="C172" s="21" t="str">
        <f t="shared" si="4"/>
        <v>A</v>
      </c>
      <c r="D172">
        <v>104</v>
      </c>
      <c r="E172">
        <v>103.109721934584</v>
      </c>
      <c r="F172"/>
    </row>
    <row r="173" spans="1:18" x14ac:dyDescent="0.25">
      <c r="A173" s="21">
        <f t="shared" si="5"/>
        <v>-0.18532422678210791</v>
      </c>
      <c r="C173" s="21" t="str">
        <f t="shared" si="4"/>
        <v>A</v>
      </c>
      <c r="D173">
        <v>113</v>
      </c>
      <c r="E173">
        <v>92.058362373621804</v>
      </c>
      <c r="F173"/>
    </row>
    <row r="174" spans="1:18" x14ac:dyDescent="0.25">
      <c r="A174" s="21">
        <f t="shared" si="5"/>
        <v>-0.40792323167408917</v>
      </c>
      <c r="C174" s="21" t="str">
        <f t="shared" si="4"/>
        <v>B</v>
      </c>
      <c r="D174">
        <v>120</v>
      </c>
      <c r="E174">
        <v>71.049212199109306</v>
      </c>
      <c r="F174"/>
    </row>
    <row r="175" spans="1:18" x14ac:dyDescent="0.25">
      <c r="A175" s="21">
        <f t="shared" si="5"/>
        <v>-0.32221663606596662</v>
      </c>
      <c r="C175" s="21" t="str">
        <f t="shared" si="4"/>
        <v>B</v>
      </c>
      <c r="D175">
        <v>96</v>
      </c>
      <c r="E175">
        <v>65.067202937667204</v>
      </c>
      <c r="F175"/>
    </row>
    <row r="176" spans="1:18" x14ac:dyDescent="0.25">
      <c r="A176" s="21">
        <f t="shared" si="5"/>
        <v>-0.20764178839074277</v>
      </c>
      <c r="C176" s="21" t="str">
        <f t="shared" si="4"/>
        <v>B</v>
      </c>
      <c r="D176">
        <v>84</v>
      </c>
      <c r="E176">
        <v>66.558089775177606</v>
      </c>
      <c r="F176"/>
    </row>
    <row r="177" spans="1:6" x14ac:dyDescent="0.25">
      <c r="A177" s="21">
        <f t="shared" si="5"/>
        <v>-0.34136809640753829</v>
      </c>
      <c r="C177" s="21" t="str">
        <f t="shared" si="4"/>
        <v>B</v>
      </c>
      <c r="D177">
        <v>107</v>
      </c>
      <c r="E177">
        <v>70.473613684393399</v>
      </c>
      <c r="F177"/>
    </row>
    <row r="178" spans="1:6" x14ac:dyDescent="0.25">
      <c r="A178" s="21">
        <f t="shared" si="5"/>
        <v>-0.23493628177357628</v>
      </c>
      <c r="C178" s="21" t="str">
        <f t="shared" si="4"/>
        <v>B</v>
      </c>
      <c r="D178">
        <v>105</v>
      </c>
      <c r="E178">
        <v>80.331690413774496</v>
      </c>
      <c r="F178"/>
    </row>
    <row r="179" spans="1:6" x14ac:dyDescent="0.25">
      <c r="A179" s="21">
        <f t="shared" si="5"/>
        <v>0.15199327502931337</v>
      </c>
      <c r="C179" s="21" t="str">
        <f t="shared" si="4"/>
        <v>A</v>
      </c>
      <c r="D179">
        <v>82</v>
      </c>
      <c r="E179">
        <v>94.463448552403705</v>
      </c>
      <c r="F179"/>
    </row>
    <row r="180" spans="1:6" x14ac:dyDescent="0.25">
      <c r="A180" s="21">
        <f t="shared" si="5"/>
        <v>-0.39467153742902927</v>
      </c>
      <c r="C180" s="21" t="str">
        <f t="shared" si="4"/>
        <v>B</v>
      </c>
      <c r="D180">
        <v>150</v>
      </c>
      <c r="E180">
        <v>90.799269385645601</v>
      </c>
      <c r="F180"/>
    </row>
    <row r="181" spans="1:6" x14ac:dyDescent="0.25">
      <c r="A181" s="21">
        <f t="shared" si="5"/>
        <v>-0.12942250571243641</v>
      </c>
      <c r="C181" s="21" t="str">
        <f t="shared" si="4"/>
        <v>A</v>
      </c>
      <c r="D181">
        <v>126</v>
      </c>
      <c r="E181">
        <v>109.69276428023301</v>
      </c>
      <c r="F181"/>
    </row>
    <row r="182" spans="1:6" x14ac:dyDescent="0.25">
      <c r="A182" s="21">
        <f t="shared" si="5"/>
        <v>7.825975192775525E-2</v>
      </c>
      <c r="C182" s="21" t="str">
        <f t="shared" si="4"/>
        <v>A</v>
      </c>
      <c r="D182">
        <v>94</v>
      </c>
      <c r="E182">
        <v>101.356416681209</v>
      </c>
      <c r="F182"/>
    </row>
    <row r="183" spans="1:6" x14ac:dyDescent="0.25">
      <c r="A183" s="21">
        <f t="shared" si="5"/>
        <v>-5.2850018482756278E-3</v>
      </c>
      <c r="C183" s="21" t="str">
        <f t="shared" si="4"/>
        <v>A</v>
      </c>
      <c r="D183">
        <v>86</v>
      </c>
      <c r="E183">
        <v>85.545489841048294</v>
      </c>
      <c r="F183"/>
    </row>
    <row r="184" spans="1:6" x14ac:dyDescent="0.25">
      <c r="A184" s="21">
        <f t="shared" si="5"/>
        <v>-0.24579685255029926</v>
      </c>
      <c r="C184" s="21" t="str">
        <f t="shared" si="4"/>
        <v>B</v>
      </c>
      <c r="D184">
        <v>137</v>
      </c>
      <c r="E184">
        <v>103.325831200609</v>
      </c>
      <c r="F184"/>
    </row>
    <row r="185" spans="1:6" x14ac:dyDescent="0.25">
      <c r="A185" s="21">
        <f t="shared" si="5"/>
        <v>-0.16683723615077128</v>
      </c>
      <c r="C185" s="21" t="str">
        <f t="shared" si="4"/>
        <v>A</v>
      </c>
      <c r="D185">
        <v>108</v>
      </c>
      <c r="E185">
        <v>89.981578495716704</v>
      </c>
      <c r="F185"/>
    </row>
    <row r="186" spans="1:6" x14ac:dyDescent="0.25">
      <c r="A186" s="21">
        <f t="shared" si="5"/>
        <v>-5.8935218071814344E-2</v>
      </c>
      <c r="C186" s="21" t="str">
        <f t="shared" si="4"/>
        <v>A</v>
      </c>
      <c r="D186">
        <v>104</v>
      </c>
      <c r="E186">
        <v>97.870737320531305</v>
      </c>
      <c r="F186"/>
    </row>
    <row r="187" spans="1:6" x14ac:dyDescent="0.25">
      <c r="A187" s="21">
        <f t="shared" si="5"/>
        <v>-3.914793481459744E-2</v>
      </c>
      <c r="C187" s="21" t="str">
        <f t="shared" si="4"/>
        <v>A</v>
      </c>
      <c r="D187">
        <v>80</v>
      </c>
      <c r="E187">
        <v>76.868165214832203</v>
      </c>
      <c r="F187"/>
    </row>
    <row r="188" spans="1:6" x14ac:dyDescent="0.25">
      <c r="A188" s="21">
        <f t="shared" si="5"/>
        <v>-0.41163262206846407</v>
      </c>
      <c r="C188" s="21" t="str">
        <f t="shared" si="4"/>
        <v>B</v>
      </c>
      <c r="D188">
        <v>150</v>
      </c>
      <c r="E188">
        <v>88.255106689730397</v>
      </c>
      <c r="F188"/>
    </row>
    <row r="189" spans="1:6" x14ac:dyDescent="0.25">
      <c r="A189" s="21">
        <f t="shared" si="5"/>
        <v>0.13696597134472732</v>
      </c>
      <c r="C189" s="21" t="str">
        <f t="shared" si="4"/>
        <v>A</v>
      </c>
      <c r="D189">
        <v>110</v>
      </c>
      <c r="E189">
        <v>125.06625684792</v>
      </c>
      <c r="F189"/>
    </row>
    <row r="190" spans="1:6" x14ac:dyDescent="0.25">
      <c r="A190" s="21">
        <f t="shared" si="5"/>
        <v>0.14326255635969565</v>
      </c>
      <c r="C190" s="21" t="str">
        <f t="shared" si="4"/>
        <v>A</v>
      </c>
      <c r="D190">
        <v>92</v>
      </c>
      <c r="E190">
        <v>105.180155185092</v>
      </c>
      <c r="F190"/>
    </row>
    <row r="191" spans="1:6" x14ac:dyDescent="0.25">
      <c r="A191" s="21">
        <f t="shared" si="5"/>
        <v>3.8705593128728566E-2</v>
      </c>
      <c r="C191" s="21" t="str">
        <f t="shared" si="4"/>
        <v>A</v>
      </c>
      <c r="D191">
        <v>84</v>
      </c>
      <c r="E191">
        <v>87.2512698228132</v>
      </c>
      <c r="F191"/>
    </row>
    <row r="192" spans="1:6" x14ac:dyDescent="0.25">
      <c r="A192" s="21">
        <f t="shared" si="5"/>
        <v>-0.15641699232222062</v>
      </c>
      <c r="C192" s="21" t="str">
        <f t="shared" si="4"/>
        <v>A</v>
      </c>
      <c r="D192">
        <v>145</v>
      </c>
      <c r="E192">
        <v>122.31953611327801</v>
      </c>
      <c r="F192"/>
    </row>
    <row r="193" spans="1:6" x14ac:dyDescent="0.25">
      <c r="A193" s="21">
        <f t="shared" si="5"/>
        <v>-4.2076994847463411E-2</v>
      </c>
      <c r="C193" s="21" t="str">
        <f t="shared" si="4"/>
        <v>A</v>
      </c>
      <c r="D193">
        <v>123</v>
      </c>
      <c r="E193">
        <v>117.824529633762</v>
      </c>
      <c r="F193"/>
    </row>
    <row r="194" spans="1:6" x14ac:dyDescent="0.25">
      <c r="A194" s="21">
        <f t="shared" si="5"/>
        <v>-0.22031301072348997</v>
      </c>
      <c r="C194" s="21" t="str">
        <f t="shared" si="4"/>
        <v>B</v>
      </c>
      <c r="D194">
        <v>100</v>
      </c>
      <c r="E194">
        <v>77.968698927651005</v>
      </c>
      <c r="F194"/>
    </row>
    <row r="195" spans="1:6" x14ac:dyDescent="0.25">
      <c r="A195" s="21">
        <f t="shared" si="5"/>
        <v>-0.1735228548199127</v>
      </c>
      <c r="C195" s="21" t="str">
        <f t="shared" si="4"/>
        <v>A</v>
      </c>
      <c r="D195">
        <v>87</v>
      </c>
      <c r="E195">
        <v>71.903511630667595</v>
      </c>
      <c r="F195"/>
    </row>
    <row r="196" spans="1:6" x14ac:dyDescent="0.25">
      <c r="A196" s="21">
        <f t="shared" si="5"/>
        <v>-0.18203480835562802</v>
      </c>
      <c r="C196" s="21" t="str">
        <f t="shared" si="4"/>
        <v>A</v>
      </c>
      <c r="D196">
        <v>86</v>
      </c>
      <c r="E196">
        <v>70.345006481415993</v>
      </c>
      <c r="F196"/>
    </row>
    <row r="197" spans="1:6" x14ac:dyDescent="0.25">
      <c r="A197" s="21">
        <f t="shared" si="5"/>
        <v>-0.33797697598573972</v>
      </c>
      <c r="C197" s="21" t="str">
        <f t="shared" si="4"/>
        <v>B</v>
      </c>
      <c r="D197">
        <v>126</v>
      </c>
      <c r="E197">
        <v>83.414901025796794</v>
      </c>
      <c r="F197"/>
    </row>
    <row r="198" spans="1:6" x14ac:dyDescent="0.25">
      <c r="A198" s="21">
        <f t="shared" si="5"/>
        <v>-0.24264747968564726</v>
      </c>
      <c r="C198" s="21" t="str">
        <f t="shared" si="4"/>
        <v>B</v>
      </c>
      <c r="D198">
        <v>110</v>
      </c>
      <c r="E198">
        <v>83.308777234578798</v>
      </c>
      <c r="F198"/>
    </row>
    <row r="199" spans="1:6" x14ac:dyDescent="0.25">
      <c r="A199" s="21">
        <f t="shared" si="5"/>
        <v>-0.15021356745759262</v>
      </c>
      <c r="C199" s="21" t="str">
        <f t="shared" si="4"/>
        <v>A</v>
      </c>
      <c r="D199">
        <v>95</v>
      </c>
      <c r="E199">
        <v>80.729711091528699</v>
      </c>
      <c r="F199"/>
    </row>
    <row r="200" spans="1:6" x14ac:dyDescent="0.25">
      <c r="A200" s="21">
        <f t="shared" si="5"/>
        <v>-7.5564368499182466E-3</v>
      </c>
      <c r="C200" s="21" t="str">
        <f t="shared" si="4"/>
        <v>A</v>
      </c>
      <c r="D200">
        <v>88</v>
      </c>
      <c r="E200">
        <v>87.335033557207197</v>
      </c>
      <c r="F200"/>
    </row>
    <row r="201" spans="1:6" x14ac:dyDescent="0.25">
      <c r="A201" s="21">
        <f t="shared" si="5"/>
        <v>-0.35981594370405445</v>
      </c>
      <c r="C201" s="21" t="str">
        <f t="shared" si="4"/>
        <v>B</v>
      </c>
      <c r="D201">
        <v>149</v>
      </c>
      <c r="E201">
        <v>95.387424388095894</v>
      </c>
      <c r="F201"/>
    </row>
    <row r="202" spans="1:6" x14ac:dyDescent="0.25">
      <c r="A202" s="21">
        <f t="shared" si="5"/>
        <v>-0.2426755845284686</v>
      </c>
      <c r="C202" s="21" t="str">
        <f t="shared" si="4"/>
        <v>B</v>
      </c>
      <c r="D202">
        <v>143</v>
      </c>
      <c r="E202">
        <v>108.29739141242899</v>
      </c>
      <c r="F202"/>
    </row>
    <row r="203" spans="1:6" x14ac:dyDescent="0.25">
      <c r="A203" s="21">
        <f t="shared" si="5"/>
        <v>-0.29314770490732101</v>
      </c>
      <c r="C203" s="21" t="str">
        <f t="shared" si="4"/>
        <v>B</v>
      </c>
      <c r="D203">
        <v>133</v>
      </c>
      <c r="E203">
        <v>94.011355247326307</v>
      </c>
      <c r="F203"/>
    </row>
    <row r="204" spans="1:6" x14ac:dyDescent="0.25">
      <c r="A204" s="21">
        <f t="shared" si="5"/>
        <v>-0.31197962214179209</v>
      </c>
      <c r="C204" s="21" t="str">
        <f t="shared" si="4"/>
        <v>B</v>
      </c>
      <c r="D204">
        <v>88</v>
      </c>
      <c r="E204">
        <v>60.545793251522298</v>
      </c>
      <c r="F204"/>
    </row>
    <row r="205" spans="1:6" x14ac:dyDescent="0.25">
      <c r="A205" s="21">
        <f t="shared" si="5"/>
        <v>-0.14098198474853385</v>
      </c>
      <c r="C205" s="21" t="str">
        <f t="shared" si="4"/>
        <v>A</v>
      </c>
      <c r="D205">
        <v>83</v>
      </c>
      <c r="E205">
        <v>71.298495265871694</v>
      </c>
      <c r="F205"/>
    </row>
    <row r="206" spans="1:6" x14ac:dyDescent="0.25">
      <c r="A206" s="21">
        <f t="shared" si="5"/>
        <v>-0.29446342750625176</v>
      </c>
      <c r="C206" s="21" t="str">
        <f t="shared" si="4"/>
        <v>B</v>
      </c>
      <c r="D206">
        <v>143</v>
      </c>
      <c r="E206">
        <v>100.891729866606</v>
      </c>
      <c r="F206"/>
    </row>
    <row r="207" spans="1:6" x14ac:dyDescent="0.25">
      <c r="A207" s="21">
        <f t="shared" si="5"/>
        <v>5.730682175935975E-2</v>
      </c>
      <c r="C207" s="21" t="str">
        <f t="shared" si="4"/>
        <v>A</v>
      </c>
      <c r="D207">
        <v>114</v>
      </c>
      <c r="E207">
        <v>120.532977680567</v>
      </c>
      <c r="F207"/>
    </row>
    <row r="208" spans="1:6" x14ac:dyDescent="0.25">
      <c r="A208" s="21">
        <f t="shared" si="5"/>
        <v>-9.4685995361152853E-2</v>
      </c>
      <c r="C208" s="21" t="str">
        <f t="shared" si="4"/>
        <v>A</v>
      </c>
      <c r="D208">
        <v>108</v>
      </c>
      <c r="E208">
        <v>97.773912500995493</v>
      </c>
      <c r="F208"/>
    </row>
    <row r="209" spans="1:6" x14ac:dyDescent="0.25">
      <c r="A209" s="21">
        <f t="shared" si="5"/>
        <v>-7.7625385493908738E-2</v>
      </c>
      <c r="C209" s="21" t="str">
        <f t="shared" si="4"/>
        <v>A</v>
      </c>
      <c r="D209">
        <v>79</v>
      </c>
      <c r="E209">
        <v>72.867594545981206</v>
      </c>
      <c r="F209"/>
    </row>
    <row r="210" spans="1:6" x14ac:dyDescent="0.25">
      <c r="A210" s="21">
        <f t="shared" si="5"/>
        <v>-0.27524166458332666</v>
      </c>
      <c r="C210" s="21" t="str">
        <f t="shared" si="4"/>
        <v>B</v>
      </c>
      <c r="D210">
        <v>135</v>
      </c>
      <c r="E210">
        <v>97.842375281250895</v>
      </c>
      <c r="F210"/>
    </row>
    <row r="211" spans="1:6" x14ac:dyDescent="0.25">
      <c r="A211" s="21">
        <f t="shared" si="5"/>
        <v>6.5472719970420146E-2</v>
      </c>
      <c r="C211" s="21" t="str">
        <f t="shared" si="4"/>
        <v>A</v>
      </c>
      <c r="D211">
        <v>119</v>
      </c>
      <c r="E211">
        <v>126.79125367648</v>
      </c>
      <c r="F211"/>
    </row>
    <row r="212" spans="1:6" x14ac:dyDescent="0.25">
      <c r="A212" s="21">
        <f t="shared" si="5"/>
        <v>-0.25641856914335326</v>
      </c>
      <c r="C212" s="21" t="str">
        <f t="shared" si="4"/>
        <v>B</v>
      </c>
      <c r="D212">
        <v>107</v>
      </c>
      <c r="E212">
        <v>79.563213101661205</v>
      </c>
      <c r="F212"/>
    </row>
    <row r="213" spans="1:6" x14ac:dyDescent="0.25">
      <c r="A213" s="21">
        <f t="shared" si="5"/>
        <v>-0.21054766366230815</v>
      </c>
      <c r="C213" s="21" t="str">
        <f t="shared" si="4"/>
        <v>B</v>
      </c>
      <c r="D213">
        <v>146</v>
      </c>
      <c r="E213">
        <v>115.260041105303</v>
      </c>
      <c r="F213"/>
    </row>
    <row r="214" spans="1:6" x14ac:dyDescent="0.25">
      <c r="A214" s="21">
        <f t="shared" si="5"/>
        <v>-0.10119991218219837</v>
      </c>
      <c r="C214" s="21" t="str">
        <f t="shared" si="4"/>
        <v>A</v>
      </c>
      <c r="D214">
        <v>121</v>
      </c>
      <c r="E214">
        <v>108.75481062595399</v>
      </c>
      <c r="F214"/>
    </row>
    <row r="215" spans="1:6" x14ac:dyDescent="0.25">
      <c r="A215" s="21">
        <f t="shared" si="5"/>
        <v>-0.17566779508585217</v>
      </c>
      <c r="C215" s="21" t="str">
        <f t="shared" si="4"/>
        <v>A</v>
      </c>
      <c r="D215">
        <v>90</v>
      </c>
      <c r="E215">
        <v>74.189898442273304</v>
      </c>
      <c r="F215"/>
    </row>
    <row r="216" spans="1:6" x14ac:dyDescent="0.25">
      <c r="A216" s="21">
        <f t="shared" si="5"/>
        <v>-0.11024134012848608</v>
      </c>
      <c r="C216" s="21" t="str">
        <f t="shared" si="4"/>
        <v>A</v>
      </c>
      <c r="D216">
        <v>86</v>
      </c>
      <c r="E216">
        <v>76.5192447489502</v>
      </c>
      <c r="F216"/>
    </row>
    <row r="217" spans="1:6" x14ac:dyDescent="0.25">
      <c r="A217" s="21">
        <f t="shared" si="5"/>
        <v>-0.34420672887183634</v>
      </c>
      <c r="C217" s="21" t="str">
        <f t="shared" si="4"/>
        <v>B</v>
      </c>
      <c r="D217">
        <v>132</v>
      </c>
      <c r="E217">
        <v>86.564711788917606</v>
      </c>
      <c r="F217"/>
    </row>
    <row r="218" spans="1:6" x14ac:dyDescent="0.25">
      <c r="A218" s="21">
        <f t="shared" si="5"/>
        <v>7.8020591827779873E-2</v>
      </c>
      <c r="C218" s="21" t="str">
        <f t="shared" si="4"/>
        <v>A</v>
      </c>
      <c r="D218">
        <v>109</v>
      </c>
      <c r="E218">
        <v>117.504244509228</v>
      </c>
      <c r="F218"/>
    </row>
    <row r="219" spans="1:6" x14ac:dyDescent="0.25">
      <c r="A219" s="21">
        <f t="shared" si="5"/>
        <v>-0.11616742778116729</v>
      </c>
      <c r="C219" s="21" t="str">
        <f t="shared" si="4"/>
        <v>A</v>
      </c>
      <c r="D219">
        <v>95</v>
      </c>
      <c r="E219">
        <v>83.964094360789105</v>
      </c>
      <c r="F219"/>
    </row>
    <row r="220" spans="1:6" x14ac:dyDescent="0.25">
      <c r="A220" s="21">
        <f t="shared" si="5"/>
        <v>8.5797671489808991E-3</v>
      </c>
      <c r="C220" s="21" t="str">
        <f t="shared" si="4"/>
        <v>A</v>
      </c>
      <c r="D220">
        <v>89</v>
      </c>
      <c r="E220">
        <v>89.763599276259299</v>
      </c>
      <c r="F220"/>
    </row>
    <row r="221" spans="1:6" x14ac:dyDescent="0.25">
      <c r="A221" s="21">
        <f t="shared" si="5"/>
        <v>1.0976400351500049E-2</v>
      </c>
      <c r="C221" s="21" t="str">
        <f t="shared" si="4"/>
        <v>A</v>
      </c>
      <c r="D221">
        <v>126</v>
      </c>
      <c r="E221">
        <v>127.383026444289</v>
      </c>
      <c r="F221"/>
    </row>
    <row r="222" spans="1:6" x14ac:dyDescent="0.25">
      <c r="A222" s="21">
        <f t="shared" si="5"/>
        <v>0.10179526758199997</v>
      </c>
      <c r="C222" s="21" t="str">
        <f t="shared" si="4"/>
        <v>A</v>
      </c>
      <c r="D222">
        <v>116</v>
      </c>
      <c r="E222">
        <v>127.808251039512</v>
      </c>
      <c r="F222"/>
    </row>
    <row r="223" spans="1:6" x14ac:dyDescent="0.25">
      <c r="A223" s="21">
        <f t="shared" si="5"/>
        <v>-0.28967689372158523</v>
      </c>
      <c r="C223" s="21" t="str">
        <f t="shared" si="4"/>
        <v>B</v>
      </c>
      <c r="D223">
        <v>108</v>
      </c>
      <c r="E223">
        <v>76.714895478068797</v>
      </c>
      <c r="F223"/>
    </row>
    <row r="224" spans="1:6" x14ac:dyDescent="0.25">
      <c r="A224" s="21">
        <f t="shared" si="5"/>
        <v>-0.25517742622487849</v>
      </c>
      <c r="C224" s="21" t="str">
        <f t="shared" si="4"/>
        <v>B</v>
      </c>
      <c r="D224">
        <v>112</v>
      </c>
      <c r="E224">
        <v>83.420128262813606</v>
      </c>
      <c r="F224"/>
    </row>
    <row r="225" spans="1:6" x14ac:dyDescent="0.25">
      <c r="A225" s="21">
        <f t="shared" si="5"/>
        <v>-7.8605084513476808E-2</v>
      </c>
      <c r="C225" s="21" t="str">
        <f t="shared" si="4"/>
        <v>A</v>
      </c>
      <c r="D225">
        <v>95</v>
      </c>
      <c r="E225">
        <v>87.532516971219707</v>
      </c>
      <c r="F225"/>
    </row>
    <row r="226" spans="1:6" x14ac:dyDescent="0.25">
      <c r="A226" s="21">
        <f t="shared" si="5"/>
        <v>-0.18949472375068199</v>
      </c>
      <c r="C226" s="21" t="str">
        <f t="shared" si="4"/>
        <v>A</v>
      </c>
      <c r="D226">
        <v>94</v>
      </c>
      <c r="E226">
        <v>76.187495967435893</v>
      </c>
      <c r="F226"/>
    </row>
    <row r="227" spans="1:6" x14ac:dyDescent="0.25">
      <c r="A227" s="21">
        <f t="shared" si="5"/>
        <v>-0.23532825139887825</v>
      </c>
      <c r="C227" s="21" t="str">
        <f t="shared" si="4"/>
        <v>B</v>
      </c>
      <c r="D227">
        <v>92</v>
      </c>
      <c r="E227">
        <v>70.349800871303202</v>
      </c>
      <c r="F227"/>
    </row>
    <row r="228" spans="1:6" x14ac:dyDescent="0.25">
      <c r="A228" s="21">
        <f t="shared" si="5"/>
        <v>-0.27530509235459621</v>
      </c>
      <c r="C228" s="21" t="str">
        <f t="shared" si="4"/>
        <v>B</v>
      </c>
      <c r="D228">
        <v>131</v>
      </c>
      <c r="E228">
        <v>94.935032901547899</v>
      </c>
      <c r="F228"/>
    </row>
    <row r="229" spans="1:6" x14ac:dyDescent="0.25">
      <c r="A229" s="21">
        <f t="shared" si="5"/>
        <v>-0.11795837356086392</v>
      </c>
      <c r="C229" s="21" t="str">
        <f t="shared" si="4"/>
        <v>A</v>
      </c>
      <c r="D229">
        <v>125</v>
      </c>
      <c r="E229">
        <v>110.25520330489201</v>
      </c>
      <c r="F229"/>
    </row>
    <row r="230" spans="1:6" x14ac:dyDescent="0.25">
      <c r="A230" s="21">
        <f t="shared" si="5"/>
        <v>1.9397281456428717E-2</v>
      </c>
      <c r="C230" s="21" t="str">
        <f t="shared" si="4"/>
        <v>A</v>
      </c>
      <c r="D230">
        <v>105</v>
      </c>
      <c r="E230">
        <v>107.03671455292501</v>
      </c>
      <c r="F230"/>
    </row>
    <row r="231" spans="1:6" x14ac:dyDescent="0.25">
      <c r="A231" s="21">
        <f t="shared" si="5"/>
        <v>-7.4587053706194117E-2</v>
      </c>
      <c r="C231" s="21" t="str">
        <f t="shared" ref="C231:C261" si="6">IF(OR(A231&gt;=20%,A231&lt;=-20%),"B","A")</f>
        <v>A</v>
      </c>
      <c r="D231">
        <v>86</v>
      </c>
      <c r="E231">
        <v>79.585513381267305</v>
      </c>
      <c r="F231"/>
    </row>
    <row r="232" spans="1:6" x14ac:dyDescent="0.25">
      <c r="A232" s="21">
        <f t="shared" ref="A232:A261" si="7">E232/D232-1</f>
        <v>-2.022249484307137E-2</v>
      </c>
      <c r="C232" s="21" t="str">
        <f t="shared" si="6"/>
        <v>A</v>
      </c>
      <c r="D232">
        <v>126</v>
      </c>
      <c r="E232">
        <v>123.451965649773</v>
      </c>
      <c r="F232"/>
    </row>
    <row r="233" spans="1:6" x14ac:dyDescent="0.25">
      <c r="A233" s="21">
        <f t="shared" si="7"/>
        <v>-8.1364025161810294E-2</v>
      </c>
      <c r="C233" s="21" t="str">
        <f t="shared" si="6"/>
        <v>A</v>
      </c>
      <c r="D233">
        <v>116</v>
      </c>
      <c r="E233">
        <v>106.56177308123</v>
      </c>
      <c r="F233"/>
    </row>
    <row r="234" spans="1:6" x14ac:dyDescent="0.25">
      <c r="A234" s="21">
        <f t="shared" si="7"/>
        <v>9.1494317612396348E-2</v>
      </c>
      <c r="C234" s="21" t="str">
        <f t="shared" si="6"/>
        <v>A</v>
      </c>
      <c r="D234">
        <v>111</v>
      </c>
      <c r="E234">
        <v>121.155869254976</v>
      </c>
      <c r="F234"/>
    </row>
    <row r="235" spans="1:6" x14ac:dyDescent="0.25">
      <c r="A235" s="21">
        <f t="shared" si="7"/>
        <v>-0.15385064858625996</v>
      </c>
      <c r="C235" s="21" t="str">
        <f t="shared" si="6"/>
        <v>A</v>
      </c>
      <c r="D235">
        <v>90</v>
      </c>
      <c r="E235">
        <v>76.153441627236603</v>
      </c>
      <c r="F235"/>
    </row>
    <row r="236" spans="1:6" x14ac:dyDescent="0.25">
      <c r="A236" s="21">
        <f t="shared" si="7"/>
        <v>-0.18178268251046403</v>
      </c>
      <c r="C236" s="21" t="str">
        <f t="shared" si="6"/>
        <v>A</v>
      </c>
      <c r="D236">
        <v>125</v>
      </c>
      <c r="E236">
        <v>102.27716468619199</v>
      </c>
      <c r="F236"/>
    </row>
    <row r="237" spans="1:6" x14ac:dyDescent="0.25">
      <c r="A237" s="21">
        <f t="shared" si="7"/>
        <v>-4.5138735241066374E-2</v>
      </c>
      <c r="C237" s="21" t="str">
        <f t="shared" si="6"/>
        <v>A</v>
      </c>
      <c r="D237">
        <v>95</v>
      </c>
      <c r="E237">
        <v>90.711820152098696</v>
      </c>
      <c r="F237"/>
    </row>
    <row r="238" spans="1:6" x14ac:dyDescent="0.25">
      <c r="A238" s="21">
        <f t="shared" si="7"/>
        <v>-0.11530752170760328</v>
      </c>
      <c r="C238" s="21" t="str">
        <f t="shared" si="6"/>
        <v>A</v>
      </c>
      <c r="D238">
        <v>93</v>
      </c>
      <c r="E238">
        <v>82.276400481192894</v>
      </c>
      <c r="F238"/>
    </row>
    <row r="239" spans="1:6" x14ac:dyDescent="0.25">
      <c r="A239" s="21">
        <f t="shared" si="7"/>
        <v>-0.14426899617450251</v>
      </c>
      <c r="C239" s="21" t="str">
        <f t="shared" si="6"/>
        <v>A</v>
      </c>
      <c r="D239">
        <v>81</v>
      </c>
      <c r="E239">
        <v>69.3142113098653</v>
      </c>
      <c r="F239"/>
    </row>
    <row r="240" spans="1:6" x14ac:dyDescent="0.25">
      <c r="A240" s="21">
        <f t="shared" si="7"/>
        <v>-0.15283005422083706</v>
      </c>
      <c r="C240" s="21" t="str">
        <f t="shared" si="6"/>
        <v>A</v>
      </c>
      <c r="D240">
        <v>92</v>
      </c>
      <c r="E240">
        <v>77.939635011682995</v>
      </c>
      <c r="F240"/>
    </row>
    <row r="241" spans="1:6" x14ac:dyDescent="0.25">
      <c r="A241" s="21">
        <f t="shared" si="7"/>
        <v>-0.15658383338302906</v>
      </c>
      <c r="C241" s="21" t="str">
        <f t="shared" si="6"/>
        <v>A</v>
      </c>
      <c r="D241">
        <v>86</v>
      </c>
      <c r="E241">
        <v>72.533790329059499</v>
      </c>
      <c r="F241"/>
    </row>
    <row r="242" spans="1:6" x14ac:dyDescent="0.25">
      <c r="A242" s="21">
        <f t="shared" si="7"/>
        <v>1.15270790684463E-2</v>
      </c>
      <c r="C242" s="21" t="str">
        <f t="shared" si="6"/>
        <v>A</v>
      </c>
      <c r="D242">
        <v>82</v>
      </c>
      <c r="E242">
        <v>82.945220483612601</v>
      </c>
      <c r="F242"/>
    </row>
    <row r="243" spans="1:6" x14ac:dyDescent="0.25">
      <c r="A243" s="21">
        <f t="shared" si="7"/>
        <v>-0.42425048571029922</v>
      </c>
      <c r="C243" s="21" t="str">
        <f t="shared" si="6"/>
        <v>B</v>
      </c>
      <c r="D243">
        <v>127</v>
      </c>
      <c r="E243">
        <v>73.120188314792003</v>
      </c>
      <c r="F243"/>
    </row>
    <row r="244" spans="1:6" x14ac:dyDescent="0.25">
      <c r="A244" s="21">
        <f t="shared" si="7"/>
        <v>-6.1444792375129231E-2</v>
      </c>
      <c r="C244" s="21" t="str">
        <f t="shared" si="6"/>
        <v>A</v>
      </c>
      <c r="D244">
        <v>103</v>
      </c>
      <c r="E244">
        <v>96.671186385361693</v>
      </c>
      <c r="F244"/>
    </row>
    <row r="245" spans="1:6" x14ac:dyDescent="0.25">
      <c r="A245" s="21">
        <f t="shared" si="7"/>
        <v>-0.14779162450013494</v>
      </c>
      <c r="C245" s="21" t="str">
        <f t="shared" si="6"/>
        <v>A</v>
      </c>
      <c r="D245">
        <v>86</v>
      </c>
      <c r="E245">
        <v>73.289920292988398</v>
      </c>
      <c r="F245"/>
    </row>
    <row r="246" spans="1:6" x14ac:dyDescent="0.25">
      <c r="A246" s="21">
        <f t="shared" si="7"/>
        <v>-0.12068947743910241</v>
      </c>
      <c r="C246" s="21" t="str">
        <f t="shared" si="6"/>
        <v>A</v>
      </c>
      <c r="D246">
        <v>79</v>
      </c>
      <c r="E246">
        <v>69.465531282310906</v>
      </c>
      <c r="F246"/>
    </row>
    <row r="247" spans="1:6" x14ac:dyDescent="0.25">
      <c r="A247" s="21">
        <f t="shared" si="7"/>
        <v>-0.25874805232113129</v>
      </c>
      <c r="C247" s="21" t="str">
        <f t="shared" si="6"/>
        <v>B</v>
      </c>
      <c r="D247">
        <v>160</v>
      </c>
      <c r="E247">
        <v>118.600311628619</v>
      </c>
      <c r="F247"/>
    </row>
    <row r="248" spans="1:6" x14ac:dyDescent="0.25">
      <c r="A248" s="21">
        <f t="shared" si="7"/>
        <v>-0.19033534001117036</v>
      </c>
      <c r="C248" s="21" t="str">
        <f t="shared" si="6"/>
        <v>A</v>
      </c>
      <c r="D248">
        <v>135</v>
      </c>
      <c r="E248">
        <v>109.304729098492</v>
      </c>
      <c r="F248"/>
    </row>
    <row r="249" spans="1:6" x14ac:dyDescent="0.25">
      <c r="A249" s="21">
        <f t="shared" si="7"/>
        <v>-0.24771986708553018</v>
      </c>
      <c r="C249" s="21" t="str">
        <f t="shared" si="6"/>
        <v>B</v>
      </c>
      <c r="D249">
        <v>106</v>
      </c>
      <c r="E249">
        <v>79.741694088933798</v>
      </c>
      <c r="F249"/>
    </row>
    <row r="250" spans="1:6" x14ac:dyDescent="0.25">
      <c r="A250" s="21">
        <f t="shared" si="7"/>
        <v>-5.7584757589691171E-2</v>
      </c>
      <c r="C250" s="21" t="str">
        <f t="shared" si="6"/>
        <v>A</v>
      </c>
      <c r="D250">
        <v>80</v>
      </c>
      <c r="E250">
        <v>75.393219392824705</v>
      </c>
    </row>
    <row r="251" spans="1:6" x14ac:dyDescent="0.25">
      <c r="A251" s="21">
        <f t="shared" si="7"/>
        <v>-0.3365374409318016</v>
      </c>
      <c r="C251" s="21" t="str">
        <f t="shared" si="6"/>
        <v>B</v>
      </c>
      <c r="D251">
        <v>124</v>
      </c>
      <c r="E251">
        <v>82.269357324456607</v>
      </c>
      <c r="F251"/>
    </row>
    <row r="252" spans="1:6" x14ac:dyDescent="0.25">
      <c r="A252" s="21">
        <f t="shared" si="7"/>
        <v>-0.24774392194528672</v>
      </c>
      <c r="C252" s="21" t="str">
        <f t="shared" si="6"/>
        <v>B</v>
      </c>
      <c r="D252">
        <v>112</v>
      </c>
      <c r="E252">
        <v>84.252680742127893</v>
      </c>
      <c r="F252"/>
    </row>
    <row r="253" spans="1:6" x14ac:dyDescent="0.25">
      <c r="A253" s="21">
        <f t="shared" si="7"/>
        <v>-0.26706837469548439</v>
      </c>
      <c r="C253" s="21" t="str">
        <f t="shared" si="6"/>
        <v>B</v>
      </c>
      <c r="D253">
        <v>96</v>
      </c>
      <c r="E253">
        <v>70.361436029233502</v>
      </c>
      <c r="F253"/>
    </row>
    <row r="254" spans="1:6" x14ac:dyDescent="0.25">
      <c r="A254" s="21">
        <f t="shared" si="7"/>
        <v>0.11759883340575583</v>
      </c>
      <c r="C254" s="21" t="str">
        <f t="shared" si="6"/>
        <v>A</v>
      </c>
      <c r="D254">
        <v>77</v>
      </c>
      <c r="E254">
        <v>86.055110172243204</v>
      </c>
      <c r="F254"/>
    </row>
    <row r="255" spans="1:6" x14ac:dyDescent="0.25">
      <c r="A255" s="21">
        <f t="shared" si="7"/>
        <v>-0.3340048397528198</v>
      </c>
      <c r="C255" s="21" t="str">
        <f t="shared" si="6"/>
        <v>B</v>
      </c>
      <c r="D255">
        <v>137</v>
      </c>
      <c r="E255">
        <v>91.241336953863694</v>
      </c>
      <c r="F255"/>
    </row>
    <row r="256" spans="1:6" x14ac:dyDescent="0.25">
      <c r="A256" s="21">
        <f t="shared" si="7"/>
        <v>-9.7535117702738483E-2</v>
      </c>
      <c r="C256" s="21" t="str">
        <f t="shared" si="6"/>
        <v>A</v>
      </c>
      <c r="D256">
        <v>130</v>
      </c>
      <c r="E256">
        <v>117.32043469864399</v>
      </c>
      <c r="F256"/>
    </row>
    <row r="257" spans="1:6" x14ac:dyDescent="0.25">
      <c r="A257" s="21">
        <f t="shared" si="7"/>
        <v>-0.25928533133367848</v>
      </c>
      <c r="C257" s="21" t="str">
        <f t="shared" si="6"/>
        <v>B</v>
      </c>
      <c r="D257">
        <v>121</v>
      </c>
      <c r="E257">
        <v>89.6264749086249</v>
      </c>
      <c r="F257"/>
    </row>
    <row r="258" spans="1:6" x14ac:dyDescent="0.25">
      <c r="A258" s="21">
        <f t="shared" si="7"/>
        <v>-0.15906512286144947</v>
      </c>
      <c r="C258" s="21" t="str">
        <f t="shared" si="6"/>
        <v>A</v>
      </c>
      <c r="D258">
        <v>91</v>
      </c>
      <c r="E258">
        <v>76.525073819608096</v>
      </c>
      <c r="F258"/>
    </row>
    <row r="259" spans="1:6" x14ac:dyDescent="0.25">
      <c r="A259" s="21">
        <f t="shared" si="7"/>
        <v>-0.13028097547346718</v>
      </c>
      <c r="C259" s="21" t="str">
        <f t="shared" si="6"/>
        <v>A</v>
      </c>
      <c r="D259">
        <v>137</v>
      </c>
      <c r="E259">
        <v>119.151506360135</v>
      </c>
      <c r="F259"/>
    </row>
    <row r="260" spans="1:6" x14ac:dyDescent="0.25">
      <c r="A260" s="21">
        <f t="shared" si="7"/>
        <v>-9.052620699187397E-2</v>
      </c>
      <c r="C260" s="21" t="str">
        <f t="shared" si="6"/>
        <v>A</v>
      </c>
      <c r="D260">
        <v>119</v>
      </c>
      <c r="E260">
        <v>108.227381367967</v>
      </c>
      <c r="F260"/>
    </row>
    <row r="261" spans="1:6" x14ac:dyDescent="0.25">
      <c r="A261" s="21">
        <f t="shared" si="7"/>
        <v>-0.1711920034162111</v>
      </c>
      <c r="C261" s="21" t="str">
        <f t="shared" si="6"/>
        <v>A</v>
      </c>
      <c r="D261">
        <v>99</v>
      </c>
      <c r="E261">
        <v>82.0519916617951</v>
      </c>
      <c r="F261"/>
    </row>
    <row r="263" spans="1:6" x14ac:dyDescent="0.25">
      <c r="F263"/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3"/>
  <sheetViews>
    <sheetView topLeftCell="A34" zoomScale="80" zoomScaleNormal="80" workbookViewId="0">
      <selection activeCell="C38" sqref="C38:C261"/>
    </sheetView>
  </sheetViews>
  <sheetFormatPr defaultRowHeight="16.5" x14ac:dyDescent="0.25"/>
  <cols>
    <col min="1" max="1" width="9" style="1"/>
    <col min="2" max="2" width="8.5" style="1" customWidth="1"/>
    <col min="3" max="3" width="7" style="1" customWidth="1"/>
    <col min="4" max="4" width="9" style="1"/>
    <col min="5" max="8" width="12.125" style="1" customWidth="1"/>
    <col min="9" max="9" width="13.125" style="1" customWidth="1"/>
    <col min="10" max="10" width="14.125" style="1" customWidth="1"/>
    <col min="11" max="12" width="13.25" style="1" customWidth="1"/>
    <col min="13" max="13" width="12.375" style="1" customWidth="1"/>
    <col min="14" max="14" width="12.125" style="1" customWidth="1"/>
    <col min="15" max="15" width="11.5" style="1" customWidth="1"/>
    <col min="16" max="16" width="9" style="1"/>
    <col min="17" max="17" width="10.625" style="1" bestFit="1" customWidth="1"/>
    <col min="18" max="18" width="8.25" style="1" customWidth="1"/>
    <col min="19" max="16384" width="9" style="1"/>
  </cols>
  <sheetData>
    <row r="1" spans="4:16" x14ac:dyDescent="0.25">
      <c r="D1" s="1" t="s">
        <v>4</v>
      </c>
      <c r="H1" s="1" t="s">
        <v>5</v>
      </c>
    </row>
    <row r="2" spans="4:16" x14ac:dyDescent="0.25">
      <c r="D2" s="1" t="s">
        <v>6</v>
      </c>
      <c r="E2" s="1" t="s">
        <v>7</v>
      </c>
      <c r="F2" s="1" t="s">
        <v>8</v>
      </c>
      <c r="G2" s="1" t="s">
        <v>0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2</v>
      </c>
      <c r="P2" s="1" t="s">
        <v>0</v>
      </c>
    </row>
    <row r="3" spans="4:16" x14ac:dyDescent="0.25">
      <c r="D3" s="1">
        <v>0</v>
      </c>
      <c r="E3" s="1">
        <v>0</v>
      </c>
      <c r="H3" s="1">
        <v>50</v>
      </c>
    </row>
    <row r="4" spans="4:16" x14ac:dyDescent="0.25">
      <c r="D4" s="1">
        <v>30</v>
      </c>
      <c r="E4" s="1">
        <v>30</v>
      </c>
      <c r="H4" s="1">
        <v>50</v>
      </c>
    </row>
    <row r="5" spans="4:16" x14ac:dyDescent="0.25">
      <c r="D5" s="1">
        <v>140</v>
      </c>
      <c r="E5" s="1">
        <v>140</v>
      </c>
      <c r="H5" s="1">
        <v>170</v>
      </c>
    </row>
    <row r="6" spans="4:16" x14ac:dyDescent="0.25">
      <c r="D6" s="1">
        <v>280</v>
      </c>
      <c r="E6" s="1">
        <v>280</v>
      </c>
      <c r="H6" s="1">
        <v>380</v>
      </c>
    </row>
    <row r="7" spans="4:16" x14ac:dyDescent="0.25">
      <c r="D7" s="1">
        <v>860</v>
      </c>
      <c r="E7" s="1">
        <v>430</v>
      </c>
      <c r="H7" s="1">
        <v>1100</v>
      </c>
    </row>
    <row r="8" spans="4:16" x14ac:dyDescent="0.25">
      <c r="D8" s="1">
        <v>120</v>
      </c>
      <c r="E8" s="1">
        <v>120</v>
      </c>
      <c r="K8" s="1">
        <v>0</v>
      </c>
    </row>
    <row r="9" spans="4:16" x14ac:dyDescent="0.25">
      <c r="D9" s="1">
        <v>120</v>
      </c>
      <c r="E9" s="1">
        <v>120</v>
      </c>
      <c r="K9" s="1">
        <v>30</v>
      </c>
    </row>
    <row r="10" spans="4:16" x14ac:dyDescent="0.25">
      <c r="D10" s="1">
        <v>260</v>
      </c>
      <c r="E10" s="1">
        <v>260</v>
      </c>
      <c r="K10" s="1">
        <v>130</v>
      </c>
    </row>
    <row r="11" spans="4:16" x14ac:dyDescent="0.25">
      <c r="D11" s="1">
        <v>550</v>
      </c>
      <c r="E11" s="1">
        <v>550</v>
      </c>
      <c r="K11" s="1">
        <v>250</v>
      </c>
    </row>
    <row r="12" spans="4:16" x14ac:dyDescent="0.25">
      <c r="D12" s="1">
        <v>50</v>
      </c>
      <c r="I12" s="1">
        <v>0</v>
      </c>
    </row>
    <row r="13" spans="4:16" x14ac:dyDescent="0.25">
      <c r="D13" s="1">
        <v>50</v>
      </c>
      <c r="I13" s="1">
        <v>30</v>
      </c>
    </row>
    <row r="14" spans="4:16" x14ac:dyDescent="0.25">
      <c r="D14" s="1">
        <v>170</v>
      </c>
      <c r="I14" s="1">
        <v>145</v>
      </c>
    </row>
    <row r="15" spans="4:16" x14ac:dyDescent="0.25">
      <c r="D15" s="1">
        <v>385</v>
      </c>
      <c r="I15" s="1">
        <v>300</v>
      </c>
    </row>
    <row r="16" spans="4:16" x14ac:dyDescent="0.25">
      <c r="D16" s="1">
        <v>550</v>
      </c>
      <c r="I16" s="1">
        <v>450</v>
      </c>
    </row>
    <row r="17" spans="4:14" x14ac:dyDescent="0.25">
      <c r="D17" s="1">
        <v>0</v>
      </c>
      <c r="J17" s="1">
        <v>60</v>
      </c>
    </row>
    <row r="18" spans="4:14" x14ac:dyDescent="0.25">
      <c r="D18" s="1">
        <v>30</v>
      </c>
      <c r="J18" s="1">
        <v>60</v>
      </c>
    </row>
    <row r="19" spans="4:14" x14ac:dyDescent="0.25">
      <c r="D19" s="1">
        <v>50</v>
      </c>
      <c r="J19" s="1">
        <v>80</v>
      </c>
    </row>
    <row r="20" spans="4:14" x14ac:dyDescent="0.25">
      <c r="D20" s="1">
        <v>70</v>
      </c>
      <c r="J20" s="1">
        <v>110</v>
      </c>
    </row>
    <row r="21" spans="4:14" x14ac:dyDescent="0.25">
      <c r="D21" s="1">
        <v>520</v>
      </c>
      <c r="J21" s="1">
        <v>1100</v>
      </c>
    </row>
    <row r="22" spans="4:14" x14ac:dyDescent="0.25">
      <c r="D22" s="1">
        <v>250</v>
      </c>
      <c r="M22" s="1">
        <v>0</v>
      </c>
    </row>
    <row r="23" spans="4:14" x14ac:dyDescent="0.25">
      <c r="D23" s="1">
        <v>250</v>
      </c>
      <c r="M23" s="1">
        <v>40</v>
      </c>
    </row>
    <row r="24" spans="4:14" x14ac:dyDescent="0.25">
      <c r="D24" s="1">
        <v>550</v>
      </c>
      <c r="M24" s="1">
        <v>150</v>
      </c>
    </row>
    <row r="25" spans="4:14" x14ac:dyDescent="0.25">
      <c r="D25" s="1">
        <v>0</v>
      </c>
      <c r="L25" s="1">
        <v>100</v>
      </c>
    </row>
    <row r="26" spans="4:14" x14ac:dyDescent="0.25">
      <c r="D26" s="1">
        <v>25</v>
      </c>
      <c r="L26" s="1">
        <v>100</v>
      </c>
    </row>
    <row r="27" spans="4:14" x14ac:dyDescent="0.25">
      <c r="D27" s="1">
        <v>50</v>
      </c>
      <c r="L27" s="1">
        <v>125</v>
      </c>
    </row>
    <row r="28" spans="4:14" x14ac:dyDescent="0.25">
      <c r="D28" s="1">
        <v>80</v>
      </c>
      <c r="L28" s="1">
        <v>215</v>
      </c>
    </row>
    <row r="29" spans="4:14" x14ac:dyDescent="0.25">
      <c r="D29" s="1">
        <v>250</v>
      </c>
      <c r="L29" s="1">
        <v>1100</v>
      </c>
    </row>
    <row r="30" spans="4:14" x14ac:dyDescent="0.25">
      <c r="D30" s="1">
        <v>0</v>
      </c>
      <c r="N30" s="1">
        <v>150</v>
      </c>
    </row>
    <row r="31" spans="4:14" x14ac:dyDescent="0.25">
      <c r="D31" s="1">
        <v>35</v>
      </c>
      <c r="N31" s="1">
        <v>155</v>
      </c>
    </row>
    <row r="32" spans="4:14" x14ac:dyDescent="0.25">
      <c r="D32" s="1">
        <v>100</v>
      </c>
      <c r="N32" s="1">
        <v>1100</v>
      </c>
    </row>
    <row r="33" spans="1:20" x14ac:dyDescent="0.25">
      <c r="D33" s="1">
        <v>0</v>
      </c>
      <c r="O33" s="1">
        <v>0</v>
      </c>
    </row>
    <row r="34" spans="1:20" x14ac:dyDescent="0.25">
      <c r="D34" s="1">
        <v>550</v>
      </c>
      <c r="O34" s="1">
        <v>550</v>
      </c>
    </row>
    <row r="36" spans="1:20" ht="17.25" thickBot="1" x14ac:dyDescent="0.3"/>
    <row r="37" spans="1:20" ht="17.25" x14ac:dyDescent="0.25">
      <c r="D37" s="2" t="s">
        <v>18</v>
      </c>
      <c r="E37" s="15" t="s">
        <v>42</v>
      </c>
      <c r="F37" s="15" t="s">
        <v>34</v>
      </c>
      <c r="G37" s="15" t="s">
        <v>35</v>
      </c>
      <c r="H37" s="15" t="s">
        <v>54</v>
      </c>
      <c r="I37" s="15" t="s">
        <v>55</v>
      </c>
      <c r="J37" s="15" t="s">
        <v>56</v>
      </c>
      <c r="K37" s="15" t="s">
        <v>57</v>
      </c>
      <c r="L37" s="15" t="s">
        <v>58</v>
      </c>
      <c r="M37" s="15" t="s">
        <v>59</v>
      </c>
      <c r="N37" s="15" t="s">
        <v>60</v>
      </c>
      <c r="O37" s="15" t="s">
        <v>61</v>
      </c>
      <c r="P37" s="22" t="s">
        <v>62</v>
      </c>
      <c r="Q37" s="24"/>
      <c r="R37" s="25" t="s">
        <v>64</v>
      </c>
      <c r="S37" s="25" t="s">
        <v>65</v>
      </c>
      <c r="T37" s="26" t="s">
        <v>66</v>
      </c>
    </row>
    <row r="38" spans="1:20" ht="17.25" x14ac:dyDescent="0.25">
      <c r="A38" s="21">
        <f>E38/D38-1</f>
        <v>4.0248032425231894E-2</v>
      </c>
      <c r="B38" t="s">
        <v>36</v>
      </c>
      <c r="C38" s="21" t="str">
        <f>IF(OR(A38&gt;=20%,A38&lt;=-20%),"B","A")</f>
        <v>A</v>
      </c>
      <c r="D38">
        <v>94</v>
      </c>
      <c r="E38">
        <v>97.783315047971797</v>
      </c>
      <c r="F38"/>
      <c r="G38" s="5"/>
      <c r="Q38" s="28" t="s">
        <v>67</v>
      </c>
      <c r="R38" s="23">
        <f>COUNTIF(C38:C261,"A")</f>
        <v>138</v>
      </c>
      <c r="S38" s="23">
        <f>COUNTIF(C38:C261,"B")</f>
        <v>86</v>
      </c>
      <c r="T38" s="27">
        <v>224</v>
      </c>
    </row>
    <row r="39" spans="1:20" ht="18" thickBot="1" x14ac:dyDescent="0.3">
      <c r="A39" s="21">
        <f t="shared" ref="A39:A102" si="0">E39/D39-1</f>
        <v>-0.39953118123127829</v>
      </c>
      <c r="B39" t="s">
        <v>36</v>
      </c>
      <c r="C39" s="21" t="str">
        <f t="shared" ref="C39:C102" si="1">IF(OR(A39&gt;=20%,A39&lt;=-20%),"B","A")</f>
        <v>B</v>
      </c>
      <c r="D39">
        <v>194</v>
      </c>
      <c r="E39">
        <v>116.490950841132</v>
      </c>
      <c r="F39"/>
      <c r="G39" s="5"/>
      <c r="Q39" s="29" t="s">
        <v>68</v>
      </c>
      <c r="R39" s="31">
        <f>R38/T38</f>
        <v>0.6160714285714286</v>
      </c>
      <c r="S39" s="31">
        <f>S38/T38</f>
        <v>0.38392857142857145</v>
      </c>
      <c r="T39" s="30">
        <f>R39+S39</f>
        <v>1</v>
      </c>
    </row>
    <row r="40" spans="1:20" ht="17.25" x14ac:dyDescent="0.25">
      <c r="A40" s="21">
        <f t="shared" si="0"/>
        <v>-0.23066576544293371</v>
      </c>
      <c r="B40" t="s">
        <v>36</v>
      </c>
      <c r="C40" s="21" t="str">
        <f t="shared" si="1"/>
        <v>B</v>
      </c>
      <c r="D40">
        <v>151</v>
      </c>
      <c r="E40">
        <v>116.169469418117</v>
      </c>
      <c r="F40"/>
      <c r="G40" s="5"/>
      <c r="Q40" s="21"/>
      <c r="R40" s="21"/>
    </row>
    <row r="41" spans="1:20" ht="17.25" x14ac:dyDescent="0.25">
      <c r="A41" s="21">
        <f t="shared" si="0"/>
        <v>0.12998042803811471</v>
      </c>
      <c r="B41" t="s">
        <v>36</v>
      </c>
      <c r="C41" s="21" t="str">
        <f t="shared" si="1"/>
        <v>A</v>
      </c>
      <c r="D41">
        <v>96</v>
      </c>
      <c r="E41">
        <v>108.47812109165901</v>
      </c>
      <c r="F41"/>
      <c r="G41" s="5"/>
      <c r="Q41" s="21"/>
      <c r="R41" s="21"/>
    </row>
    <row r="42" spans="1:20" ht="17.25" x14ac:dyDescent="0.25">
      <c r="A42" s="21">
        <f t="shared" si="0"/>
        <v>-0.22288664278112125</v>
      </c>
      <c r="B42" t="s">
        <v>36</v>
      </c>
      <c r="C42" s="21" t="str">
        <f t="shared" si="1"/>
        <v>B</v>
      </c>
      <c r="D42">
        <v>132</v>
      </c>
      <c r="E42">
        <v>102.578963152892</v>
      </c>
      <c r="F42"/>
      <c r="G42" s="5"/>
      <c r="Q42" s="21"/>
      <c r="R42" s="21"/>
    </row>
    <row r="43" spans="1:20" ht="17.25" x14ac:dyDescent="0.25">
      <c r="A43" s="21">
        <f t="shared" si="0"/>
        <v>5.5110029830469642E-2</v>
      </c>
      <c r="B43" t="s">
        <v>36</v>
      </c>
      <c r="C43" s="21" t="str">
        <f t="shared" si="1"/>
        <v>A</v>
      </c>
      <c r="D43">
        <v>115</v>
      </c>
      <c r="E43">
        <v>121.33765343050401</v>
      </c>
      <c r="F43"/>
      <c r="G43" s="5"/>
      <c r="Q43" s="21"/>
      <c r="R43" s="21"/>
    </row>
    <row r="44" spans="1:20" ht="17.25" x14ac:dyDescent="0.25">
      <c r="A44" s="21">
        <f t="shared" si="0"/>
        <v>6.2095197556888415E-4</v>
      </c>
      <c r="B44" t="s">
        <v>36</v>
      </c>
      <c r="C44" s="21" t="str">
        <f t="shared" si="1"/>
        <v>A</v>
      </c>
      <c r="D44">
        <v>90</v>
      </c>
      <c r="E44">
        <v>90.0558856778012</v>
      </c>
      <c r="F44"/>
      <c r="G44" s="5"/>
      <c r="Q44" s="21"/>
      <c r="R44" s="21"/>
    </row>
    <row r="45" spans="1:20" ht="17.25" x14ac:dyDescent="0.25">
      <c r="A45" s="21">
        <f t="shared" si="0"/>
        <v>-0.34382007579870344</v>
      </c>
      <c r="B45" t="s">
        <v>36</v>
      </c>
      <c r="C45" s="21" t="str">
        <f t="shared" si="1"/>
        <v>B</v>
      </c>
      <c r="D45">
        <v>199</v>
      </c>
      <c r="E45">
        <v>130.57980491605801</v>
      </c>
      <c r="F45"/>
      <c r="G45" s="5"/>
      <c r="Q45" s="21"/>
      <c r="R45" s="21"/>
    </row>
    <row r="46" spans="1:20" ht="17.25" x14ac:dyDescent="0.25">
      <c r="A46" s="21">
        <f t="shared" si="0"/>
        <v>-0.31957695430425381</v>
      </c>
      <c r="B46" t="s">
        <v>36</v>
      </c>
      <c r="C46" s="21" t="str">
        <f t="shared" si="1"/>
        <v>B</v>
      </c>
      <c r="D46">
        <v>197</v>
      </c>
      <c r="E46">
        <v>134.043340002062</v>
      </c>
      <c r="F46"/>
      <c r="G46" s="5"/>
      <c r="Q46" s="21"/>
      <c r="R46" s="21"/>
    </row>
    <row r="47" spans="1:20" ht="17.25" x14ac:dyDescent="0.25">
      <c r="A47" s="21">
        <f t="shared" si="0"/>
        <v>0.48643649100113051</v>
      </c>
      <c r="B47" t="s">
        <v>43</v>
      </c>
      <c r="C47" s="21" t="str">
        <f t="shared" si="1"/>
        <v>B</v>
      </c>
      <c r="D47">
        <v>92</v>
      </c>
      <c r="E47">
        <v>136.75215717210401</v>
      </c>
      <c r="F47"/>
      <c r="G47" s="5"/>
      <c r="Q47" s="21"/>
      <c r="R47" s="21"/>
    </row>
    <row r="48" spans="1:20" ht="17.25" x14ac:dyDescent="0.25">
      <c r="A48" s="21">
        <f t="shared" si="0"/>
        <v>0.13378373296504242</v>
      </c>
      <c r="B48" t="s">
        <v>43</v>
      </c>
      <c r="C48" s="21" t="str">
        <f t="shared" si="1"/>
        <v>A</v>
      </c>
      <c r="D48">
        <v>94</v>
      </c>
      <c r="E48">
        <v>106.57567089871399</v>
      </c>
      <c r="F48"/>
      <c r="G48" s="5"/>
      <c r="Q48" s="21"/>
      <c r="R48" s="21"/>
    </row>
    <row r="49" spans="1:18" ht="17.25" x14ac:dyDescent="0.25">
      <c r="A49" s="21">
        <f t="shared" si="0"/>
        <v>-0.13484149124490297</v>
      </c>
      <c r="B49" t="s">
        <v>43</v>
      </c>
      <c r="C49" s="21" t="str">
        <f t="shared" si="1"/>
        <v>A</v>
      </c>
      <c r="D49">
        <v>101</v>
      </c>
      <c r="E49">
        <v>87.3810093842648</v>
      </c>
      <c r="F49"/>
      <c r="G49" s="5"/>
      <c r="Q49" s="21"/>
      <c r="R49" s="21"/>
    </row>
    <row r="50" spans="1:18" ht="17.25" x14ac:dyDescent="0.25">
      <c r="A50" s="21">
        <f t="shared" si="0"/>
        <v>-5.7016204345716637E-2</v>
      </c>
      <c r="B50" t="s">
        <v>43</v>
      </c>
      <c r="C50" s="21" t="str">
        <f t="shared" si="1"/>
        <v>A</v>
      </c>
      <c r="D50">
        <v>96</v>
      </c>
      <c r="E50">
        <v>90.526444382811206</v>
      </c>
      <c r="F50"/>
      <c r="G50" s="5"/>
      <c r="Q50" s="21"/>
      <c r="R50" s="21"/>
    </row>
    <row r="51" spans="1:18" ht="17.25" x14ac:dyDescent="0.25">
      <c r="A51" s="21">
        <f t="shared" si="0"/>
        <v>1.225588566871294E-2</v>
      </c>
      <c r="B51" t="s">
        <v>43</v>
      </c>
      <c r="C51" s="21" t="str">
        <f t="shared" si="1"/>
        <v>A</v>
      </c>
      <c r="D51">
        <v>101</v>
      </c>
      <c r="E51">
        <v>102.23784445254</v>
      </c>
      <c r="F51"/>
      <c r="G51" s="5"/>
      <c r="Q51" s="21"/>
      <c r="R51" s="21"/>
    </row>
    <row r="52" spans="1:18" ht="17.25" x14ac:dyDescent="0.25">
      <c r="A52" s="21">
        <f t="shared" si="0"/>
        <v>7.5972571679667533E-2</v>
      </c>
      <c r="B52" t="s">
        <v>43</v>
      </c>
      <c r="C52" s="21" t="str">
        <f t="shared" si="1"/>
        <v>A</v>
      </c>
      <c r="D52">
        <v>92</v>
      </c>
      <c r="E52">
        <v>98.989476594529407</v>
      </c>
      <c r="F52"/>
      <c r="G52" s="5"/>
      <c r="Q52" s="21"/>
      <c r="R52" s="21"/>
    </row>
    <row r="53" spans="1:18" ht="17.25" x14ac:dyDescent="0.25">
      <c r="A53" s="21">
        <f t="shared" si="0"/>
        <v>-5.0084998381778933E-2</v>
      </c>
      <c r="B53" t="s">
        <v>43</v>
      </c>
      <c r="C53" s="21" t="str">
        <f t="shared" si="1"/>
        <v>A</v>
      </c>
      <c r="D53">
        <v>104</v>
      </c>
      <c r="E53">
        <v>98.791160168294994</v>
      </c>
      <c r="F53"/>
      <c r="G53" s="5"/>
      <c r="Q53" s="21"/>
      <c r="R53" s="21"/>
    </row>
    <row r="54" spans="1:18" ht="17.25" x14ac:dyDescent="0.25">
      <c r="A54" s="21">
        <f t="shared" si="0"/>
        <v>-0.1381298941746022</v>
      </c>
      <c r="B54" t="s">
        <v>43</v>
      </c>
      <c r="C54" s="21" t="str">
        <f t="shared" si="1"/>
        <v>A</v>
      </c>
      <c r="D54">
        <v>94</v>
      </c>
      <c r="E54">
        <v>81.015789947587393</v>
      </c>
      <c r="F54"/>
      <c r="G54" s="5"/>
      <c r="Q54" s="21"/>
      <c r="R54" s="21"/>
    </row>
    <row r="55" spans="1:18" ht="17.25" x14ac:dyDescent="0.25">
      <c r="A55" s="21">
        <f t="shared" si="0"/>
        <v>-0.11211031976855168</v>
      </c>
      <c r="B55" t="s">
        <v>43</v>
      </c>
      <c r="C55" s="21" t="str">
        <f t="shared" si="1"/>
        <v>A</v>
      </c>
      <c r="D55">
        <v>145</v>
      </c>
      <c r="E55">
        <v>128.74400363356</v>
      </c>
      <c r="F55"/>
      <c r="G55" s="5"/>
      <c r="Q55" s="21"/>
      <c r="R55" s="21"/>
    </row>
    <row r="56" spans="1:18" ht="17.25" x14ac:dyDescent="0.25">
      <c r="A56" s="21">
        <f t="shared" si="0"/>
        <v>-0.18468518114125176</v>
      </c>
      <c r="B56" t="s">
        <v>43</v>
      </c>
      <c r="C56" s="21" t="str">
        <f t="shared" si="1"/>
        <v>A</v>
      </c>
      <c r="D56">
        <v>139</v>
      </c>
      <c r="E56">
        <v>113.32875982136601</v>
      </c>
      <c r="F56"/>
      <c r="G56" s="5"/>
      <c r="Q56" s="21"/>
      <c r="R56" s="21"/>
    </row>
    <row r="57" spans="1:18" ht="17.25" x14ac:dyDescent="0.25">
      <c r="A57" s="21">
        <f t="shared" si="0"/>
        <v>-0.10446199089301744</v>
      </c>
      <c r="B57" t="s">
        <v>43</v>
      </c>
      <c r="C57" s="21" t="str">
        <f t="shared" si="1"/>
        <v>A</v>
      </c>
      <c r="D57">
        <v>115</v>
      </c>
      <c r="E57">
        <v>102.986871047303</v>
      </c>
      <c r="F57"/>
      <c r="G57" s="5"/>
      <c r="Q57" s="21"/>
      <c r="R57" s="21"/>
    </row>
    <row r="58" spans="1:18" x14ac:dyDescent="0.25">
      <c r="A58" s="21">
        <f t="shared" si="0"/>
        <v>8.3784603037658778E-2</v>
      </c>
      <c r="B58" t="s">
        <v>44</v>
      </c>
      <c r="C58" s="21" t="str">
        <f t="shared" si="1"/>
        <v>A</v>
      </c>
      <c r="D58">
        <v>90</v>
      </c>
      <c r="E58">
        <v>97.540614273389295</v>
      </c>
      <c r="F58"/>
      <c r="G58"/>
      <c r="Q58" s="21"/>
      <c r="R58" s="21"/>
    </row>
    <row r="59" spans="1:18" x14ac:dyDescent="0.25">
      <c r="A59" s="21">
        <f t="shared" si="0"/>
        <v>-0.30003380878108865</v>
      </c>
      <c r="B59" t="s">
        <v>44</v>
      </c>
      <c r="C59" s="21" t="str">
        <f t="shared" si="1"/>
        <v>B</v>
      </c>
      <c r="D59">
        <v>137.5</v>
      </c>
      <c r="E59">
        <v>96.245351292600304</v>
      </c>
      <c r="F59"/>
      <c r="G59"/>
      <c r="Q59" s="21"/>
      <c r="R59" s="21"/>
    </row>
    <row r="60" spans="1:18" x14ac:dyDescent="0.25">
      <c r="A60" s="21">
        <f t="shared" si="0"/>
        <v>-0.14453568440605269</v>
      </c>
      <c r="B60" t="s">
        <v>44</v>
      </c>
      <c r="C60" s="21" t="str">
        <f t="shared" si="1"/>
        <v>A</v>
      </c>
      <c r="D60">
        <v>106.5</v>
      </c>
      <c r="E60">
        <v>91.106949610755393</v>
      </c>
      <c r="F60"/>
      <c r="G60"/>
      <c r="Q60" s="21"/>
      <c r="R60" s="21"/>
    </row>
    <row r="61" spans="1:18" x14ac:dyDescent="0.25">
      <c r="A61" s="21">
        <f t="shared" si="0"/>
        <v>-7.8657896758033696E-2</v>
      </c>
      <c r="B61" t="s">
        <v>44</v>
      </c>
      <c r="C61" s="21" t="str">
        <f t="shared" si="1"/>
        <v>A</v>
      </c>
      <c r="D61">
        <v>101</v>
      </c>
      <c r="E61">
        <v>93.055552427438599</v>
      </c>
      <c r="F61"/>
      <c r="G61"/>
      <c r="Q61" s="21"/>
      <c r="R61" s="21"/>
    </row>
    <row r="62" spans="1:18" ht="17.25" x14ac:dyDescent="0.25">
      <c r="A62" s="21">
        <f t="shared" si="0"/>
        <v>-0.12470334692898577</v>
      </c>
      <c r="B62" t="s">
        <v>45</v>
      </c>
      <c r="C62" s="21" t="str">
        <f t="shared" si="1"/>
        <v>A</v>
      </c>
      <c r="D62">
        <v>212</v>
      </c>
      <c r="E62">
        <v>185.56289045105501</v>
      </c>
      <c r="F62"/>
      <c r="G62" s="5"/>
      <c r="H62"/>
      <c r="Q62" s="21"/>
      <c r="R62" s="21"/>
    </row>
    <row r="63" spans="1:18" ht="17.25" x14ac:dyDescent="0.25">
      <c r="A63" s="21">
        <f t="shared" si="0"/>
        <v>-0.24803867757436815</v>
      </c>
      <c r="B63" t="s">
        <v>45</v>
      </c>
      <c r="C63" s="21" t="str">
        <f t="shared" si="1"/>
        <v>B</v>
      </c>
      <c r="D63">
        <v>258</v>
      </c>
      <c r="E63">
        <v>194.00602118581301</v>
      </c>
      <c r="F63"/>
      <c r="G63" s="5"/>
      <c r="H63"/>
      <c r="Q63" s="21"/>
      <c r="R63" s="21"/>
    </row>
    <row r="64" spans="1:18" ht="17.25" x14ac:dyDescent="0.25">
      <c r="A64" s="21">
        <f t="shared" si="0"/>
        <v>-0.25721109016960386</v>
      </c>
      <c r="B64" t="s">
        <v>45</v>
      </c>
      <c r="C64" s="21" t="str">
        <f t="shared" si="1"/>
        <v>B</v>
      </c>
      <c r="D64">
        <v>257.5</v>
      </c>
      <c r="E64">
        <v>191.26814428132701</v>
      </c>
      <c r="F64"/>
      <c r="G64" s="5"/>
      <c r="H64"/>
      <c r="Q64" s="21"/>
      <c r="R64" s="21"/>
    </row>
    <row r="65" spans="1:18" ht="17.25" x14ac:dyDescent="0.25">
      <c r="A65" s="21">
        <f t="shared" si="0"/>
        <v>-2.5270884819163841E-2</v>
      </c>
      <c r="B65" t="s">
        <v>45</v>
      </c>
      <c r="C65" s="21" t="str">
        <f t="shared" si="1"/>
        <v>A</v>
      </c>
      <c r="D65">
        <v>204.5</v>
      </c>
      <c r="E65">
        <v>199.33210405448099</v>
      </c>
      <c r="F65"/>
      <c r="G65" s="5"/>
      <c r="H65"/>
      <c r="Q65" s="21"/>
      <c r="R65" s="21"/>
    </row>
    <row r="66" spans="1:18" ht="17.25" x14ac:dyDescent="0.25">
      <c r="A66" s="21">
        <f t="shared" si="0"/>
        <v>-7.9328763460135732E-2</v>
      </c>
      <c r="B66" t="s">
        <v>45</v>
      </c>
      <c r="C66" s="21" t="str">
        <f t="shared" si="1"/>
        <v>A</v>
      </c>
      <c r="D66">
        <v>383</v>
      </c>
      <c r="E66">
        <v>352.61708359476802</v>
      </c>
      <c r="F66"/>
      <c r="G66" s="5"/>
      <c r="H66"/>
      <c r="Q66" s="21"/>
      <c r="R66" s="21"/>
    </row>
    <row r="67" spans="1:18" ht="17.25" x14ac:dyDescent="0.25">
      <c r="A67" s="21">
        <f t="shared" si="0"/>
        <v>-0.2330692113857068</v>
      </c>
      <c r="B67" t="s">
        <v>46</v>
      </c>
      <c r="C67" s="21" t="str">
        <f t="shared" si="1"/>
        <v>B</v>
      </c>
      <c r="D67">
        <v>96.5</v>
      </c>
      <c r="E67">
        <v>74.008821101279295</v>
      </c>
      <c r="F67"/>
      <c r="G67" s="5"/>
      <c r="I67"/>
      <c r="Q67" s="21"/>
      <c r="R67" s="21"/>
    </row>
    <row r="68" spans="1:18" ht="17.25" x14ac:dyDescent="0.25">
      <c r="A68" s="21">
        <f t="shared" si="0"/>
        <v>-0.2296293671086449</v>
      </c>
      <c r="B68" t="s">
        <v>46</v>
      </c>
      <c r="C68" s="21" t="str">
        <f t="shared" si="1"/>
        <v>B</v>
      </c>
      <c r="D68">
        <v>153.5</v>
      </c>
      <c r="E68">
        <v>118.251892148823</v>
      </c>
      <c r="F68"/>
      <c r="G68" s="5"/>
      <c r="I68"/>
      <c r="Q68" s="21"/>
      <c r="R68" s="21"/>
    </row>
    <row r="69" spans="1:18" ht="17.25" x14ac:dyDescent="0.25">
      <c r="A69" s="21">
        <f t="shared" si="0"/>
        <v>-0.19324930225170889</v>
      </c>
      <c r="B69" t="s">
        <v>46</v>
      </c>
      <c r="C69" s="21" t="str">
        <f t="shared" si="1"/>
        <v>A</v>
      </c>
      <c r="D69">
        <v>130.5</v>
      </c>
      <c r="E69">
        <v>105.280966056152</v>
      </c>
      <c r="F69"/>
      <c r="G69" s="5"/>
      <c r="I69"/>
      <c r="Q69" s="21"/>
      <c r="R69" s="21"/>
    </row>
    <row r="70" spans="1:18" ht="17.25" x14ac:dyDescent="0.25">
      <c r="A70" s="21">
        <f t="shared" si="0"/>
        <v>-0.24382896955351463</v>
      </c>
      <c r="B70" t="s">
        <v>46</v>
      </c>
      <c r="C70" s="21" t="str">
        <f t="shared" si="1"/>
        <v>B</v>
      </c>
      <c r="D70">
        <v>136</v>
      </c>
      <c r="E70">
        <v>102.839260140722</v>
      </c>
      <c r="F70"/>
      <c r="G70" s="5"/>
      <c r="I70"/>
      <c r="Q70" s="21"/>
      <c r="R70" s="21"/>
    </row>
    <row r="71" spans="1:18" ht="17.25" x14ac:dyDescent="0.25">
      <c r="A71" s="21">
        <f t="shared" si="0"/>
        <v>-0.23649269716289734</v>
      </c>
      <c r="B71" t="s">
        <v>46</v>
      </c>
      <c r="C71" s="21" t="str">
        <f t="shared" si="1"/>
        <v>B</v>
      </c>
      <c r="D71">
        <v>111</v>
      </c>
      <c r="E71">
        <v>84.7493106149184</v>
      </c>
      <c r="F71"/>
      <c r="G71" s="5"/>
      <c r="I71"/>
      <c r="Q71" s="21"/>
      <c r="R71" s="21"/>
    </row>
    <row r="72" spans="1:18" ht="17.25" x14ac:dyDescent="0.25">
      <c r="A72" s="21">
        <f t="shared" si="0"/>
        <v>-0.25926878144479237</v>
      </c>
      <c r="B72" t="s">
        <v>46</v>
      </c>
      <c r="C72" s="21" t="str">
        <f t="shared" si="1"/>
        <v>B</v>
      </c>
      <c r="D72">
        <v>156.5</v>
      </c>
      <c r="E72">
        <v>115.92443570389</v>
      </c>
      <c r="F72"/>
      <c r="G72" s="5"/>
      <c r="I72"/>
      <c r="Q72" s="21"/>
      <c r="R72" s="21"/>
    </row>
    <row r="73" spans="1:18" ht="17.25" x14ac:dyDescent="0.25">
      <c r="A73" s="21">
        <f t="shared" si="0"/>
        <v>0.159867313768844</v>
      </c>
      <c r="B73" t="s">
        <v>46</v>
      </c>
      <c r="C73" s="21" t="str">
        <f t="shared" si="1"/>
        <v>A</v>
      </c>
      <c r="D73">
        <v>109</v>
      </c>
      <c r="E73">
        <v>126.425537200804</v>
      </c>
      <c r="F73"/>
      <c r="G73" s="5"/>
      <c r="I73"/>
      <c r="Q73" s="21"/>
      <c r="R73" s="21"/>
    </row>
    <row r="74" spans="1:18" ht="17.25" x14ac:dyDescent="0.25">
      <c r="A74" s="21">
        <f t="shared" si="0"/>
        <v>-0.10316361284901787</v>
      </c>
      <c r="B74" t="s">
        <v>46</v>
      </c>
      <c r="C74" s="21" t="str">
        <f t="shared" si="1"/>
        <v>A</v>
      </c>
      <c r="D74">
        <v>112</v>
      </c>
      <c r="E74">
        <v>100.44567536091</v>
      </c>
      <c r="F74"/>
      <c r="G74" s="5"/>
      <c r="I74"/>
      <c r="Q74" s="21"/>
      <c r="R74" s="21"/>
    </row>
    <row r="75" spans="1:18" ht="17.25" x14ac:dyDescent="0.25">
      <c r="A75" s="21">
        <f t="shared" si="0"/>
        <v>-3.5684880414527997E-2</v>
      </c>
      <c r="B75" t="s">
        <v>46</v>
      </c>
      <c r="C75" s="21" t="str">
        <f t="shared" si="1"/>
        <v>A</v>
      </c>
      <c r="D75">
        <v>93</v>
      </c>
      <c r="E75">
        <v>89.681306121448898</v>
      </c>
      <c r="F75"/>
      <c r="G75" s="5"/>
      <c r="I75"/>
      <c r="Q75" s="21"/>
      <c r="R75" s="21"/>
    </row>
    <row r="76" spans="1:18" ht="17.25" x14ac:dyDescent="0.25">
      <c r="A76" s="21">
        <f t="shared" si="0"/>
        <v>-0.25873431225261778</v>
      </c>
      <c r="B76" t="s">
        <v>46</v>
      </c>
      <c r="C76" s="21" t="str">
        <f t="shared" si="1"/>
        <v>B</v>
      </c>
      <c r="D76">
        <v>163.5</v>
      </c>
      <c r="E76">
        <v>121.196939946697</v>
      </c>
      <c r="F76"/>
      <c r="G76" s="5"/>
      <c r="I76"/>
      <c r="Q76" s="21"/>
      <c r="R76" s="21"/>
    </row>
    <row r="77" spans="1:18" ht="17.25" x14ac:dyDescent="0.25">
      <c r="A77" s="21">
        <f t="shared" si="0"/>
        <v>-5.4772024909176542E-2</v>
      </c>
      <c r="B77" t="s">
        <v>46</v>
      </c>
      <c r="C77" s="21" t="str">
        <f t="shared" si="1"/>
        <v>A</v>
      </c>
      <c r="D77">
        <v>136</v>
      </c>
      <c r="E77">
        <v>128.55100461235199</v>
      </c>
      <c r="F77"/>
      <c r="G77" s="5"/>
      <c r="I77"/>
      <c r="Q77" s="21"/>
      <c r="R77" s="21"/>
    </row>
    <row r="78" spans="1:18" ht="17.25" x14ac:dyDescent="0.25">
      <c r="A78" s="21">
        <f t="shared" si="0"/>
        <v>9.6448805133983351E-2</v>
      </c>
      <c r="B78" t="s">
        <v>46</v>
      </c>
      <c r="C78" s="21" t="str">
        <f t="shared" si="1"/>
        <v>A</v>
      </c>
      <c r="D78">
        <v>120</v>
      </c>
      <c r="E78">
        <v>131.57385661607799</v>
      </c>
      <c r="F78"/>
      <c r="G78" s="5"/>
      <c r="I78"/>
      <c r="Q78" s="21"/>
      <c r="R78" s="21"/>
    </row>
    <row r="79" spans="1:18" ht="17.25" x14ac:dyDescent="0.25">
      <c r="A79" s="21">
        <f t="shared" si="0"/>
        <v>2.1330619418444385E-2</v>
      </c>
      <c r="B79" t="s">
        <v>47</v>
      </c>
      <c r="C79" s="21" t="str">
        <f t="shared" si="1"/>
        <v>A</v>
      </c>
      <c r="D79">
        <v>184.5</v>
      </c>
      <c r="E79">
        <v>188.43549928270301</v>
      </c>
      <c r="F79"/>
      <c r="G79" s="5"/>
      <c r="J79"/>
      <c r="Q79" s="21"/>
      <c r="R79" s="21"/>
    </row>
    <row r="80" spans="1:18" ht="17.25" x14ac:dyDescent="0.25">
      <c r="A80" s="21">
        <f t="shared" si="0"/>
        <v>-9.9574253235353849E-2</v>
      </c>
      <c r="B80" t="s">
        <v>47</v>
      </c>
      <c r="C80" s="21" t="str">
        <f t="shared" si="1"/>
        <v>A</v>
      </c>
      <c r="D80">
        <v>195</v>
      </c>
      <c r="E80">
        <v>175.58302061910601</v>
      </c>
      <c r="F80"/>
      <c r="G80" s="5"/>
      <c r="J80"/>
      <c r="Q80" s="21"/>
      <c r="R80" s="21"/>
    </row>
    <row r="81" spans="1:18" ht="17.25" x14ac:dyDescent="0.25">
      <c r="A81" s="21">
        <f t="shared" si="0"/>
        <v>-0.18168838616779026</v>
      </c>
      <c r="B81" t="s">
        <v>47</v>
      </c>
      <c r="C81" s="21" t="str">
        <f t="shared" si="1"/>
        <v>A</v>
      </c>
      <c r="D81">
        <v>224</v>
      </c>
      <c r="E81">
        <v>183.30180149841499</v>
      </c>
      <c r="F81"/>
      <c r="G81" s="5"/>
      <c r="J81"/>
      <c r="Q81" s="21"/>
      <c r="R81" s="21"/>
    </row>
    <row r="82" spans="1:18" ht="17.25" x14ac:dyDescent="0.25">
      <c r="A82" s="21">
        <f t="shared" si="0"/>
        <v>-0.20285116661727931</v>
      </c>
      <c r="B82" t="s">
        <v>47</v>
      </c>
      <c r="C82" s="21" t="str">
        <f t="shared" si="1"/>
        <v>B</v>
      </c>
      <c r="D82">
        <v>247</v>
      </c>
      <c r="E82">
        <v>196.89576184553201</v>
      </c>
      <c r="F82"/>
      <c r="G82" s="5"/>
      <c r="J82"/>
      <c r="Q82" s="21"/>
      <c r="R82" s="21"/>
    </row>
    <row r="83" spans="1:18" ht="17.25" x14ac:dyDescent="0.25">
      <c r="A83" s="21">
        <f t="shared" si="0"/>
        <v>0.24819191691791787</v>
      </c>
      <c r="B83" t="s">
        <v>47</v>
      </c>
      <c r="C83" s="21" t="str">
        <f t="shared" si="1"/>
        <v>B</v>
      </c>
      <c r="D83">
        <v>146</v>
      </c>
      <c r="E83">
        <v>182.23601987001601</v>
      </c>
      <c r="F83"/>
      <c r="G83" s="5"/>
      <c r="J83"/>
      <c r="Q83" s="21"/>
      <c r="R83" s="21"/>
    </row>
    <row r="84" spans="1:18" ht="17.25" x14ac:dyDescent="0.25">
      <c r="A84" s="21">
        <f t="shared" si="0"/>
        <v>-0.10806033786320768</v>
      </c>
      <c r="B84" t="s">
        <v>47</v>
      </c>
      <c r="C84" s="21" t="str">
        <f t="shared" si="1"/>
        <v>A</v>
      </c>
      <c r="D84">
        <v>183</v>
      </c>
      <c r="E84">
        <v>163.22495817103299</v>
      </c>
      <c r="F84"/>
      <c r="G84" s="5"/>
      <c r="J84"/>
      <c r="Q84" s="21"/>
      <c r="R84" s="21"/>
    </row>
    <row r="85" spans="1:18" ht="17.25" x14ac:dyDescent="0.25">
      <c r="A85" s="21">
        <f t="shared" si="0"/>
        <v>-0.17385007755303772</v>
      </c>
      <c r="B85" t="s">
        <v>47</v>
      </c>
      <c r="C85" s="21" t="str">
        <f t="shared" si="1"/>
        <v>A</v>
      </c>
      <c r="D85">
        <v>159</v>
      </c>
      <c r="E85">
        <v>131.35783766906701</v>
      </c>
      <c r="F85"/>
      <c r="G85" s="5"/>
      <c r="J85"/>
      <c r="Q85" s="21"/>
      <c r="R85" s="21"/>
    </row>
    <row r="86" spans="1:18" ht="17.25" x14ac:dyDescent="0.25">
      <c r="A86" s="21">
        <f t="shared" si="0"/>
        <v>-0.15757783091027677</v>
      </c>
      <c r="B86" t="s">
        <v>48</v>
      </c>
      <c r="C86" s="21" t="str">
        <f t="shared" si="1"/>
        <v>A</v>
      </c>
      <c r="D86">
        <v>99</v>
      </c>
      <c r="E86">
        <v>83.399794739882594</v>
      </c>
      <c r="F86"/>
      <c r="G86" s="5"/>
      <c r="K86"/>
      <c r="Q86" s="21"/>
      <c r="R86" s="21"/>
    </row>
    <row r="87" spans="1:18" ht="17.25" x14ac:dyDescent="0.25">
      <c r="A87" s="21">
        <f t="shared" si="0"/>
        <v>-6.2602193204614354E-2</v>
      </c>
      <c r="B87" t="s">
        <v>48</v>
      </c>
      <c r="C87" s="21" t="str">
        <f t="shared" si="1"/>
        <v>A</v>
      </c>
      <c r="D87">
        <v>140</v>
      </c>
      <c r="E87">
        <v>131.235692951354</v>
      </c>
      <c r="F87"/>
      <c r="G87" s="5"/>
      <c r="K87"/>
      <c r="Q87" s="21"/>
      <c r="R87" s="21"/>
    </row>
    <row r="88" spans="1:18" ht="17.25" x14ac:dyDescent="0.25">
      <c r="A88" s="21">
        <f t="shared" si="0"/>
        <v>5.6535370883807445E-2</v>
      </c>
      <c r="B88" t="s">
        <v>48</v>
      </c>
      <c r="C88" s="21" t="str">
        <f t="shared" si="1"/>
        <v>A</v>
      </c>
      <c r="D88">
        <v>135</v>
      </c>
      <c r="E88">
        <v>142.63227506931401</v>
      </c>
      <c r="F88"/>
      <c r="G88" s="5"/>
      <c r="K88"/>
      <c r="Q88" s="21"/>
      <c r="R88" s="21"/>
    </row>
    <row r="89" spans="1:18" ht="17.25" x14ac:dyDescent="0.25">
      <c r="A89" s="21">
        <f t="shared" si="0"/>
        <v>5.6821478394071478E-2</v>
      </c>
      <c r="B89" t="s">
        <v>48</v>
      </c>
      <c r="C89" s="21" t="str">
        <f t="shared" si="1"/>
        <v>A</v>
      </c>
      <c r="D89">
        <v>98</v>
      </c>
      <c r="E89">
        <v>103.568504882619</v>
      </c>
      <c r="F89"/>
      <c r="G89" s="5"/>
      <c r="K89"/>
      <c r="Q89" s="21"/>
      <c r="R89" s="21"/>
    </row>
    <row r="90" spans="1:18" ht="17.25" x14ac:dyDescent="0.25">
      <c r="A90" s="21">
        <f t="shared" si="0"/>
        <v>-8.9890846365687116E-2</v>
      </c>
      <c r="B90" t="s">
        <v>48</v>
      </c>
      <c r="C90" s="21" t="str">
        <f t="shared" si="1"/>
        <v>A</v>
      </c>
      <c r="D90">
        <v>93</v>
      </c>
      <c r="E90">
        <v>84.640151287991102</v>
      </c>
      <c r="F90"/>
      <c r="G90" s="5"/>
      <c r="K90"/>
      <c r="Q90" s="21"/>
      <c r="R90" s="21"/>
    </row>
    <row r="91" spans="1:18" ht="17.25" x14ac:dyDescent="0.25">
      <c r="A91" s="21">
        <f t="shared" si="0"/>
        <v>-0.12526435365396027</v>
      </c>
      <c r="B91" t="s">
        <v>48</v>
      </c>
      <c r="C91" s="21" t="str">
        <f t="shared" si="1"/>
        <v>A</v>
      </c>
      <c r="D91">
        <v>151</v>
      </c>
      <c r="E91">
        <v>132.085082598252</v>
      </c>
      <c r="F91"/>
      <c r="G91" s="5"/>
      <c r="K91"/>
      <c r="Q91" s="21"/>
      <c r="R91" s="21"/>
    </row>
    <row r="92" spans="1:18" ht="17.25" x14ac:dyDescent="0.25">
      <c r="A92" s="21">
        <f t="shared" si="0"/>
        <v>-0.1557150595188842</v>
      </c>
      <c r="B92" t="s">
        <v>48</v>
      </c>
      <c r="C92" s="21" t="str">
        <f t="shared" si="1"/>
        <v>A</v>
      </c>
      <c r="D92">
        <v>164</v>
      </c>
      <c r="E92">
        <v>138.46273023890299</v>
      </c>
      <c r="F92"/>
      <c r="G92" s="5"/>
      <c r="K92"/>
      <c r="Q92" s="21"/>
      <c r="R92" s="21"/>
    </row>
    <row r="93" spans="1:18" ht="17.25" x14ac:dyDescent="0.25">
      <c r="A93" s="21">
        <f t="shared" si="0"/>
        <v>-0.21687408887322657</v>
      </c>
      <c r="B93" t="s">
        <v>48</v>
      </c>
      <c r="C93" s="21" t="str">
        <f t="shared" si="1"/>
        <v>B</v>
      </c>
      <c r="D93">
        <v>128</v>
      </c>
      <c r="E93">
        <v>100.240116624227</v>
      </c>
      <c r="F93"/>
      <c r="G93" s="5"/>
      <c r="K93"/>
      <c r="Q93" s="21"/>
      <c r="R93" s="21"/>
    </row>
    <row r="94" spans="1:18" ht="17.25" x14ac:dyDescent="0.25">
      <c r="A94" s="21">
        <f t="shared" si="0"/>
        <v>0.24673931189289999</v>
      </c>
      <c r="B94" t="s">
        <v>49</v>
      </c>
      <c r="C94" s="21" t="str">
        <f t="shared" si="1"/>
        <v>B</v>
      </c>
      <c r="D94">
        <v>77</v>
      </c>
      <c r="E94">
        <v>95.998927015753296</v>
      </c>
      <c r="F94"/>
      <c r="G94" s="5"/>
      <c r="L94"/>
      <c r="Q94" s="21"/>
      <c r="R94" s="21"/>
    </row>
    <row r="95" spans="1:18" ht="17.25" x14ac:dyDescent="0.25">
      <c r="A95" s="21">
        <f t="shared" si="0"/>
        <v>-0.14099972604027822</v>
      </c>
      <c r="B95" t="s">
        <v>49</v>
      </c>
      <c r="C95" s="21" t="str">
        <f t="shared" si="1"/>
        <v>A</v>
      </c>
      <c r="D95">
        <v>133</v>
      </c>
      <c r="E95">
        <v>114.247036436643</v>
      </c>
      <c r="F95"/>
      <c r="G95" s="5"/>
      <c r="L95"/>
      <c r="Q95" s="21"/>
      <c r="R95" s="21"/>
    </row>
    <row r="96" spans="1:18" ht="17.25" x14ac:dyDescent="0.25">
      <c r="A96" s="21">
        <f t="shared" si="0"/>
        <v>0.16544658995668193</v>
      </c>
      <c r="B96" t="s">
        <v>49</v>
      </c>
      <c r="C96" s="21" t="str">
        <f t="shared" si="1"/>
        <v>A</v>
      </c>
      <c r="D96">
        <v>110</v>
      </c>
      <c r="E96">
        <v>128.199124895235</v>
      </c>
      <c r="F96"/>
      <c r="G96" s="5"/>
      <c r="L96"/>
      <c r="Q96" s="21"/>
      <c r="R96" s="21"/>
    </row>
    <row r="97" spans="1:18" ht="17.25" x14ac:dyDescent="0.25">
      <c r="A97" s="21">
        <f t="shared" si="0"/>
        <v>1.7110014283362673E-2</v>
      </c>
      <c r="B97" t="s">
        <v>49</v>
      </c>
      <c r="C97" s="21" t="str">
        <f t="shared" si="1"/>
        <v>A</v>
      </c>
      <c r="D97">
        <v>102</v>
      </c>
      <c r="E97">
        <v>103.745221456903</v>
      </c>
      <c r="F97"/>
      <c r="G97" s="5"/>
      <c r="L97"/>
      <c r="Q97" s="21"/>
      <c r="R97" s="21"/>
    </row>
    <row r="98" spans="1:18" ht="17.25" x14ac:dyDescent="0.25">
      <c r="A98" s="21">
        <f t="shared" si="0"/>
        <v>0.38266442064477202</v>
      </c>
      <c r="B98" t="s">
        <v>49</v>
      </c>
      <c r="C98" s="21" t="str">
        <f t="shared" si="1"/>
        <v>B</v>
      </c>
      <c r="D98">
        <v>79</v>
      </c>
      <c r="E98">
        <v>109.230489230937</v>
      </c>
      <c r="F98"/>
      <c r="G98" s="5"/>
      <c r="L98"/>
      <c r="Q98" s="21"/>
      <c r="R98" s="21"/>
    </row>
    <row r="99" spans="1:18" ht="17.25" x14ac:dyDescent="0.25">
      <c r="A99" s="21">
        <f t="shared" si="0"/>
        <v>-0.28289922996224515</v>
      </c>
      <c r="B99" t="s">
        <v>49</v>
      </c>
      <c r="C99" s="21" t="str">
        <f t="shared" si="1"/>
        <v>B</v>
      </c>
      <c r="D99">
        <v>155</v>
      </c>
      <c r="E99">
        <v>111.150619355852</v>
      </c>
      <c r="F99"/>
      <c r="G99" s="5"/>
      <c r="L99"/>
      <c r="Q99" s="21"/>
      <c r="R99" s="21"/>
    </row>
    <row r="100" spans="1:18" ht="17.25" x14ac:dyDescent="0.25">
      <c r="A100" s="21">
        <f t="shared" si="0"/>
        <v>-0.2506127458261761</v>
      </c>
      <c r="B100" t="s">
        <v>49</v>
      </c>
      <c r="C100" s="21" t="str">
        <f t="shared" si="1"/>
        <v>B</v>
      </c>
      <c r="D100">
        <v>159</v>
      </c>
      <c r="E100">
        <v>119.152573413638</v>
      </c>
      <c r="F100"/>
      <c r="G100" s="5"/>
      <c r="L100"/>
      <c r="Q100" s="21"/>
      <c r="R100" s="21"/>
    </row>
    <row r="101" spans="1:18" ht="17.25" x14ac:dyDescent="0.25">
      <c r="A101" s="21">
        <f t="shared" si="0"/>
        <v>4.0958702615263132E-2</v>
      </c>
      <c r="B101" t="s">
        <v>49</v>
      </c>
      <c r="C101" s="21" t="str">
        <f t="shared" si="1"/>
        <v>A</v>
      </c>
      <c r="D101">
        <v>114</v>
      </c>
      <c r="E101">
        <v>118.66929209814001</v>
      </c>
      <c r="F101"/>
      <c r="G101" s="5"/>
      <c r="L101"/>
      <c r="Q101" s="21"/>
      <c r="R101" s="21"/>
    </row>
    <row r="102" spans="1:18" ht="17.25" x14ac:dyDescent="0.25">
      <c r="A102" s="21">
        <f t="shared" si="0"/>
        <v>0.38213529508572797</v>
      </c>
      <c r="B102" t="s">
        <v>49</v>
      </c>
      <c r="C102" s="21" t="str">
        <f t="shared" si="1"/>
        <v>B</v>
      </c>
      <c r="D102">
        <v>136</v>
      </c>
      <c r="E102">
        <v>187.97040013165901</v>
      </c>
      <c r="F102"/>
      <c r="G102" s="5"/>
      <c r="L102"/>
      <c r="Q102" s="21"/>
      <c r="R102" s="21"/>
    </row>
    <row r="103" spans="1:18" ht="17.25" x14ac:dyDescent="0.25">
      <c r="A103" s="21">
        <f t="shared" ref="A103:A167" si="2">E103/D103-1</f>
        <v>0.56693609008310419</v>
      </c>
      <c r="B103" t="s">
        <v>49</v>
      </c>
      <c r="C103" s="21" t="str">
        <f t="shared" ref="C103:C166" si="3">IF(OR(A103&gt;=20%,A103&lt;=-20%),"B","A")</f>
        <v>B</v>
      </c>
      <c r="D103">
        <v>125</v>
      </c>
      <c r="E103">
        <v>195.86701126038801</v>
      </c>
      <c r="F103"/>
      <c r="G103" s="5"/>
      <c r="L103"/>
      <c r="Q103" s="21"/>
      <c r="R103" s="21"/>
    </row>
    <row r="104" spans="1:18" ht="17.25" x14ac:dyDescent="0.25">
      <c r="A104" s="21">
        <f t="shared" si="2"/>
        <v>5.6198382679136794E-2</v>
      </c>
      <c r="B104" t="s">
        <v>49</v>
      </c>
      <c r="C104" s="21" t="str">
        <f t="shared" si="3"/>
        <v>A</v>
      </c>
      <c r="D104">
        <v>168</v>
      </c>
      <c r="E104">
        <v>177.44132829009499</v>
      </c>
      <c r="F104"/>
      <c r="G104" s="5"/>
      <c r="L104"/>
      <c r="Q104" s="21"/>
      <c r="R104" s="21"/>
    </row>
    <row r="105" spans="1:18" ht="17.25" x14ac:dyDescent="0.25">
      <c r="A105" s="21">
        <f t="shared" si="2"/>
        <v>2.594684631452715E-2</v>
      </c>
      <c r="B105" t="s">
        <v>49</v>
      </c>
      <c r="C105" s="21" t="str">
        <f t="shared" si="3"/>
        <v>A</v>
      </c>
      <c r="D105">
        <v>148</v>
      </c>
      <c r="E105">
        <v>151.84013325455001</v>
      </c>
      <c r="F105"/>
      <c r="G105" s="5"/>
      <c r="L105"/>
      <c r="Q105" s="21"/>
      <c r="R105" s="21"/>
    </row>
    <row r="106" spans="1:18" ht="17.25" x14ac:dyDescent="0.25">
      <c r="A106" s="21">
        <f t="shared" si="2"/>
        <v>-0.22333408094778029</v>
      </c>
      <c r="B106" t="s">
        <v>49</v>
      </c>
      <c r="C106" s="21" t="str">
        <f t="shared" si="3"/>
        <v>B</v>
      </c>
      <c r="D106">
        <v>214</v>
      </c>
      <c r="E106">
        <v>166.20650667717501</v>
      </c>
      <c r="F106"/>
      <c r="G106" s="5"/>
      <c r="L106"/>
      <c r="Q106" s="21"/>
      <c r="R106" s="21"/>
    </row>
    <row r="107" spans="1:18" ht="17.25" x14ac:dyDescent="0.25">
      <c r="A107" s="21">
        <f t="shared" si="2"/>
        <v>-0.13538023724372961</v>
      </c>
      <c r="B107" t="s">
        <v>49</v>
      </c>
      <c r="C107" s="21" t="str">
        <f t="shared" si="3"/>
        <v>A</v>
      </c>
      <c r="D107">
        <v>196</v>
      </c>
      <c r="E107">
        <v>169.465473500229</v>
      </c>
      <c r="F107"/>
      <c r="G107" s="5"/>
      <c r="L107"/>
      <c r="Q107" s="21"/>
      <c r="R107" s="21"/>
    </row>
    <row r="108" spans="1:18" ht="17.25" x14ac:dyDescent="0.25">
      <c r="A108" s="21">
        <f t="shared" si="2"/>
        <v>-8.2325073759177303E-2</v>
      </c>
      <c r="B108" t="s">
        <v>49</v>
      </c>
      <c r="C108" s="21" t="str">
        <f t="shared" si="3"/>
        <v>A</v>
      </c>
      <c r="D108">
        <v>203</v>
      </c>
      <c r="E108">
        <v>186.28801002688701</v>
      </c>
      <c r="F108"/>
      <c r="G108" s="5"/>
      <c r="L108"/>
      <c r="Q108" s="21"/>
      <c r="R108" s="21"/>
    </row>
    <row r="109" spans="1:18" ht="17.25" x14ac:dyDescent="0.25">
      <c r="A109" s="21">
        <f t="shared" si="2"/>
        <v>-0.3077575219970432</v>
      </c>
      <c r="B109" t="s">
        <v>49</v>
      </c>
      <c r="C109" s="21" t="str">
        <f t="shared" si="3"/>
        <v>B</v>
      </c>
      <c r="D109">
        <v>278</v>
      </c>
      <c r="E109">
        <v>192.44340888482199</v>
      </c>
      <c r="F109"/>
      <c r="G109" s="5"/>
      <c r="L109"/>
      <c r="Q109" s="21"/>
      <c r="R109" s="21"/>
    </row>
    <row r="110" spans="1:18" ht="17.25" x14ac:dyDescent="0.25">
      <c r="A110" s="21">
        <f t="shared" si="2"/>
        <v>-0.17655050768228941</v>
      </c>
      <c r="B110" t="s">
        <v>49</v>
      </c>
      <c r="C110" s="21" t="str">
        <f t="shared" si="3"/>
        <v>A</v>
      </c>
      <c r="D110">
        <v>228</v>
      </c>
      <c r="E110">
        <v>187.74648424843801</v>
      </c>
      <c r="F110"/>
      <c r="G110" s="5"/>
      <c r="L110"/>
      <c r="Q110" s="21"/>
      <c r="R110" s="21"/>
    </row>
    <row r="111" spans="1:18" ht="17.25" x14ac:dyDescent="0.25">
      <c r="A111" s="21">
        <f t="shared" si="2"/>
        <v>-0.12439559398790767</v>
      </c>
      <c r="B111" t="s">
        <v>49</v>
      </c>
      <c r="C111" s="21" t="str">
        <f t="shared" si="3"/>
        <v>A</v>
      </c>
      <c r="D111">
        <v>195</v>
      </c>
      <c r="E111">
        <v>170.74285917235801</v>
      </c>
      <c r="F111"/>
      <c r="G111" s="5"/>
      <c r="L111"/>
      <c r="Q111" s="21"/>
      <c r="R111" s="21"/>
    </row>
    <row r="112" spans="1:18" ht="17.25" x14ac:dyDescent="0.25">
      <c r="A112" s="21">
        <f t="shared" si="2"/>
        <v>-0.24663073943487179</v>
      </c>
      <c r="B112" t="s">
        <v>49</v>
      </c>
      <c r="C112" s="21" t="str">
        <f t="shared" si="3"/>
        <v>B</v>
      </c>
      <c r="D112">
        <v>253.5</v>
      </c>
      <c r="E112">
        <v>190.97910755326001</v>
      </c>
      <c r="F112"/>
      <c r="G112" s="5"/>
      <c r="L112"/>
      <c r="Q112" s="21"/>
      <c r="R112" s="21"/>
    </row>
    <row r="113" spans="1:18" ht="17.25" x14ac:dyDescent="0.25">
      <c r="A113" s="21">
        <f t="shared" si="2"/>
        <v>-0.18320474147407417</v>
      </c>
      <c r="B113" t="s">
        <v>49</v>
      </c>
      <c r="C113" s="21" t="str">
        <f t="shared" si="3"/>
        <v>A</v>
      </c>
      <c r="D113">
        <v>242.5</v>
      </c>
      <c r="E113">
        <v>198.072850192537</v>
      </c>
      <c r="F113"/>
      <c r="G113" s="5"/>
      <c r="L113"/>
      <c r="Q113" s="21"/>
      <c r="R113" s="21"/>
    </row>
    <row r="114" spans="1:18" ht="17.25" x14ac:dyDescent="0.25">
      <c r="A114" s="21">
        <f t="shared" si="2"/>
        <v>-0.27529048840846992</v>
      </c>
      <c r="B114" t="s">
        <v>49</v>
      </c>
      <c r="C114" s="21" t="str">
        <f t="shared" si="3"/>
        <v>B</v>
      </c>
      <c r="D114">
        <v>266</v>
      </c>
      <c r="E114">
        <v>192.772730083347</v>
      </c>
      <c r="F114"/>
      <c r="G114" s="5"/>
      <c r="L114"/>
      <c r="Q114" s="21"/>
      <c r="R114" s="21"/>
    </row>
    <row r="115" spans="1:18" ht="17.25" x14ac:dyDescent="0.25">
      <c r="A115" s="21">
        <f t="shared" si="2"/>
        <v>-0.25989064284547903</v>
      </c>
      <c r="B115" t="s">
        <v>49</v>
      </c>
      <c r="C115" s="21" t="str">
        <f t="shared" si="3"/>
        <v>B</v>
      </c>
      <c r="D115">
        <v>215</v>
      </c>
      <c r="E115">
        <v>159.123511788222</v>
      </c>
      <c r="F115"/>
      <c r="G115" s="5"/>
      <c r="L115"/>
      <c r="Q115" s="21"/>
      <c r="R115" s="21"/>
    </row>
    <row r="116" spans="1:18" ht="17.25" x14ac:dyDescent="0.25">
      <c r="A116" s="21">
        <f t="shared" si="2"/>
        <v>0.15951688743116121</v>
      </c>
      <c r="B116" t="s">
        <v>49</v>
      </c>
      <c r="C116" s="21" t="str">
        <f t="shared" si="3"/>
        <v>A</v>
      </c>
      <c r="D116">
        <v>139.5</v>
      </c>
      <c r="E116">
        <v>161.752605796647</v>
      </c>
      <c r="F116"/>
      <c r="G116" s="5"/>
      <c r="L116"/>
      <c r="Q116" s="21"/>
      <c r="R116" s="21"/>
    </row>
    <row r="117" spans="1:18" ht="17.25" x14ac:dyDescent="0.25">
      <c r="A117" s="21">
        <f t="shared" si="2"/>
        <v>5.6225976036812897E-2</v>
      </c>
      <c r="B117" t="s">
        <v>49</v>
      </c>
      <c r="C117" s="21" t="str">
        <f t="shared" si="3"/>
        <v>A</v>
      </c>
      <c r="D117">
        <v>187</v>
      </c>
      <c r="E117">
        <v>197.51425751888399</v>
      </c>
      <c r="F117"/>
      <c r="G117" s="5"/>
      <c r="L117"/>
      <c r="Q117" s="21"/>
      <c r="R117" s="21"/>
    </row>
    <row r="118" spans="1:18" ht="17.25" x14ac:dyDescent="0.25">
      <c r="A118" s="21">
        <f t="shared" si="2"/>
        <v>-0.13985000923609248</v>
      </c>
      <c r="B118" t="s">
        <v>49</v>
      </c>
      <c r="C118" s="21" t="str">
        <f t="shared" si="3"/>
        <v>A</v>
      </c>
      <c r="D118">
        <v>281</v>
      </c>
      <c r="E118">
        <v>241.70214740465801</v>
      </c>
      <c r="F118"/>
      <c r="G118" s="5"/>
      <c r="L118"/>
      <c r="Q118" s="21"/>
      <c r="R118" s="21"/>
    </row>
    <row r="119" spans="1:18" ht="17.25" x14ac:dyDescent="0.25">
      <c r="A119" s="21">
        <f t="shared" si="2"/>
        <v>-5.9197547430823616E-2</v>
      </c>
      <c r="B119" t="s">
        <v>49</v>
      </c>
      <c r="C119" s="21" t="str">
        <f t="shared" si="3"/>
        <v>A</v>
      </c>
      <c r="D119">
        <v>306</v>
      </c>
      <c r="E119">
        <v>287.88555048616797</v>
      </c>
      <c r="F119"/>
      <c r="G119" s="5"/>
      <c r="L119"/>
      <c r="Q119" s="21"/>
      <c r="R119" s="21"/>
    </row>
    <row r="120" spans="1:18" ht="17.25" x14ac:dyDescent="0.25">
      <c r="A120" s="21">
        <f t="shared" si="2"/>
        <v>-0.23056107032865891</v>
      </c>
      <c r="B120" t="s">
        <v>49</v>
      </c>
      <c r="C120" s="21" t="str">
        <f t="shared" si="3"/>
        <v>B</v>
      </c>
      <c r="D120">
        <v>258</v>
      </c>
      <c r="E120">
        <v>198.51524385520599</v>
      </c>
      <c r="F120"/>
      <c r="G120" s="5"/>
      <c r="L120"/>
      <c r="Q120" s="21"/>
      <c r="R120" s="21"/>
    </row>
    <row r="121" spans="1:18" ht="17.25" x14ac:dyDescent="0.25">
      <c r="A121" s="21">
        <f t="shared" si="2"/>
        <v>-6.3241311336018846E-2</v>
      </c>
      <c r="B121" t="s">
        <v>49</v>
      </c>
      <c r="C121" s="21" t="str">
        <f t="shared" si="3"/>
        <v>A</v>
      </c>
      <c r="D121">
        <v>212</v>
      </c>
      <c r="E121">
        <v>198.59284199676401</v>
      </c>
      <c r="F121"/>
      <c r="G121" s="5"/>
      <c r="L121"/>
      <c r="Q121" s="21"/>
      <c r="R121" s="21"/>
    </row>
    <row r="122" spans="1:18" ht="17.25" x14ac:dyDescent="0.25">
      <c r="A122" s="21">
        <f t="shared" si="2"/>
        <v>-3.2247895333532339E-2</v>
      </c>
      <c r="B122" t="s">
        <v>49</v>
      </c>
      <c r="C122" s="21" t="str">
        <f t="shared" si="3"/>
        <v>A</v>
      </c>
      <c r="D122">
        <v>186</v>
      </c>
      <c r="E122">
        <v>180.00189146796299</v>
      </c>
      <c r="F122"/>
      <c r="G122" s="5"/>
      <c r="L122"/>
      <c r="Q122" s="21"/>
      <c r="R122" s="21"/>
    </row>
    <row r="123" spans="1:18" ht="17.25" x14ac:dyDescent="0.25">
      <c r="A123" s="21">
        <f t="shared" si="2"/>
        <v>0.13894047306128288</v>
      </c>
      <c r="B123" t="s">
        <v>49</v>
      </c>
      <c r="C123" s="21" t="str">
        <f t="shared" si="3"/>
        <v>A</v>
      </c>
      <c r="D123">
        <v>76</v>
      </c>
      <c r="E123">
        <v>86.559475952657493</v>
      </c>
      <c r="F123"/>
      <c r="G123" s="5"/>
      <c r="L123"/>
      <c r="Q123" s="21"/>
      <c r="R123" s="21"/>
    </row>
    <row r="124" spans="1:18" ht="17.25" x14ac:dyDescent="0.25">
      <c r="A124" s="21">
        <f t="shared" si="2"/>
        <v>-0.23595891054243179</v>
      </c>
      <c r="B124" t="s">
        <v>49</v>
      </c>
      <c r="C124" s="21" t="str">
        <f t="shared" si="3"/>
        <v>B</v>
      </c>
      <c r="D124">
        <v>113</v>
      </c>
      <c r="E124">
        <v>86.336643108705204</v>
      </c>
      <c r="F124"/>
      <c r="G124" s="5"/>
      <c r="L124"/>
      <c r="Q124" s="21"/>
      <c r="R124" s="21"/>
    </row>
    <row r="125" spans="1:18" ht="17.25" x14ac:dyDescent="0.25">
      <c r="A125" s="21">
        <f t="shared" si="2"/>
        <v>-1.9780807294768943E-2</v>
      </c>
      <c r="B125" t="s">
        <v>49</v>
      </c>
      <c r="C125" s="21" t="str">
        <f t="shared" si="3"/>
        <v>A</v>
      </c>
      <c r="D125">
        <v>87</v>
      </c>
      <c r="E125">
        <v>85.279069765355104</v>
      </c>
      <c r="F125"/>
      <c r="G125" s="5"/>
      <c r="L125"/>
      <c r="Q125" s="21"/>
      <c r="R125" s="21"/>
    </row>
    <row r="126" spans="1:18" ht="17.25" x14ac:dyDescent="0.25">
      <c r="A126" s="21">
        <f t="shared" si="2"/>
        <v>6.4165289654334545E-2</v>
      </c>
      <c r="B126" t="s">
        <v>50</v>
      </c>
      <c r="C126" s="21" t="str">
        <f t="shared" si="3"/>
        <v>A</v>
      </c>
      <c r="D126">
        <v>81</v>
      </c>
      <c r="E126">
        <v>86.197388462001101</v>
      </c>
      <c r="F126"/>
      <c r="G126" s="5"/>
      <c r="M126"/>
      <c r="Q126" s="21"/>
      <c r="R126" s="21"/>
    </row>
    <row r="127" spans="1:18" x14ac:dyDescent="0.25">
      <c r="A127" s="21">
        <f t="shared" si="2"/>
        <v>0.16756590667501814</v>
      </c>
      <c r="B127" t="s">
        <v>50</v>
      </c>
      <c r="C127" s="21" t="str">
        <f t="shared" si="3"/>
        <v>A</v>
      </c>
      <c r="D127">
        <v>110</v>
      </c>
      <c r="E127">
        <v>128.432249734252</v>
      </c>
      <c r="F127"/>
      <c r="M127"/>
      <c r="Q127" s="21"/>
      <c r="R127" s="21"/>
    </row>
    <row r="128" spans="1:18" x14ac:dyDescent="0.25">
      <c r="A128" s="21">
        <f t="shared" si="2"/>
        <v>-0.16917383047637391</v>
      </c>
      <c r="B128" t="s">
        <v>50</v>
      </c>
      <c r="C128" s="21" t="str">
        <f t="shared" si="3"/>
        <v>A</v>
      </c>
      <c r="D128">
        <v>111</v>
      </c>
      <c r="E128">
        <v>92.2217048171225</v>
      </c>
      <c r="F128"/>
      <c r="M128"/>
      <c r="Q128" s="21"/>
      <c r="R128" s="21"/>
    </row>
    <row r="129" spans="1:18" x14ac:dyDescent="0.25">
      <c r="A129" s="21">
        <f t="shared" si="2"/>
        <v>6.3650534623168831E-2</v>
      </c>
      <c r="B129" t="s">
        <v>50</v>
      </c>
      <c r="C129" s="21" t="str">
        <f t="shared" si="3"/>
        <v>A</v>
      </c>
      <c r="D129">
        <v>93</v>
      </c>
      <c r="E129">
        <v>98.9194997199547</v>
      </c>
      <c r="F129"/>
      <c r="M129"/>
      <c r="Q129" s="21"/>
      <c r="R129" s="21"/>
    </row>
    <row r="130" spans="1:18" x14ac:dyDescent="0.25">
      <c r="A130" s="21">
        <f t="shared" si="2"/>
        <v>-5.8327067644366459E-2</v>
      </c>
      <c r="B130" t="s">
        <v>50</v>
      </c>
      <c r="C130" s="21" t="str">
        <f t="shared" si="3"/>
        <v>A</v>
      </c>
      <c r="D130">
        <v>221</v>
      </c>
      <c r="E130">
        <v>208.10971805059501</v>
      </c>
      <c r="F130"/>
      <c r="M130"/>
      <c r="Q130" s="21"/>
      <c r="R130" s="21"/>
    </row>
    <row r="131" spans="1:18" x14ac:dyDescent="0.25">
      <c r="A131" s="21">
        <f t="shared" si="2"/>
        <v>-0.26392006919606048</v>
      </c>
      <c r="B131" t="s">
        <v>50</v>
      </c>
      <c r="C131" s="21" t="str">
        <f t="shared" si="3"/>
        <v>B</v>
      </c>
      <c r="D131">
        <v>281</v>
      </c>
      <c r="E131">
        <v>206.83846055590701</v>
      </c>
      <c r="F131"/>
      <c r="M131"/>
      <c r="Q131" s="21"/>
      <c r="R131" s="21"/>
    </row>
    <row r="132" spans="1:18" x14ac:dyDescent="0.25">
      <c r="A132" s="21">
        <f t="shared" si="2"/>
        <v>-0.31687691661702433</v>
      </c>
      <c r="B132" t="s">
        <v>50</v>
      </c>
      <c r="C132" s="21" t="str">
        <f t="shared" si="3"/>
        <v>B</v>
      </c>
      <c r="D132">
        <v>287</v>
      </c>
      <c r="E132">
        <v>196.056324930914</v>
      </c>
      <c r="F132"/>
      <c r="M132"/>
      <c r="Q132" s="21"/>
      <c r="R132" s="21"/>
    </row>
    <row r="133" spans="1:18" x14ac:dyDescent="0.25">
      <c r="A133" s="21">
        <f t="shared" si="2"/>
        <v>-0.23126379909578465</v>
      </c>
      <c r="B133" t="s">
        <v>50</v>
      </c>
      <c r="C133" s="21" t="str">
        <f t="shared" si="3"/>
        <v>B</v>
      </c>
      <c r="D133">
        <v>260</v>
      </c>
      <c r="E133">
        <v>199.87141223509599</v>
      </c>
      <c r="F133"/>
      <c r="M133"/>
      <c r="Q133" s="21"/>
      <c r="R133" s="21"/>
    </row>
    <row r="134" spans="1:18" x14ac:dyDescent="0.25">
      <c r="A134" s="21">
        <f t="shared" si="2"/>
        <v>-0.24058704982325096</v>
      </c>
      <c r="B134" t="s">
        <v>51</v>
      </c>
      <c r="C134" s="21" t="str">
        <f t="shared" si="3"/>
        <v>B</v>
      </c>
      <c r="D134">
        <v>263</v>
      </c>
      <c r="E134">
        <v>199.72560589648501</v>
      </c>
      <c r="F134"/>
      <c r="N134"/>
      <c r="Q134" s="21"/>
      <c r="R134" s="21"/>
    </row>
    <row r="135" spans="1:18" x14ac:dyDescent="0.25">
      <c r="A135" s="21">
        <f t="shared" si="2"/>
        <v>-0.3607625119630371</v>
      </c>
      <c r="B135" t="s">
        <v>51</v>
      </c>
      <c r="C135" s="21" t="str">
        <f t="shared" si="3"/>
        <v>B</v>
      </c>
      <c r="D135">
        <v>323</v>
      </c>
      <c r="E135">
        <v>206.473708635939</v>
      </c>
      <c r="F135"/>
      <c r="N135"/>
      <c r="Q135" s="21"/>
      <c r="R135" s="21"/>
    </row>
    <row r="136" spans="1:18" x14ac:dyDescent="0.25">
      <c r="A136" s="21">
        <f t="shared" si="2"/>
        <v>-0.30316043288203331</v>
      </c>
      <c r="B136" t="s">
        <v>51</v>
      </c>
      <c r="C136" s="21" t="str">
        <f t="shared" si="3"/>
        <v>B</v>
      </c>
      <c r="D136">
        <v>150</v>
      </c>
      <c r="E136">
        <v>104.525935067695</v>
      </c>
      <c r="F136"/>
      <c r="N136"/>
      <c r="Q136" s="21"/>
      <c r="R136" s="21"/>
    </row>
    <row r="137" spans="1:18" x14ac:dyDescent="0.25">
      <c r="A137" s="21">
        <f t="shared" si="2"/>
        <v>-3.4364725032603016E-2</v>
      </c>
      <c r="B137" t="s">
        <v>51</v>
      </c>
      <c r="C137" s="21" t="str">
        <f t="shared" si="3"/>
        <v>A</v>
      </c>
      <c r="D137">
        <v>131</v>
      </c>
      <c r="E137">
        <v>126.49822102072901</v>
      </c>
      <c r="F137"/>
      <c r="N137"/>
      <c r="Q137" s="21"/>
      <c r="R137" s="21"/>
    </row>
    <row r="138" spans="1:18" x14ac:dyDescent="0.25">
      <c r="A138" s="21">
        <f t="shared" si="2"/>
        <v>-0.18310414880477632</v>
      </c>
      <c r="B138" t="s">
        <v>51</v>
      </c>
      <c r="C138" s="21" t="str">
        <f t="shared" si="3"/>
        <v>A</v>
      </c>
      <c r="D138">
        <v>152</v>
      </c>
      <c r="E138">
        <v>124.16816938167401</v>
      </c>
      <c r="F138"/>
      <c r="N138"/>
      <c r="Q138" s="21"/>
      <c r="R138" s="21"/>
    </row>
    <row r="139" spans="1:18" x14ac:dyDescent="0.25">
      <c r="A139" s="21">
        <f t="shared" si="2"/>
        <v>-1.8823185129616116E-3</v>
      </c>
      <c r="B139" t="s">
        <v>51</v>
      </c>
      <c r="C139" s="21" t="str">
        <f t="shared" si="3"/>
        <v>A</v>
      </c>
      <c r="D139">
        <v>156</v>
      </c>
      <c r="E139">
        <v>155.70635831197799</v>
      </c>
      <c r="F139"/>
      <c r="N139"/>
      <c r="Q139" s="21"/>
      <c r="R139" s="21"/>
    </row>
    <row r="140" spans="1:18" x14ac:dyDescent="0.25">
      <c r="A140" s="21">
        <f t="shared" si="2"/>
        <v>9.7506220734160376E-3</v>
      </c>
      <c r="B140" t="s">
        <v>51</v>
      </c>
      <c r="C140" s="21" t="str">
        <f t="shared" si="3"/>
        <v>A</v>
      </c>
      <c r="D140">
        <v>93</v>
      </c>
      <c r="E140">
        <v>93.906807852827697</v>
      </c>
      <c r="F140"/>
      <c r="N140"/>
      <c r="Q140" s="21"/>
      <c r="R140" s="21"/>
    </row>
    <row r="141" spans="1:18" x14ac:dyDescent="0.25">
      <c r="A141" s="21">
        <f t="shared" si="2"/>
        <v>-0.17558906007061936</v>
      </c>
      <c r="B141" t="s">
        <v>51</v>
      </c>
      <c r="C141" s="21" t="str">
        <f t="shared" si="3"/>
        <v>A</v>
      </c>
      <c r="D141">
        <v>155</v>
      </c>
      <c r="E141">
        <v>127.783695689054</v>
      </c>
      <c r="F141"/>
      <c r="N141"/>
      <c r="Q141" s="21"/>
      <c r="R141" s="21"/>
    </row>
    <row r="142" spans="1:18" x14ac:dyDescent="0.25">
      <c r="A142" s="21">
        <f t="shared" si="2"/>
        <v>-0.12971976920072115</v>
      </c>
      <c r="B142" t="s">
        <v>52</v>
      </c>
      <c r="C142" s="21" t="str">
        <f t="shared" si="3"/>
        <v>A</v>
      </c>
      <c r="D142">
        <v>147</v>
      </c>
      <c r="E142">
        <v>127.93119392749399</v>
      </c>
      <c r="F142"/>
      <c r="O142"/>
      <c r="Q142" s="21"/>
      <c r="R142" s="21"/>
    </row>
    <row r="143" spans="1:18" x14ac:dyDescent="0.25">
      <c r="A143" s="21">
        <f t="shared" si="2"/>
        <v>-0.21561623188677859</v>
      </c>
      <c r="B143" t="s">
        <v>52</v>
      </c>
      <c r="C143" s="21" t="str">
        <f t="shared" si="3"/>
        <v>B</v>
      </c>
      <c r="D143">
        <v>112</v>
      </c>
      <c r="E143">
        <v>87.850982028680804</v>
      </c>
      <c r="F143"/>
      <c r="O143"/>
      <c r="Q143" s="21"/>
      <c r="R143" s="21"/>
    </row>
    <row r="144" spans="1:18" x14ac:dyDescent="0.25">
      <c r="A144" s="21">
        <f t="shared" si="2"/>
        <v>4.9944834975742536E-2</v>
      </c>
      <c r="B144" t="s">
        <v>52</v>
      </c>
      <c r="C144" s="21" t="str">
        <f t="shared" si="3"/>
        <v>A</v>
      </c>
      <c r="D144">
        <v>101</v>
      </c>
      <c r="E144">
        <v>106.04442833255</v>
      </c>
      <c r="F144"/>
      <c r="O144"/>
      <c r="Q144" s="21"/>
      <c r="R144" s="21"/>
    </row>
    <row r="145" spans="1:18" x14ac:dyDescent="0.25">
      <c r="A145" s="21">
        <f t="shared" si="2"/>
        <v>-0.26235105494453603</v>
      </c>
      <c r="B145" t="s">
        <v>52</v>
      </c>
      <c r="C145" s="21" t="str">
        <f t="shared" si="3"/>
        <v>B</v>
      </c>
      <c r="D145">
        <v>173.5</v>
      </c>
      <c r="E145">
        <v>127.982091967123</v>
      </c>
      <c r="F145"/>
      <c r="O145"/>
      <c r="Q145" s="21"/>
      <c r="R145" s="21"/>
    </row>
    <row r="146" spans="1:18" x14ac:dyDescent="0.25">
      <c r="A146" s="21">
        <f t="shared" si="2"/>
        <v>-7.1859517030943287E-2</v>
      </c>
      <c r="B146" t="s">
        <v>52</v>
      </c>
      <c r="C146" s="21" t="str">
        <f t="shared" si="3"/>
        <v>A</v>
      </c>
      <c r="D146">
        <v>141</v>
      </c>
      <c r="E146">
        <v>130.867808098637</v>
      </c>
      <c r="F146"/>
      <c r="O146"/>
      <c r="Q146" s="21"/>
      <c r="R146" s="21"/>
    </row>
    <row r="147" spans="1:18" x14ac:dyDescent="0.25">
      <c r="A147" s="21">
        <f t="shared" si="2"/>
        <v>-0.15471571927496819</v>
      </c>
      <c r="B147" t="s">
        <v>53</v>
      </c>
      <c r="C147" s="21" t="str">
        <f t="shared" si="3"/>
        <v>A</v>
      </c>
      <c r="D147">
        <v>157</v>
      </c>
      <c r="E147">
        <v>132.70963207382999</v>
      </c>
      <c r="F147"/>
      <c r="O147"/>
      <c r="Q147" s="21"/>
      <c r="R147" s="21"/>
    </row>
    <row r="148" spans="1:18" x14ac:dyDescent="0.25">
      <c r="A148" s="21">
        <f t="shared" si="2"/>
        <v>0.10008441717207228</v>
      </c>
      <c r="B148" t="s">
        <v>53</v>
      </c>
      <c r="C148" s="21" t="str">
        <f t="shared" si="3"/>
        <v>A</v>
      </c>
      <c r="D148">
        <v>138.25</v>
      </c>
      <c r="E148">
        <v>152.086670674039</v>
      </c>
      <c r="F148"/>
      <c r="O148"/>
      <c r="Q148" s="21"/>
      <c r="R148" s="21"/>
    </row>
    <row r="149" spans="1:18" x14ac:dyDescent="0.25">
      <c r="A149" s="21">
        <f t="shared" si="2"/>
        <v>0.37413376934772069</v>
      </c>
      <c r="B149" t="s">
        <v>53</v>
      </c>
      <c r="C149" s="21" t="str">
        <f t="shared" si="3"/>
        <v>B</v>
      </c>
      <c r="D149">
        <v>111</v>
      </c>
      <c r="E149">
        <v>152.52884839759699</v>
      </c>
      <c r="F149"/>
      <c r="O149"/>
      <c r="Q149" s="21"/>
      <c r="R149" s="21"/>
    </row>
    <row r="150" spans="1:18" x14ac:dyDescent="0.25">
      <c r="A150" s="21">
        <f t="shared" si="2"/>
        <v>-4.2094319934964042E-2</v>
      </c>
      <c r="B150" t="s">
        <v>53</v>
      </c>
      <c r="C150" s="21" t="str">
        <f t="shared" si="3"/>
        <v>A</v>
      </c>
      <c r="D150">
        <v>111</v>
      </c>
      <c r="E150">
        <v>106.32753048721899</v>
      </c>
      <c r="F150"/>
      <c r="O150"/>
      <c r="Q150" s="21"/>
      <c r="R150" s="21"/>
    </row>
    <row r="151" spans="1:18" x14ac:dyDescent="0.25">
      <c r="A151" s="21">
        <f t="shared" si="2"/>
        <v>5.1032175560603132E-2</v>
      </c>
      <c r="B151" t="s">
        <v>53</v>
      </c>
      <c r="C151" s="21" t="str">
        <f t="shared" si="3"/>
        <v>A</v>
      </c>
      <c r="D151">
        <v>95</v>
      </c>
      <c r="E151">
        <v>99.848056678257294</v>
      </c>
      <c r="F151"/>
      <c r="O151"/>
      <c r="Q151" s="21"/>
      <c r="R151" s="21"/>
    </row>
    <row r="152" spans="1:18" x14ac:dyDescent="0.25">
      <c r="A152" s="21">
        <f t="shared" si="2"/>
        <v>-0.2185673509190863</v>
      </c>
      <c r="C152" s="21" t="str">
        <f t="shared" si="3"/>
        <v>B</v>
      </c>
      <c r="D152">
        <v>156.5</v>
      </c>
      <c r="E152">
        <v>122.294209581163</v>
      </c>
      <c r="F152"/>
      <c r="Q152" s="21"/>
      <c r="R152" s="21"/>
    </row>
    <row r="153" spans="1:18" x14ac:dyDescent="0.25">
      <c r="A153" s="21">
        <f t="shared" si="2"/>
        <v>0.17139342087343978</v>
      </c>
      <c r="C153" s="21" t="str">
        <f t="shared" si="3"/>
        <v>A</v>
      </c>
      <c r="D153">
        <v>116</v>
      </c>
      <c r="E153">
        <v>135.88163682131901</v>
      </c>
      <c r="F153"/>
      <c r="Q153" s="21"/>
      <c r="R153" s="21"/>
    </row>
    <row r="154" spans="1:18" x14ac:dyDescent="0.25">
      <c r="A154" s="21">
        <f t="shared" si="2"/>
        <v>-5.6606019661966878E-2</v>
      </c>
      <c r="C154" s="21" t="str">
        <f t="shared" si="3"/>
        <v>A</v>
      </c>
      <c r="D154">
        <v>121</v>
      </c>
      <c r="E154">
        <v>114.150671620902</v>
      </c>
      <c r="F154"/>
      <c r="Q154" s="21"/>
      <c r="R154" s="21"/>
    </row>
    <row r="155" spans="1:18" x14ac:dyDescent="0.25">
      <c r="A155" s="21">
        <f t="shared" si="2"/>
        <v>-0.20050083160214838</v>
      </c>
      <c r="C155" s="21" t="str">
        <f t="shared" si="3"/>
        <v>B</v>
      </c>
      <c r="D155">
        <v>108.5</v>
      </c>
      <c r="E155">
        <v>86.745659771166899</v>
      </c>
      <c r="F155"/>
      <c r="Q155" s="21"/>
      <c r="R155" s="21"/>
    </row>
    <row r="156" spans="1:18" x14ac:dyDescent="0.25">
      <c r="A156" s="21">
        <f t="shared" si="2"/>
        <v>-0.43444444339857491</v>
      </c>
      <c r="C156" s="21" t="str">
        <f t="shared" si="3"/>
        <v>B</v>
      </c>
      <c r="D156">
        <v>203.5</v>
      </c>
      <c r="E156">
        <v>115.09055576839</v>
      </c>
      <c r="F156"/>
      <c r="Q156" s="21"/>
      <c r="R156" s="21"/>
    </row>
    <row r="157" spans="1:18" x14ac:dyDescent="0.25">
      <c r="A157" s="21">
        <f t="shared" si="2"/>
        <v>-0.49454681643996856</v>
      </c>
      <c r="C157" s="21" t="str">
        <f t="shared" si="3"/>
        <v>B</v>
      </c>
      <c r="D157">
        <v>159</v>
      </c>
      <c r="E157">
        <v>80.367056186045005</v>
      </c>
      <c r="F157"/>
      <c r="Q157" s="21"/>
      <c r="R157" s="21"/>
    </row>
    <row r="158" spans="1:18" x14ac:dyDescent="0.25">
      <c r="A158" s="21">
        <f t="shared" si="2"/>
        <v>-0.14404069728390112</v>
      </c>
      <c r="C158" s="21" t="str">
        <f t="shared" si="3"/>
        <v>A</v>
      </c>
      <c r="D158">
        <v>91</v>
      </c>
      <c r="E158">
        <v>77.892296547165003</v>
      </c>
      <c r="F158"/>
      <c r="Q158" s="21"/>
      <c r="R158" s="21"/>
    </row>
    <row r="159" spans="1:18" x14ac:dyDescent="0.25">
      <c r="A159" s="21">
        <f t="shared" si="2"/>
        <v>-7.9970092250345237E-2</v>
      </c>
      <c r="C159" s="21" t="str">
        <f t="shared" si="3"/>
        <v>A</v>
      </c>
      <c r="D159">
        <v>87.5</v>
      </c>
      <c r="E159">
        <v>80.502616928094795</v>
      </c>
      <c r="F159"/>
      <c r="Q159" s="21"/>
      <c r="R159" s="21"/>
    </row>
    <row r="160" spans="1:18" x14ac:dyDescent="0.25">
      <c r="A160" s="21">
        <f t="shared" si="2"/>
        <v>-0.35344580994867714</v>
      </c>
      <c r="C160" s="21" t="str">
        <f t="shared" si="3"/>
        <v>B</v>
      </c>
      <c r="D160">
        <v>131</v>
      </c>
      <c r="E160">
        <v>84.698598896723297</v>
      </c>
      <c r="F160"/>
      <c r="Q160" s="21"/>
      <c r="R160" s="21"/>
    </row>
    <row r="161" spans="1:18" x14ac:dyDescent="0.25">
      <c r="A161" s="21">
        <f t="shared" si="2"/>
        <v>-0.26502853523016512</v>
      </c>
      <c r="C161" s="21" t="str">
        <f t="shared" si="3"/>
        <v>B</v>
      </c>
      <c r="D161">
        <v>117.5</v>
      </c>
      <c r="E161">
        <v>86.359147110455595</v>
      </c>
      <c r="F161"/>
      <c r="Q161" s="21"/>
      <c r="R161" s="21"/>
    </row>
    <row r="162" spans="1:18" x14ac:dyDescent="0.25">
      <c r="A162" s="21">
        <f t="shared" si="2"/>
        <v>-3.5956432059828458E-2</v>
      </c>
      <c r="C162" s="21" t="str">
        <f t="shared" si="3"/>
        <v>A</v>
      </c>
      <c r="D162">
        <v>105</v>
      </c>
      <c r="E162">
        <v>101.22457463371801</v>
      </c>
      <c r="F162"/>
      <c r="Q162" s="21"/>
      <c r="R162" s="21"/>
    </row>
    <row r="163" spans="1:18" x14ac:dyDescent="0.25">
      <c r="A163" s="21">
        <f t="shared" si="2"/>
        <v>-0.11298338764623239</v>
      </c>
      <c r="C163" s="21" t="str">
        <f t="shared" si="3"/>
        <v>A</v>
      </c>
      <c r="D163">
        <v>95.5</v>
      </c>
      <c r="E163">
        <v>84.710086479784806</v>
      </c>
      <c r="F163"/>
      <c r="Q163" s="21"/>
      <c r="R163" s="21"/>
    </row>
    <row r="164" spans="1:18" x14ac:dyDescent="0.25">
      <c r="A164" s="21">
        <f t="shared" si="2"/>
        <v>-0.43669676716076256</v>
      </c>
      <c r="C164" s="21" t="str">
        <f t="shared" si="3"/>
        <v>B</v>
      </c>
      <c r="D164">
        <v>219</v>
      </c>
      <c r="E164">
        <v>123.363407991793</v>
      </c>
      <c r="F164"/>
      <c r="Q164" s="21"/>
      <c r="R164" s="21"/>
    </row>
    <row r="165" spans="1:18" x14ac:dyDescent="0.25">
      <c r="A165" s="21">
        <f t="shared" si="2"/>
        <v>-0.32709154318781208</v>
      </c>
      <c r="C165" s="21" t="str">
        <f t="shared" si="3"/>
        <v>B</v>
      </c>
      <c r="D165">
        <v>197</v>
      </c>
      <c r="E165">
        <v>132.56296599200101</v>
      </c>
      <c r="F165"/>
      <c r="Q165" s="21"/>
      <c r="R165" s="21"/>
    </row>
    <row r="166" spans="1:18" x14ac:dyDescent="0.25">
      <c r="A166" s="21">
        <f t="shared" si="2"/>
        <v>-0.26124899240646104</v>
      </c>
      <c r="C166" s="21" t="str">
        <f t="shared" si="3"/>
        <v>B</v>
      </c>
      <c r="D166">
        <v>154</v>
      </c>
      <c r="E166">
        <v>113.767655169405</v>
      </c>
      <c r="F166"/>
      <c r="Q166" s="21"/>
      <c r="R166" s="21"/>
    </row>
    <row r="167" spans="1:18" x14ac:dyDescent="0.25">
      <c r="A167" s="21">
        <f t="shared" si="2"/>
        <v>0.18415660616845964</v>
      </c>
      <c r="C167" s="21" t="str">
        <f t="shared" ref="C167:C230" si="4">IF(OR(A167&gt;=20%,A167&lt;=-20%),"B","A")</f>
        <v>A</v>
      </c>
      <c r="D167">
        <v>87</v>
      </c>
      <c r="E167">
        <v>103.02162473665599</v>
      </c>
      <c r="F167"/>
    </row>
    <row r="168" spans="1:18" x14ac:dyDescent="0.25">
      <c r="A168" s="21">
        <f t="shared" ref="A168:A231" si="5">E168/D168-1</f>
        <v>-0.30671630925722582</v>
      </c>
      <c r="C168" s="21" t="str">
        <f t="shared" si="4"/>
        <v>B</v>
      </c>
      <c r="D168">
        <v>155</v>
      </c>
      <c r="E168">
        <v>107.45897206513</v>
      </c>
      <c r="F168"/>
    </row>
    <row r="169" spans="1:18" x14ac:dyDescent="0.25">
      <c r="A169" s="21">
        <f t="shared" si="5"/>
        <v>-2.9772591003054516E-2</v>
      </c>
      <c r="C169" s="21" t="str">
        <f t="shared" si="4"/>
        <v>A</v>
      </c>
      <c r="D169">
        <v>110</v>
      </c>
      <c r="E169">
        <v>106.725014989664</v>
      </c>
      <c r="F169"/>
    </row>
    <row r="170" spans="1:18" x14ac:dyDescent="0.25">
      <c r="A170" s="21">
        <f t="shared" si="5"/>
        <v>0.27089363931655175</v>
      </c>
      <c r="C170" s="21" t="str">
        <f t="shared" si="4"/>
        <v>B</v>
      </c>
      <c r="D170">
        <v>87</v>
      </c>
      <c r="E170">
        <v>110.56774662054001</v>
      </c>
    </row>
    <row r="171" spans="1:18" x14ac:dyDescent="0.25">
      <c r="A171" s="21">
        <f t="shared" si="5"/>
        <v>-1.5596792155981865E-2</v>
      </c>
      <c r="C171" s="21" t="str">
        <f t="shared" si="4"/>
        <v>A</v>
      </c>
      <c r="D171">
        <v>110</v>
      </c>
      <c r="E171">
        <v>108.284352862842</v>
      </c>
      <c r="F171"/>
    </row>
    <row r="172" spans="1:18" x14ac:dyDescent="0.25">
      <c r="A172" s="21">
        <f t="shared" si="5"/>
        <v>1.4490985141875079E-2</v>
      </c>
      <c r="C172" s="21" t="str">
        <f t="shared" si="4"/>
        <v>A</v>
      </c>
      <c r="D172">
        <v>104</v>
      </c>
      <c r="E172">
        <v>105.507062454755</v>
      </c>
      <c r="F172"/>
    </row>
    <row r="173" spans="1:18" x14ac:dyDescent="0.25">
      <c r="A173" s="21">
        <f t="shared" si="5"/>
        <v>4.0745565933893779E-2</v>
      </c>
      <c r="C173" s="21" t="str">
        <f t="shared" si="4"/>
        <v>A</v>
      </c>
      <c r="D173">
        <v>113</v>
      </c>
      <c r="E173">
        <v>117.60424895053001</v>
      </c>
      <c r="F173"/>
    </row>
    <row r="174" spans="1:18" x14ac:dyDescent="0.25">
      <c r="A174" s="21">
        <f t="shared" si="5"/>
        <v>-0.34255002590316741</v>
      </c>
      <c r="C174" s="21" t="str">
        <f t="shared" si="4"/>
        <v>B</v>
      </c>
      <c r="D174">
        <v>120</v>
      </c>
      <c r="E174">
        <v>78.893996891619906</v>
      </c>
      <c r="F174"/>
    </row>
    <row r="175" spans="1:18" x14ac:dyDescent="0.25">
      <c r="A175" s="21">
        <f t="shared" si="5"/>
        <v>-0.10595964619830622</v>
      </c>
      <c r="C175" s="21" t="str">
        <f t="shared" si="4"/>
        <v>A</v>
      </c>
      <c r="D175">
        <v>96</v>
      </c>
      <c r="E175">
        <v>85.827873964962606</v>
      </c>
      <c r="F175"/>
    </row>
    <row r="176" spans="1:18" x14ac:dyDescent="0.25">
      <c r="A176" s="21">
        <f t="shared" si="5"/>
        <v>2.8865565541202454E-2</v>
      </c>
      <c r="C176" s="21" t="str">
        <f t="shared" si="4"/>
        <v>A</v>
      </c>
      <c r="D176">
        <v>84</v>
      </c>
      <c r="E176">
        <v>86.424707505461001</v>
      </c>
      <c r="F176"/>
    </row>
    <row r="177" spans="1:6" x14ac:dyDescent="0.25">
      <c r="A177" s="21">
        <f t="shared" si="5"/>
        <v>-0.24004799755027673</v>
      </c>
      <c r="C177" s="21" t="str">
        <f t="shared" si="4"/>
        <v>B</v>
      </c>
      <c r="D177">
        <v>107</v>
      </c>
      <c r="E177">
        <v>81.314864262120395</v>
      </c>
      <c r="F177"/>
    </row>
    <row r="178" spans="1:6" x14ac:dyDescent="0.25">
      <c r="A178" s="21">
        <f t="shared" si="5"/>
        <v>-0.13544305197997897</v>
      </c>
      <c r="C178" s="21" t="str">
        <f t="shared" si="4"/>
        <v>A</v>
      </c>
      <c r="D178">
        <v>105</v>
      </c>
      <c r="E178">
        <v>90.778479542102204</v>
      </c>
      <c r="F178"/>
    </row>
    <row r="179" spans="1:6" x14ac:dyDescent="0.25">
      <c r="A179" s="21">
        <f t="shared" si="5"/>
        <v>7.9400333744007234E-2</v>
      </c>
      <c r="C179" s="21" t="str">
        <f t="shared" si="4"/>
        <v>A</v>
      </c>
      <c r="D179">
        <v>82</v>
      </c>
      <c r="E179">
        <v>88.510827367008602</v>
      </c>
      <c r="F179"/>
    </row>
    <row r="180" spans="1:6" x14ac:dyDescent="0.25">
      <c r="A180" s="21">
        <f t="shared" si="5"/>
        <v>-0.41919032356778196</v>
      </c>
      <c r="C180" s="21" t="str">
        <f t="shared" si="4"/>
        <v>B</v>
      </c>
      <c r="D180">
        <v>150</v>
      </c>
      <c r="E180">
        <v>87.121451464832703</v>
      </c>
      <c r="F180"/>
    </row>
    <row r="181" spans="1:6" x14ac:dyDescent="0.25">
      <c r="A181" s="21">
        <f t="shared" si="5"/>
        <v>-0.27532060060740793</v>
      </c>
      <c r="C181" s="21" t="str">
        <f t="shared" si="4"/>
        <v>B</v>
      </c>
      <c r="D181">
        <v>126</v>
      </c>
      <c r="E181">
        <v>91.309604323466601</v>
      </c>
      <c r="F181"/>
    </row>
    <row r="182" spans="1:6" x14ac:dyDescent="0.25">
      <c r="A182" s="21">
        <f t="shared" si="5"/>
        <v>0.19013706853555323</v>
      </c>
      <c r="C182" s="21" t="str">
        <f t="shared" si="4"/>
        <v>A</v>
      </c>
      <c r="D182">
        <v>94</v>
      </c>
      <c r="E182">
        <v>111.872884442342</v>
      </c>
      <c r="F182"/>
    </row>
    <row r="183" spans="1:6" x14ac:dyDescent="0.25">
      <c r="A183" s="21">
        <f t="shared" si="5"/>
        <v>5.5259576447766356E-2</v>
      </c>
      <c r="C183" s="21" t="str">
        <f t="shared" si="4"/>
        <v>A</v>
      </c>
      <c r="D183">
        <v>86</v>
      </c>
      <c r="E183">
        <v>90.752323574507898</v>
      </c>
      <c r="F183"/>
    </row>
    <row r="184" spans="1:6" x14ac:dyDescent="0.25">
      <c r="A184" s="21">
        <f t="shared" si="5"/>
        <v>-0.37123243065877154</v>
      </c>
      <c r="C184" s="21" t="str">
        <f t="shared" si="4"/>
        <v>B</v>
      </c>
      <c r="D184">
        <v>137</v>
      </c>
      <c r="E184">
        <v>86.141156999748304</v>
      </c>
      <c r="F184"/>
    </row>
    <row r="185" spans="1:6" x14ac:dyDescent="0.25">
      <c r="A185" s="21">
        <f t="shared" si="5"/>
        <v>-0.20126600193283517</v>
      </c>
      <c r="C185" s="21" t="str">
        <f t="shared" si="4"/>
        <v>B</v>
      </c>
      <c r="D185">
        <v>108</v>
      </c>
      <c r="E185">
        <v>86.2632717912538</v>
      </c>
      <c r="F185"/>
    </row>
    <row r="186" spans="1:6" x14ac:dyDescent="0.25">
      <c r="A186" s="21">
        <f t="shared" si="5"/>
        <v>-0.15005441363326055</v>
      </c>
      <c r="C186" s="21" t="str">
        <f t="shared" si="4"/>
        <v>A</v>
      </c>
      <c r="D186">
        <v>104</v>
      </c>
      <c r="E186">
        <v>88.394340982140903</v>
      </c>
      <c r="F186"/>
    </row>
    <row r="187" spans="1:6" x14ac:dyDescent="0.25">
      <c r="A187" s="21">
        <f t="shared" si="5"/>
        <v>8.8701928944742381E-2</v>
      </c>
      <c r="C187" s="21" t="str">
        <f t="shared" si="4"/>
        <v>A</v>
      </c>
      <c r="D187">
        <v>80</v>
      </c>
      <c r="E187">
        <v>87.096154315579398</v>
      </c>
      <c r="F187"/>
    </row>
    <row r="188" spans="1:6" x14ac:dyDescent="0.25">
      <c r="A188" s="21">
        <f t="shared" si="5"/>
        <v>-0.41742790670824736</v>
      </c>
      <c r="C188" s="21" t="str">
        <f t="shared" si="4"/>
        <v>B</v>
      </c>
      <c r="D188">
        <v>150</v>
      </c>
      <c r="E188">
        <v>87.385813993762895</v>
      </c>
      <c r="F188"/>
    </row>
    <row r="189" spans="1:6" x14ac:dyDescent="0.25">
      <c r="A189" s="21">
        <f t="shared" si="5"/>
        <v>0.17089017177099075</v>
      </c>
      <c r="C189" s="21" t="str">
        <f t="shared" si="4"/>
        <v>A</v>
      </c>
      <c r="D189">
        <v>110</v>
      </c>
      <c r="E189">
        <v>128.79791889480899</v>
      </c>
      <c r="F189"/>
    </row>
    <row r="190" spans="1:6" x14ac:dyDescent="0.25">
      <c r="A190" s="21">
        <f t="shared" si="5"/>
        <v>-3.6907078057539122E-2</v>
      </c>
      <c r="C190" s="21" t="str">
        <f t="shared" si="4"/>
        <v>A</v>
      </c>
      <c r="D190">
        <v>92</v>
      </c>
      <c r="E190">
        <v>88.604548818706405</v>
      </c>
      <c r="F190"/>
    </row>
    <row r="191" spans="1:6" x14ac:dyDescent="0.25">
      <c r="A191" s="21">
        <f t="shared" si="5"/>
        <v>6.1266516756421252E-2</v>
      </c>
      <c r="C191" s="21" t="str">
        <f t="shared" si="4"/>
        <v>A</v>
      </c>
      <c r="D191">
        <v>84</v>
      </c>
      <c r="E191">
        <v>89.146387407539393</v>
      </c>
      <c r="F191"/>
    </row>
    <row r="192" spans="1:6" x14ac:dyDescent="0.25">
      <c r="A192" s="21">
        <f t="shared" si="5"/>
        <v>-0.20169791333477238</v>
      </c>
      <c r="C192" s="21" t="str">
        <f t="shared" si="4"/>
        <v>B</v>
      </c>
      <c r="D192">
        <v>145</v>
      </c>
      <c r="E192">
        <v>115.75380256645801</v>
      </c>
      <c r="F192"/>
    </row>
    <row r="193" spans="1:6" x14ac:dyDescent="0.25">
      <c r="A193" s="21">
        <f t="shared" si="5"/>
        <v>-0.27674211685844796</v>
      </c>
      <c r="C193" s="21" t="str">
        <f t="shared" si="4"/>
        <v>B</v>
      </c>
      <c r="D193">
        <v>123</v>
      </c>
      <c r="E193">
        <v>88.960719626410906</v>
      </c>
      <c r="F193"/>
    </row>
    <row r="194" spans="1:6" x14ac:dyDescent="0.25">
      <c r="A194" s="21">
        <f t="shared" si="5"/>
        <v>-0.15073269977485193</v>
      </c>
      <c r="C194" s="21" t="str">
        <f t="shared" si="4"/>
        <v>A</v>
      </c>
      <c r="D194">
        <v>100</v>
      </c>
      <c r="E194">
        <v>84.926730022514803</v>
      </c>
      <c r="F194"/>
    </row>
    <row r="195" spans="1:6" x14ac:dyDescent="0.25">
      <c r="A195" s="21">
        <f t="shared" si="5"/>
        <v>-5.4864918185413281E-3</v>
      </c>
      <c r="C195" s="21" t="str">
        <f t="shared" si="4"/>
        <v>A</v>
      </c>
      <c r="D195">
        <v>87</v>
      </c>
      <c r="E195">
        <v>86.522675211786904</v>
      </c>
      <c r="F195"/>
    </row>
    <row r="196" spans="1:6" x14ac:dyDescent="0.25">
      <c r="A196" s="21">
        <f t="shared" si="5"/>
        <v>4.0410337353860015E-3</v>
      </c>
      <c r="C196" s="21" t="str">
        <f t="shared" si="4"/>
        <v>A</v>
      </c>
      <c r="D196">
        <v>86</v>
      </c>
      <c r="E196">
        <v>86.347528901243194</v>
      </c>
      <c r="F196"/>
    </row>
    <row r="197" spans="1:6" x14ac:dyDescent="0.25">
      <c r="A197" s="21">
        <f t="shared" si="5"/>
        <v>-0.31665752227874122</v>
      </c>
      <c r="C197" s="21" t="str">
        <f t="shared" si="4"/>
        <v>B</v>
      </c>
      <c r="D197">
        <v>126</v>
      </c>
      <c r="E197">
        <v>86.101152192878601</v>
      </c>
      <c r="F197"/>
    </row>
    <row r="198" spans="1:6" x14ac:dyDescent="0.25">
      <c r="A198" s="21">
        <f t="shared" si="5"/>
        <v>-0.19094462316959004</v>
      </c>
      <c r="C198" s="21" t="str">
        <f t="shared" si="4"/>
        <v>A</v>
      </c>
      <c r="D198">
        <v>110</v>
      </c>
      <c r="E198">
        <v>88.996091451345094</v>
      </c>
      <c r="F198"/>
    </row>
    <row r="199" spans="1:6" x14ac:dyDescent="0.25">
      <c r="A199" s="21">
        <f t="shared" si="5"/>
        <v>-8.8814261951050577E-2</v>
      </c>
      <c r="C199" s="21" t="str">
        <f t="shared" si="4"/>
        <v>A</v>
      </c>
      <c r="D199">
        <v>95</v>
      </c>
      <c r="E199">
        <v>86.562645114650195</v>
      </c>
      <c r="F199"/>
    </row>
    <row r="200" spans="1:6" x14ac:dyDescent="0.25">
      <c r="A200" s="21">
        <f t="shared" si="5"/>
        <v>-1.1646965442478341E-2</v>
      </c>
      <c r="C200" s="21" t="str">
        <f t="shared" si="4"/>
        <v>A</v>
      </c>
      <c r="D200">
        <v>88</v>
      </c>
      <c r="E200">
        <v>86.975067041061905</v>
      </c>
      <c r="F200"/>
    </row>
    <row r="201" spans="1:6" x14ac:dyDescent="0.25">
      <c r="A201" s="21">
        <f t="shared" si="5"/>
        <v>-0.41825988534128522</v>
      </c>
      <c r="C201" s="21" t="str">
        <f t="shared" si="4"/>
        <v>B</v>
      </c>
      <c r="D201">
        <v>149</v>
      </c>
      <c r="E201">
        <v>86.679277084148495</v>
      </c>
      <c r="F201"/>
    </row>
    <row r="202" spans="1:6" x14ac:dyDescent="0.25">
      <c r="A202" s="21">
        <f t="shared" si="5"/>
        <v>-0.38396785794644617</v>
      </c>
      <c r="C202" s="21" t="str">
        <f t="shared" si="4"/>
        <v>B</v>
      </c>
      <c r="D202">
        <v>143</v>
      </c>
      <c r="E202">
        <v>88.092596313658206</v>
      </c>
      <c r="F202"/>
    </row>
    <row r="203" spans="1:6" x14ac:dyDescent="0.25">
      <c r="A203" s="21">
        <f t="shared" si="5"/>
        <v>-0.3522603488396564</v>
      </c>
      <c r="C203" s="21" t="str">
        <f t="shared" si="4"/>
        <v>B</v>
      </c>
      <c r="D203">
        <v>133</v>
      </c>
      <c r="E203">
        <v>86.149373604325703</v>
      </c>
      <c r="F203"/>
    </row>
    <row r="204" spans="1:6" x14ac:dyDescent="0.25">
      <c r="A204" s="21">
        <f t="shared" si="5"/>
        <v>4.7953764995614101E-3</v>
      </c>
      <c r="C204" s="21" t="str">
        <f t="shared" si="4"/>
        <v>A</v>
      </c>
      <c r="D204">
        <v>88</v>
      </c>
      <c r="E204">
        <v>88.421993131961401</v>
      </c>
      <c r="F204"/>
    </row>
    <row r="205" spans="1:6" x14ac:dyDescent="0.25">
      <c r="A205" s="21">
        <f t="shared" si="5"/>
        <v>3.7782499290758942E-2</v>
      </c>
      <c r="C205" s="21" t="str">
        <f t="shared" si="4"/>
        <v>A</v>
      </c>
      <c r="D205">
        <v>83</v>
      </c>
      <c r="E205">
        <v>86.135947441132998</v>
      </c>
      <c r="F205"/>
    </row>
    <row r="206" spans="1:6" x14ac:dyDescent="0.25">
      <c r="A206" s="21">
        <f t="shared" si="5"/>
        <v>-0.40016215633541463</v>
      </c>
      <c r="C206" s="21" t="str">
        <f t="shared" si="4"/>
        <v>B</v>
      </c>
      <c r="D206">
        <v>143</v>
      </c>
      <c r="E206">
        <v>85.776811644035703</v>
      </c>
      <c r="F206"/>
    </row>
    <row r="207" spans="1:6" x14ac:dyDescent="0.25">
      <c r="A207" s="21">
        <f t="shared" si="5"/>
        <v>-0.23715471647954922</v>
      </c>
      <c r="C207" s="21" t="str">
        <f t="shared" si="4"/>
        <v>B</v>
      </c>
      <c r="D207">
        <v>114</v>
      </c>
      <c r="E207">
        <v>86.964362321331393</v>
      </c>
      <c r="F207"/>
    </row>
    <row r="208" spans="1:6" x14ac:dyDescent="0.25">
      <c r="A208" s="21">
        <f t="shared" si="5"/>
        <v>-0.24257682780699819</v>
      </c>
      <c r="C208" s="21" t="str">
        <f t="shared" si="4"/>
        <v>B</v>
      </c>
      <c r="D208">
        <v>108</v>
      </c>
      <c r="E208">
        <v>81.801702596844194</v>
      </c>
      <c r="F208"/>
    </row>
    <row r="209" spans="1:6" x14ac:dyDescent="0.25">
      <c r="A209" s="21">
        <f t="shared" si="5"/>
        <v>7.9348786735232935E-2</v>
      </c>
      <c r="C209" s="21" t="str">
        <f t="shared" si="4"/>
        <v>A</v>
      </c>
      <c r="D209">
        <v>79</v>
      </c>
      <c r="E209">
        <v>85.268554152083397</v>
      </c>
      <c r="F209"/>
    </row>
    <row r="210" spans="1:6" x14ac:dyDescent="0.25">
      <c r="A210" s="21">
        <f t="shared" si="5"/>
        <v>-0.39071268141942894</v>
      </c>
      <c r="C210" s="21" t="str">
        <f t="shared" si="4"/>
        <v>B</v>
      </c>
      <c r="D210">
        <v>135</v>
      </c>
      <c r="E210">
        <v>82.2537880083771</v>
      </c>
      <c r="F210"/>
    </row>
    <row r="211" spans="1:6" x14ac:dyDescent="0.25">
      <c r="A211" s="21">
        <f t="shared" si="5"/>
        <v>-0.22842307864231093</v>
      </c>
      <c r="C211" s="21" t="str">
        <f t="shared" si="4"/>
        <v>B</v>
      </c>
      <c r="D211">
        <v>119</v>
      </c>
      <c r="E211">
        <v>91.817653641565002</v>
      </c>
      <c r="F211"/>
    </row>
    <row r="212" spans="1:6" x14ac:dyDescent="0.25">
      <c r="A212" s="21">
        <f t="shared" si="5"/>
        <v>-0.20915672751624581</v>
      </c>
      <c r="C212" s="21" t="str">
        <f t="shared" si="4"/>
        <v>B</v>
      </c>
      <c r="D212">
        <v>107</v>
      </c>
      <c r="E212">
        <v>84.620230155761703</v>
      </c>
      <c r="F212"/>
    </row>
    <row r="213" spans="1:6" x14ac:dyDescent="0.25">
      <c r="A213" s="21">
        <f t="shared" si="5"/>
        <v>-0.40139248051799725</v>
      </c>
      <c r="C213" s="21" t="str">
        <f t="shared" si="4"/>
        <v>B</v>
      </c>
      <c r="D213">
        <v>146</v>
      </c>
      <c r="E213">
        <v>87.396697844372397</v>
      </c>
      <c r="F213"/>
    </row>
    <row r="214" spans="1:6" x14ac:dyDescent="0.25">
      <c r="A214" s="21">
        <f t="shared" si="5"/>
        <v>-0.23121696899890654</v>
      </c>
      <c r="C214" s="21" t="str">
        <f t="shared" si="4"/>
        <v>B</v>
      </c>
      <c r="D214">
        <v>121</v>
      </c>
      <c r="E214">
        <v>93.022746751132303</v>
      </c>
      <c r="F214"/>
    </row>
    <row r="215" spans="1:6" x14ac:dyDescent="0.25">
      <c r="A215" s="21">
        <f t="shared" si="5"/>
        <v>-3.5333165502062225E-2</v>
      </c>
      <c r="C215" s="21" t="str">
        <f t="shared" si="4"/>
        <v>A</v>
      </c>
      <c r="D215">
        <v>90</v>
      </c>
      <c r="E215">
        <v>86.820015104814402</v>
      </c>
      <c r="F215"/>
    </row>
    <row r="216" spans="1:6" x14ac:dyDescent="0.25">
      <c r="A216" s="21">
        <f t="shared" si="5"/>
        <v>2.4712825255051252E-2</v>
      </c>
      <c r="C216" s="21" t="str">
        <f t="shared" si="4"/>
        <v>A</v>
      </c>
      <c r="D216">
        <v>86</v>
      </c>
      <c r="E216">
        <v>88.125302971934403</v>
      </c>
      <c r="F216"/>
    </row>
    <row r="217" spans="1:6" x14ac:dyDescent="0.25">
      <c r="A217" s="21">
        <f t="shared" si="5"/>
        <v>-0.34367465362235228</v>
      </c>
      <c r="C217" s="21" t="str">
        <f t="shared" si="4"/>
        <v>B</v>
      </c>
      <c r="D217">
        <v>132</v>
      </c>
      <c r="E217">
        <v>86.634945721849505</v>
      </c>
      <c r="F217"/>
    </row>
    <row r="218" spans="1:6" x14ac:dyDescent="0.25">
      <c r="A218" s="21">
        <f t="shared" si="5"/>
        <v>-0.17090645226950452</v>
      </c>
      <c r="C218" s="21" t="str">
        <f t="shared" si="4"/>
        <v>A</v>
      </c>
      <c r="D218">
        <v>109</v>
      </c>
      <c r="E218">
        <v>90.371196702624005</v>
      </c>
      <c r="F218"/>
    </row>
    <row r="219" spans="1:6" x14ac:dyDescent="0.25">
      <c r="A219" s="21">
        <f t="shared" si="5"/>
        <v>2.3231547517081008E-2</v>
      </c>
      <c r="C219" s="21" t="str">
        <f t="shared" si="4"/>
        <v>A</v>
      </c>
      <c r="D219">
        <v>95</v>
      </c>
      <c r="E219">
        <v>97.206997014122706</v>
      </c>
      <c r="F219"/>
    </row>
    <row r="220" spans="1:6" x14ac:dyDescent="0.25">
      <c r="A220" s="21">
        <f t="shared" si="5"/>
        <v>-1.7205233633614592E-2</v>
      </c>
      <c r="C220" s="21" t="str">
        <f t="shared" si="4"/>
        <v>A</v>
      </c>
      <c r="D220">
        <v>89</v>
      </c>
      <c r="E220">
        <v>87.468734206608303</v>
      </c>
      <c r="F220"/>
    </row>
    <row r="221" spans="1:6" x14ac:dyDescent="0.25">
      <c r="A221" s="21">
        <f t="shared" si="5"/>
        <v>-0.11247245944549999</v>
      </c>
      <c r="C221" s="21" t="str">
        <f t="shared" si="4"/>
        <v>A</v>
      </c>
      <c r="D221">
        <v>126</v>
      </c>
      <c r="E221">
        <v>111.828470109867</v>
      </c>
      <c r="F221"/>
    </row>
    <row r="222" spans="1:6" x14ac:dyDescent="0.25">
      <c r="A222" s="21">
        <f t="shared" si="5"/>
        <v>-7.65918088547759E-2</v>
      </c>
      <c r="C222" s="21" t="str">
        <f t="shared" si="4"/>
        <v>A</v>
      </c>
      <c r="D222">
        <v>116</v>
      </c>
      <c r="E222">
        <v>107.11535017284599</v>
      </c>
      <c r="F222"/>
    </row>
    <row r="223" spans="1:6" x14ac:dyDescent="0.25">
      <c r="A223" s="21">
        <f t="shared" si="5"/>
        <v>-0.20521882769116295</v>
      </c>
      <c r="C223" s="21" t="str">
        <f t="shared" si="4"/>
        <v>B</v>
      </c>
      <c r="D223">
        <v>108</v>
      </c>
      <c r="E223">
        <v>85.8363666093544</v>
      </c>
      <c r="F223"/>
    </row>
    <row r="224" spans="1:6" x14ac:dyDescent="0.25">
      <c r="A224" s="21">
        <f t="shared" si="5"/>
        <v>-0.45874046754332853</v>
      </c>
      <c r="C224" s="21" t="str">
        <f t="shared" si="4"/>
        <v>B</v>
      </c>
      <c r="D224">
        <v>112</v>
      </c>
      <c r="E224">
        <v>60.621067635147199</v>
      </c>
      <c r="F224"/>
    </row>
    <row r="225" spans="1:6" x14ac:dyDescent="0.25">
      <c r="A225" s="21">
        <f t="shared" si="5"/>
        <v>-0.1121937930467537</v>
      </c>
      <c r="C225" s="21" t="str">
        <f t="shared" si="4"/>
        <v>A</v>
      </c>
      <c r="D225">
        <v>95</v>
      </c>
      <c r="E225">
        <v>84.341589660558398</v>
      </c>
      <c r="F225"/>
    </row>
    <row r="226" spans="1:6" x14ac:dyDescent="0.25">
      <c r="A226" s="21">
        <f t="shared" si="5"/>
        <v>-8.8121522392646923E-2</v>
      </c>
      <c r="C226" s="21" t="str">
        <f t="shared" si="4"/>
        <v>A</v>
      </c>
      <c r="D226">
        <v>94</v>
      </c>
      <c r="E226">
        <v>85.716576895091194</v>
      </c>
      <c r="F226"/>
    </row>
    <row r="227" spans="1:6" x14ac:dyDescent="0.25">
      <c r="A227" s="21">
        <f t="shared" si="5"/>
        <v>-2.489319379383903E-2</v>
      </c>
      <c r="C227" s="21" t="str">
        <f t="shared" si="4"/>
        <v>A</v>
      </c>
      <c r="D227">
        <v>92</v>
      </c>
      <c r="E227">
        <v>89.709826170966807</v>
      </c>
      <c r="F227"/>
    </row>
    <row r="228" spans="1:6" x14ac:dyDescent="0.25">
      <c r="A228" s="21">
        <f t="shared" si="5"/>
        <v>-0.33265596725984725</v>
      </c>
      <c r="C228" s="21" t="str">
        <f t="shared" si="4"/>
        <v>B</v>
      </c>
      <c r="D228">
        <v>131</v>
      </c>
      <c r="E228">
        <v>87.422068288960006</v>
      </c>
      <c r="F228"/>
    </row>
    <row r="229" spans="1:6" x14ac:dyDescent="0.25">
      <c r="A229" s="21">
        <f t="shared" si="5"/>
        <v>-0.31169101684931033</v>
      </c>
      <c r="C229" s="21" t="str">
        <f t="shared" si="4"/>
        <v>B</v>
      </c>
      <c r="D229">
        <v>125</v>
      </c>
      <c r="E229">
        <v>86.038622893836205</v>
      </c>
      <c r="F229"/>
    </row>
    <row r="230" spans="1:6" x14ac:dyDescent="0.25">
      <c r="A230" s="21">
        <f t="shared" si="5"/>
        <v>-0.15178277725021427</v>
      </c>
      <c r="C230" s="21" t="str">
        <f t="shared" si="4"/>
        <v>A</v>
      </c>
      <c r="D230">
        <v>105</v>
      </c>
      <c r="E230">
        <v>89.062808388727504</v>
      </c>
      <c r="F230"/>
    </row>
    <row r="231" spans="1:6" x14ac:dyDescent="0.25">
      <c r="A231" s="21">
        <f t="shared" si="5"/>
        <v>1.5911614848651556E-3</v>
      </c>
      <c r="C231" s="21" t="str">
        <f t="shared" ref="C231:C261" si="6">IF(OR(A231&gt;=20%,A231&lt;=-20%),"B","A")</f>
        <v>A</v>
      </c>
      <c r="D231">
        <v>86</v>
      </c>
      <c r="E231">
        <v>86.1368398876984</v>
      </c>
      <c r="F231"/>
    </row>
    <row r="232" spans="1:6" x14ac:dyDescent="0.25">
      <c r="A232" s="21">
        <f t="shared" ref="A232:A261" si="7">E232/D232-1</f>
        <v>-3.5000803381032286E-3</v>
      </c>
      <c r="C232" s="21" t="str">
        <f t="shared" si="6"/>
        <v>A</v>
      </c>
      <c r="D232">
        <v>126</v>
      </c>
      <c r="E232">
        <v>125.558989877399</v>
      </c>
      <c r="F232"/>
    </row>
    <row r="233" spans="1:6" x14ac:dyDescent="0.25">
      <c r="A233" s="21">
        <f t="shared" si="7"/>
        <v>-0.21847665754740342</v>
      </c>
      <c r="C233" s="21" t="str">
        <f t="shared" si="6"/>
        <v>B</v>
      </c>
      <c r="D233">
        <v>116</v>
      </c>
      <c r="E233">
        <v>90.656707724501203</v>
      </c>
      <c r="F233"/>
    </row>
    <row r="234" spans="1:6" x14ac:dyDescent="0.25">
      <c r="A234" s="21">
        <f t="shared" si="7"/>
        <v>0.11288895353633333</v>
      </c>
      <c r="C234" s="21" t="str">
        <f t="shared" si="6"/>
        <v>A</v>
      </c>
      <c r="D234">
        <v>111</v>
      </c>
      <c r="E234">
        <v>123.53067384253301</v>
      </c>
      <c r="F234"/>
    </row>
    <row r="235" spans="1:6" x14ac:dyDescent="0.25">
      <c r="A235" s="21">
        <f t="shared" si="7"/>
        <v>-8.1557440137461024E-2</v>
      </c>
      <c r="C235" s="21" t="str">
        <f t="shared" si="6"/>
        <v>A</v>
      </c>
      <c r="D235">
        <v>90</v>
      </c>
      <c r="E235">
        <v>82.659830387628503</v>
      </c>
      <c r="F235"/>
    </row>
    <row r="236" spans="1:6" x14ac:dyDescent="0.25">
      <c r="A236" s="21">
        <f t="shared" si="7"/>
        <v>-0.33008729572534401</v>
      </c>
      <c r="C236" s="21" t="str">
        <f t="shared" si="6"/>
        <v>B</v>
      </c>
      <c r="D236">
        <v>125</v>
      </c>
      <c r="E236">
        <v>83.739088034331999</v>
      </c>
      <c r="F236"/>
    </row>
    <row r="237" spans="1:6" x14ac:dyDescent="0.25">
      <c r="A237" s="21">
        <f t="shared" si="7"/>
        <v>-8.8759740613163163E-2</v>
      </c>
      <c r="C237" s="21" t="str">
        <f t="shared" si="6"/>
        <v>A</v>
      </c>
      <c r="D237">
        <v>95</v>
      </c>
      <c r="E237">
        <v>86.567824641749496</v>
      </c>
      <c r="F237"/>
    </row>
    <row r="238" spans="1:6" x14ac:dyDescent="0.25">
      <c r="A238" s="21">
        <f t="shared" si="7"/>
        <v>-5.5199916240995739E-2</v>
      </c>
      <c r="C238" s="21" t="str">
        <f t="shared" si="6"/>
        <v>A</v>
      </c>
      <c r="D238">
        <v>93</v>
      </c>
      <c r="E238">
        <v>87.866407789587399</v>
      </c>
      <c r="F238"/>
    </row>
    <row r="239" spans="1:6" x14ac:dyDescent="0.25">
      <c r="A239" s="21">
        <f t="shared" si="7"/>
        <v>4.2755443722382713E-2</v>
      </c>
      <c r="C239" s="21" t="str">
        <f t="shared" si="6"/>
        <v>A</v>
      </c>
      <c r="D239">
        <v>81</v>
      </c>
      <c r="E239">
        <v>84.463190941513005</v>
      </c>
      <c r="F239"/>
    </row>
    <row r="240" spans="1:6" x14ac:dyDescent="0.25">
      <c r="A240" s="21">
        <f t="shared" si="7"/>
        <v>-7.6252861860379273E-2</v>
      </c>
      <c r="C240" s="21" t="str">
        <f t="shared" si="6"/>
        <v>A</v>
      </c>
      <c r="D240">
        <v>92</v>
      </c>
      <c r="E240">
        <v>84.984736708845105</v>
      </c>
      <c r="F240"/>
    </row>
    <row r="241" spans="1:6" x14ac:dyDescent="0.25">
      <c r="A241" s="21">
        <f t="shared" si="7"/>
        <v>-3.7226802366198131E-3</v>
      </c>
      <c r="C241" s="21" t="str">
        <f t="shared" si="6"/>
        <v>A</v>
      </c>
      <c r="D241">
        <v>86</v>
      </c>
      <c r="E241">
        <v>85.6798494996507</v>
      </c>
      <c r="F241"/>
    </row>
    <row r="242" spans="1:6" x14ac:dyDescent="0.25">
      <c r="A242" s="21">
        <f t="shared" si="7"/>
        <v>4.2050315724328158E-2</v>
      </c>
      <c r="C242" s="21" t="str">
        <f t="shared" si="6"/>
        <v>A</v>
      </c>
      <c r="D242">
        <v>82</v>
      </c>
      <c r="E242">
        <v>85.448125889394902</v>
      </c>
      <c r="F242"/>
    </row>
    <row r="243" spans="1:6" x14ac:dyDescent="0.25">
      <c r="A243" s="21">
        <f t="shared" si="7"/>
        <v>-0.32457343647966852</v>
      </c>
      <c r="C243" s="21" t="str">
        <f t="shared" si="6"/>
        <v>B</v>
      </c>
      <c r="D243">
        <v>127</v>
      </c>
      <c r="E243">
        <v>85.779173567082097</v>
      </c>
      <c r="F243"/>
    </row>
    <row r="244" spans="1:6" x14ac:dyDescent="0.25">
      <c r="A244" s="21">
        <f t="shared" si="7"/>
        <v>-0.17519478051080395</v>
      </c>
      <c r="C244" s="21" t="str">
        <f t="shared" si="6"/>
        <v>A</v>
      </c>
      <c r="D244">
        <v>103</v>
      </c>
      <c r="E244">
        <v>84.954937607387194</v>
      </c>
      <c r="F244"/>
    </row>
    <row r="245" spans="1:6" x14ac:dyDescent="0.25">
      <c r="A245" s="21">
        <f t="shared" si="7"/>
        <v>-7.8296498540429971E-3</v>
      </c>
      <c r="C245" s="21" t="str">
        <f t="shared" si="6"/>
        <v>A</v>
      </c>
      <c r="D245">
        <v>86</v>
      </c>
      <c r="E245">
        <v>85.326650112552301</v>
      </c>
      <c r="F245"/>
    </row>
    <row r="246" spans="1:6" x14ac:dyDescent="0.25">
      <c r="A246" s="21">
        <f t="shared" si="7"/>
        <v>8.8238774433045508E-2</v>
      </c>
      <c r="C246" s="21" t="str">
        <f t="shared" si="6"/>
        <v>A</v>
      </c>
      <c r="D246">
        <v>79</v>
      </c>
      <c r="E246">
        <v>85.9708631802106</v>
      </c>
      <c r="F246"/>
    </row>
    <row r="247" spans="1:6" x14ac:dyDescent="0.25">
      <c r="A247" s="21">
        <f t="shared" si="7"/>
        <v>-0.49555469856830936</v>
      </c>
      <c r="C247" s="21" t="str">
        <f t="shared" si="6"/>
        <v>B</v>
      </c>
      <c r="D247">
        <v>160</v>
      </c>
      <c r="E247">
        <v>80.711248229070506</v>
      </c>
      <c r="F247"/>
    </row>
    <row r="248" spans="1:6" x14ac:dyDescent="0.25">
      <c r="A248" s="21">
        <f t="shared" si="7"/>
        <v>-0.37116033829887329</v>
      </c>
      <c r="C248" s="21" t="str">
        <f t="shared" si="6"/>
        <v>B</v>
      </c>
      <c r="D248">
        <v>135</v>
      </c>
      <c r="E248">
        <v>84.893354329652098</v>
      </c>
      <c r="F248"/>
    </row>
    <row r="249" spans="1:6" x14ac:dyDescent="0.25">
      <c r="A249" s="21">
        <f t="shared" si="7"/>
        <v>-0.19226170502114903</v>
      </c>
      <c r="C249" s="21" t="str">
        <f t="shared" si="6"/>
        <v>A</v>
      </c>
      <c r="D249">
        <v>106</v>
      </c>
      <c r="E249">
        <v>85.6202592677582</v>
      </c>
      <c r="F249"/>
    </row>
    <row r="250" spans="1:6" x14ac:dyDescent="0.25">
      <c r="A250" s="21">
        <f t="shared" si="7"/>
        <v>8.2374590004664849E-2</v>
      </c>
      <c r="C250" s="21" t="str">
        <f t="shared" si="6"/>
        <v>A</v>
      </c>
      <c r="D250">
        <v>80</v>
      </c>
      <c r="E250">
        <v>86.589967200373195</v>
      </c>
    </row>
    <row r="251" spans="1:6" x14ac:dyDescent="0.25">
      <c r="A251" s="21">
        <f t="shared" si="7"/>
        <v>-0.3195995918297887</v>
      </c>
      <c r="C251" s="21" t="str">
        <f t="shared" si="6"/>
        <v>B</v>
      </c>
      <c r="D251">
        <v>124</v>
      </c>
      <c r="E251">
        <v>84.369650613106202</v>
      </c>
      <c r="F251"/>
    </row>
    <row r="252" spans="1:6" x14ac:dyDescent="0.25">
      <c r="A252" s="21">
        <f t="shared" si="7"/>
        <v>-0.16696838694218663</v>
      </c>
      <c r="C252" s="21" t="str">
        <f t="shared" si="6"/>
        <v>A</v>
      </c>
      <c r="D252">
        <v>112</v>
      </c>
      <c r="E252">
        <v>93.299540662475096</v>
      </c>
      <c r="F252"/>
    </row>
    <row r="253" spans="1:6" x14ac:dyDescent="0.25">
      <c r="A253" s="21">
        <f t="shared" si="7"/>
        <v>-9.9438628692161468E-2</v>
      </c>
      <c r="C253" s="21" t="str">
        <f t="shared" si="6"/>
        <v>A</v>
      </c>
      <c r="D253">
        <v>96</v>
      </c>
      <c r="E253">
        <v>86.453891645552503</v>
      </c>
      <c r="F253"/>
    </row>
    <row r="254" spans="1:6" x14ac:dyDescent="0.25">
      <c r="A254" s="21">
        <f t="shared" si="7"/>
        <v>0.15253152153018701</v>
      </c>
      <c r="C254" s="21" t="str">
        <f t="shared" si="6"/>
        <v>A</v>
      </c>
      <c r="D254">
        <v>77</v>
      </c>
      <c r="E254">
        <v>88.744927157824407</v>
      </c>
      <c r="F254"/>
    </row>
    <row r="255" spans="1:6" x14ac:dyDescent="0.25">
      <c r="A255" s="21">
        <f t="shared" si="7"/>
        <v>-0.35970321703345909</v>
      </c>
      <c r="C255" s="21" t="str">
        <f t="shared" si="6"/>
        <v>B</v>
      </c>
      <c r="D255">
        <v>137</v>
      </c>
      <c r="E255">
        <v>87.720659266416106</v>
      </c>
      <c r="F255"/>
    </row>
    <row r="256" spans="1:6" x14ac:dyDescent="0.25">
      <c r="A256" s="21">
        <f t="shared" si="7"/>
        <v>-0.27597451773126624</v>
      </c>
      <c r="C256" s="21" t="str">
        <f t="shared" si="6"/>
        <v>B</v>
      </c>
      <c r="D256">
        <v>130</v>
      </c>
      <c r="E256">
        <v>94.123312694935393</v>
      </c>
      <c r="F256"/>
    </row>
    <row r="257" spans="1:6" x14ac:dyDescent="0.25">
      <c r="A257" s="21">
        <f t="shared" si="7"/>
        <v>-0.28106809576804881</v>
      </c>
      <c r="C257" s="21" t="str">
        <f t="shared" si="6"/>
        <v>B</v>
      </c>
      <c r="D257">
        <v>121</v>
      </c>
      <c r="E257">
        <v>86.990760412066095</v>
      </c>
      <c r="F257"/>
    </row>
    <row r="258" spans="1:6" x14ac:dyDescent="0.25">
      <c r="A258" s="21">
        <f t="shared" si="7"/>
        <v>-4.194204499710652E-2</v>
      </c>
      <c r="C258" s="21" t="str">
        <f t="shared" si="6"/>
        <v>A</v>
      </c>
      <c r="D258">
        <v>91</v>
      </c>
      <c r="E258">
        <v>87.183273905263306</v>
      </c>
      <c r="F258"/>
    </row>
    <row r="259" spans="1:6" x14ac:dyDescent="0.25">
      <c r="A259" s="21">
        <f t="shared" si="7"/>
        <v>-0.12746867736213141</v>
      </c>
      <c r="C259" s="21" t="str">
        <f t="shared" si="6"/>
        <v>A</v>
      </c>
      <c r="D259">
        <v>137</v>
      </c>
      <c r="E259">
        <v>119.536791201388</v>
      </c>
      <c r="F259"/>
    </row>
    <row r="260" spans="1:6" x14ac:dyDescent="0.25">
      <c r="A260" s="21">
        <f t="shared" si="7"/>
        <v>-0.11310803260707569</v>
      </c>
      <c r="C260" s="21" t="str">
        <f t="shared" si="6"/>
        <v>A</v>
      </c>
      <c r="D260">
        <v>119</v>
      </c>
      <c r="E260">
        <v>105.540144119758</v>
      </c>
      <c r="F260"/>
    </row>
    <row r="261" spans="1:6" x14ac:dyDescent="0.25">
      <c r="A261" s="21">
        <f t="shared" si="7"/>
        <v>-0.11865139508991207</v>
      </c>
      <c r="C261" s="21" t="str">
        <f t="shared" si="6"/>
        <v>A</v>
      </c>
      <c r="D261">
        <v>99</v>
      </c>
      <c r="E261">
        <v>87.253511886098707</v>
      </c>
      <c r="F261"/>
    </row>
    <row r="263" spans="1:6" x14ac:dyDescent="0.25">
      <c r="F263"/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3"/>
  <sheetViews>
    <sheetView topLeftCell="A38" zoomScale="80" zoomScaleNormal="80" workbookViewId="0">
      <selection activeCell="C38" sqref="C38:C261"/>
    </sheetView>
  </sheetViews>
  <sheetFormatPr defaultRowHeight="16.5" x14ac:dyDescent="0.25"/>
  <cols>
    <col min="1" max="1" width="9" style="1"/>
    <col min="2" max="2" width="8.5" style="1" customWidth="1"/>
    <col min="3" max="3" width="7" style="1" customWidth="1"/>
    <col min="4" max="4" width="9" style="1"/>
    <col min="5" max="8" width="12.125" style="1" customWidth="1"/>
    <col min="9" max="9" width="13.125" style="1" customWidth="1"/>
    <col min="10" max="10" width="14.125" style="1" customWidth="1"/>
    <col min="11" max="12" width="13.25" style="1" customWidth="1"/>
    <col min="13" max="13" width="12.375" style="1" customWidth="1"/>
    <col min="14" max="14" width="12.125" style="1" customWidth="1"/>
    <col min="15" max="15" width="11.5" style="1" customWidth="1"/>
    <col min="16" max="16" width="9" style="1"/>
    <col min="17" max="17" width="10.625" style="1" bestFit="1" customWidth="1"/>
    <col min="18" max="18" width="8.25" style="1" customWidth="1"/>
    <col min="19" max="16384" width="9" style="1"/>
  </cols>
  <sheetData>
    <row r="1" spans="4:16" x14ac:dyDescent="0.25">
      <c r="D1" s="1" t="s">
        <v>4</v>
      </c>
      <c r="H1" s="1" t="s">
        <v>5</v>
      </c>
    </row>
    <row r="2" spans="4:16" x14ac:dyDescent="0.25">
      <c r="D2" s="1" t="s">
        <v>6</v>
      </c>
      <c r="E2" s="1" t="s">
        <v>7</v>
      </c>
      <c r="F2" s="1" t="s">
        <v>8</v>
      </c>
      <c r="G2" s="1" t="s">
        <v>0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2</v>
      </c>
      <c r="P2" s="1" t="s">
        <v>0</v>
      </c>
    </row>
    <row r="3" spans="4:16" x14ac:dyDescent="0.25">
      <c r="D3" s="1">
        <v>0</v>
      </c>
      <c r="E3" s="1">
        <v>0</v>
      </c>
      <c r="H3" s="1">
        <v>50</v>
      </c>
    </row>
    <row r="4" spans="4:16" x14ac:dyDescent="0.25">
      <c r="D4" s="1">
        <v>30</v>
      </c>
      <c r="E4" s="1">
        <v>30</v>
      </c>
      <c r="H4" s="1">
        <v>50</v>
      </c>
    </row>
    <row r="5" spans="4:16" x14ac:dyDescent="0.25">
      <c r="D5" s="1">
        <v>140</v>
      </c>
      <c r="E5" s="1">
        <v>140</v>
      </c>
      <c r="H5" s="1">
        <v>170</v>
      </c>
    </row>
    <row r="6" spans="4:16" x14ac:dyDescent="0.25">
      <c r="D6" s="1">
        <v>280</v>
      </c>
      <c r="E6" s="1">
        <v>280</v>
      </c>
      <c r="H6" s="1">
        <v>380</v>
      </c>
    </row>
    <row r="7" spans="4:16" x14ac:dyDescent="0.25">
      <c r="D7" s="1">
        <v>860</v>
      </c>
      <c r="E7" s="1">
        <v>430</v>
      </c>
      <c r="H7" s="1">
        <v>1100</v>
      </c>
    </row>
    <row r="8" spans="4:16" x14ac:dyDescent="0.25">
      <c r="D8" s="1">
        <v>120</v>
      </c>
      <c r="E8" s="1">
        <v>120</v>
      </c>
      <c r="K8" s="1">
        <v>0</v>
      </c>
    </row>
    <row r="9" spans="4:16" x14ac:dyDescent="0.25">
      <c r="D9" s="1">
        <v>120</v>
      </c>
      <c r="E9" s="1">
        <v>120</v>
      </c>
      <c r="K9" s="1">
        <v>30</v>
      </c>
    </row>
    <row r="10" spans="4:16" x14ac:dyDescent="0.25">
      <c r="D10" s="1">
        <v>260</v>
      </c>
      <c r="E10" s="1">
        <v>260</v>
      </c>
      <c r="K10" s="1">
        <v>130</v>
      </c>
    </row>
    <row r="11" spans="4:16" x14ac:dyDescent="0.25">
      <c r="D11" s="1">
        <v>550</v>
      </c>
      <c r="E11" s="1">
        <v>550</v>
      </c>
      <c r="K11" s="1">
        <v>250</v>
      </c>
    </row>
    <row r="12" spans="4:16" x14ac:dyDescent="0.25">
      <c r="D12" s="1">
        <v>50</v>
      </c>
      <c r="I12" s="1">
        <v>0</v>
      </c>
    </row>
    <row r="13" spans="4:16" x14ac:dyDescent="0.25">
      <c r="D13" s="1">
        <v>50</v>
      </c>
      <c r="I13" s="1">
        <v>30</v>
      </c>
    </row>
    <row r="14" spans="4:16" x14ac:dyDescent="0.25">
      <c r="D14" s="1">
        <v>170</v>
      </c>
      <c r="I14" s="1">
        <v>145</v>
      </c>
    </row>
    <row r="15" spans="4:16" x14ac:dyDescent="0.25">
      <c r="D15" s="1">
        <v>385</v>
      </c>
      <c r="I15" s="1">
        <v>300</v>
      </c>
    </row>
    <row r="16" spans="4:16" x14ac:dyDescent="0.25">
      <c r="D16" s="1">
        <v>550</v>
      </c>
      <c r="I16" s="1">
        <v>450</v>
      </c>
    </row>
    <row r="17" spans="4:14" x14ac:dyDescent="0.25">
      <c r="D17" s="1">
        <v>0</v>
      </c>
      <c r="J17" s="1">
        <v>60</v>
      </c>
    </row>
    <row r="18" spans="4:14" x14ac:dyDescent="0.25">
      <c r="D18" s="1">
        <v>30</v>
      </c>
      <c r="J18" s="1">
        <v>60</v>
      </c>
    </row>
    <row r="19" spans="4:14" x14ac:dyDescent="0.25">
      <c r="D19" s="1">
        <v>50</v>
      </c>
      <c r="J19" s="1">
        <v>80</v>
      </c>
    </row>
    <row r="20" spans="4:14" x14ac:dyDescent="0.25">
      <c r="D20" s="1">
        <v>70</v>
      </c>
      <c r="J20" s="1">
        <v>110</v>
      </c>
    </row>
    <row r="21" spans="4:14" x14ac:dyDescent="0.25">
      <c r="D21" s="1">
        <v>520</v>
      </c>
      <c r="J21" s="1">
        <v>1100</v>
      </c>
    </row>
    <row r="22" spans="4:14" x14ac:dyDescent="0.25">
      <c r="D22" s="1">
        <v>250</v>
      </c>
      <c r="M22" s="1">
        <v>0</v>
      </c>
    </row>
    <row r="23" spans="4:14" x14ac:dyDescent="0.25">
      <c r="D23" s="1">
        <v>250</v>
      </c>
      <c r="M23" s="1">
        <v>40</v>
      </c>
    </row>
    <row r="24" spans="4:14" x14ac:dyDescent="0.25">
      <c r="D24" s="1">
        <v>550</v>
      </c>
      <c r="M24" s="1">
        <v>150</v>
      </c>
    </row>
    <row r="25" spans="4:14" x14ac:dyDescent="0.25">
      <c r="D25" s="1">
        <v>0</v>
      </c>
      <c r="L25" s="1">
        <v>100</v>
      </c>
    </row>
    <row r="26" spans="4:14" x14ac:dyDescent="0.25">
      <c r="D26" s="1">
        <v>25</v>
      </c>
      <c r="L26" s="1">
        <v>100</v>
      </c>
    </row>
    <row r="27" spans="4:14" x14ac:dyDescent="0.25">
      <c r="D27" s="1">
        <v>50</v>
      </c>
      <c r="L27" s="1">
        <v>125</v>
      </c>
    </row>
    <row r="28" spans="4:14" x14ac:dyDescent="0.25">
      <c r="D28" s="1">
        <v>80</v>
      </c>
      <c r="L28" s="1">
        <v>215</v>
      </c>
    </row>
    <row r="29" spans="4:14" x14ac:dyDescent="0.25">
      <c r="D29" s="1">
        <v>250</v>
      </c>
      <c r="L29" s="1">
        <v>1100</v>
      </c>
    </row>
    <row r="30" spans="4:14" x14ac:dyDescent="0.25">
      <c r="D30" s="1">
        <v>0</v>
      </c>
      <c r="N30" s="1">
        <v>150</v>
      </c>
    </row>
    <row r="31" spans="4:14" x14ac:dyDescent="0.25">
      <c r="D31" s="1">
        <v>35</v>
      </c>
      <c r="N31" s="1">
        <v>155</v>
      </c>
    </row>
    <row r="32" spans="4:14" x14ac:dyDescent="0.25">
      <c r="D32" s="1">
        <v>100</v>
      </c>
      <c r="N32" s="1">
        <v>1100</v>
      </c>
    </row>
    <row r="33" spans="1:20" x14ac:dyDescent="0.25">
      <c r="D33" s="1">
        <v>0</v>
      </c>
      <c r="O33" s="1">
        <v>0</v>
      </c>
    </row>
    <row r="34" spans="1:20" x14ac:dyDescent="0.25">
      <c r="D34" s="1">
        <v>550</v>
      </c>
      <c r="O34" s="1">
        <v>550</v>
      </c>
    </row>
    <row r="36" spans="1:20" ht="17.25" thickBot="1" x14ac:dyDescent="0.3"/>
    <row r="37" spans="1:20" ht="17.25" x14ac:dyDescent="0.25">
      <c r="D37" s="2" t="s">
        <v>18</v>
      </c>
      <c r="E37" s="15" t="s">
        <v>42</v>
      </c>
      <c r="F37" s="15" t="s">
        <v>34</v>
      </c>
      <c r="G37" s="15" t="s">
        <v>35</v>
      </c>
      <c r="H37" s="15" t="s">
        <v>54</v>
      </c>
      <c r="I37" s="15" t="s">
        <v>55</v>
      </c>
      <c r="J37" s="15" t="s">
        <v>56</v>
      </c>
      <c r="K37" s="15" t="s">
        <v>57</v>
      </c>
      <c r="L37" s="15" t="s">
        <v>58</v>
      </c>
      <c r="M37" s="15" t="s">
        <v>59</v>
      </c>
      <c r="N37" s="15" t="s">
        <v>60</v>
      </c>
      <c r="O37" s="15" t="s">
        <v>61</v>
      </c>
      <c r="P37" s="22" t="s">
        <v>62</v>
      </c>
      <c r="Q37" s="24"/>
      <c r="R37" s="25" t="s">
        <v>64</v>
      </c>
      <c r="S37" s="25" t="s">
        <v>65</v>
      </c>
      <c r="T37" s="26" t="s">
        <v>66</v>
      </c>
    </row>
    <row r="38" spans="1:20" ht="17.25" x14ac:dyDescent="0.25">
      <c r="A38" s="21">
        <f>E38/D38-1</f>
        <v>0.10852853525500006</v>
      </c>
      <c r="B38" t="s">
        <v>36</v>
      </c>
      <c r="C38" s="21" t="str">
        <f>IF(OR(A38&gt;=20%,A38&lt;=-20%),"B","A")</f>
        <v>A</v>
      </c>
      <c r="D38">
        <v>94</v>
      </c>
      <c r="E38">
        <v>104.20168231397</v>
      </c>
      <c r="F38"/>
      <c r="G38" s="5"/>
      <c r="Q38" s="28" t="s">
        <v>67</v>
      </c>
      <c r="R38" s="23">
        <f>COUNTIF(C38:C261,"A")</f>
        <v>143</v>
      </c>
      <c r="S38" s="23">
        <f>COUNTIF(C38:C261,"B")</f>
        <v>81</v>
      </c>
      <c r="T38" s="27">
        <v>224</v>
      </c>
    </row>
    <row r="39" spans="1:20" ht="18" thickBot="1" x14ac:dyDescent="0.3">
      <c r="A39" s="21">
        <f t="shared" ref="A39:A102" si="0">E39/D39-1</f>
        <v>-0.35786680001042781</v>
      </c>
      <c r="B39" t="s">
        <v>36</v>
      </c>
      <c r="C39" s="21" t="str">
        <f t="shared" ref="C39:C102" si="1">IF(OR(A39&gt;=20%,A39&lt;=-20%),"B","A")</f>
        <v>B</v>
      </c>
      <c r="D39">
        <v>194</v>
      </c>
      <c r="E39">
        <v>124.573840797977</v>
      </c>
      <c r="F39"/>
      <c r="G39" s="5"/>
      <c r="Q39" s="29" t="s">
        <v>68</v>
      </c>
      <c r="R39" s="31">
        <f>R38/T38</f>
        <v>0.6383928571428571</v>
      </c>
      <c r="S39" s="31">
        <f>S38/T38</f>
        <v>0.36160714285714285</v>
      </c>
      <c r="T39" s="30">
        <f>R39+S39</f>
        <v>1</v>
      </c>
    </row>
    <row r="40" spans="1:20" ht="17.25" x14ac:dyDescent="0.25">
      <c r="A40" s="21">
        <f t="shared" si="0"/>
        <v>-0.22797516078375502</v>
      </c>
      <c r="B40" t="s">
        <v>36</v>
      </c>
      <c r="C40" s="21" t="str">
        <f t="shared" si="1"/>
        <v>B</v>
      </c>
      <c r="D40">
        <v>151</v>
      </c>
      <c r="E40">
        <v>116.57575072165299</v>
      </c>
      <c r="F40"/>
      <c r="G40" s="5"/>
      <c r="Q40" s="21"/>
      <c r="R40" s="21"/>
    </row>
    <row r="41" spans="1:20" ht="17.25" x14ac:dyDescent="0.25">
      <c r="A41" s="21">
        <f t="shared" si="0"/>
        <v>0.17328641542093748</v>
      </c>
      <c r="B41" t="s">
        <v>36</v>
      </c>
      <c r="C41" s="21" t="str">
        <f t="shared" si="1"/>
        <v>A</v>
      </c>
      <c r="D41">
        <v>96</v>
      </c>
      <c r="E41">
        <v>112.63549588041001</v>
      </c>
      <c r="F41"/>
      <c r="G41" s="5"/>
      <c r="Q41" s="21"/>
      <c r="R41" s="21"/>
    </row>
    <row r="42" spans="1:20" ht="17.25" x14ac:dyDescent="0.25">
      <c r="A42" s="21">
        <f t="shared" si="0"/>
        <v>-0.16022155022721207</v>
      </c>
      <c r="B42" t="s">
        <v>36</v>
      </c>
      <c r="C42" s="21" t="str">
        <f t="shared" si="1"/>
        <v>A</v>
      </c>
      <c r="D42">
        <v>132</v>
      </c>
      <c r="E42">
        <v>110.850755370008</v>
      </c>
      <c r="F42"/>
      <c r="G42" s="5"/>
      <c r="Q42" s="21"/>
      <c r="R42" s="21"/>
    </row>
    <row r="43" spans="1:20" ht="17.25" x14ac:dyDescent="0.25">
      <c r="A43" s="21">
        <f t="shared" si="0"/>
        <v>7.9488794034730414E-2</v>
      </c>
      <c r="B43" t="s">
        <v>36</v>
      </c>
      <c r="C43" s="21" t="str">
        <f t="shared" si="1"/>
        <v>A</v>
      </c>
      <c r="D43">
        <v>115</v>
      </c>
      <c r="E43">
        <v>124.14121131399401</v>
      </c>
      <c r="F43"/>
      <c r="G43" s="5"/>
      <c r="Q43" s="21"/>
      <c r="R43" s="21"/>
    </row>
    <row r="44" spans="1:20" ht="17.25" x14ac:dyDescent="0.25">
      <c r="A44" s="21">
        <f t="shared" si="0"/>
        <v>8.8536984565956711E-3</v>
      </c>
      <c r="B44" t="s">
        <v>36</v>
      </c>
      <c r="C44" s="21" t="str">
        <f t="shared" si="1"/>
        <v>A</v>
      </c>
      <c r="D44">
        <v>90</v>
      </c>
      <c r="E44">
        <v>90.796832861093606</v>
      </c>
      <c r="F44"/>
      <c r="G44" s="5"/>
      <c r="Q44" s="21"/>
      <c r="R44" s="21"/>
    </row>
    <row r="45" spans="1:20" ht="17.25" x14ac:dyDescent="0.25">
      <c r="A45" s="21">
        <f t="shared" si="0"/>
        <v>-0.33681676687216078</v>
      </c>
      <c r="B45" t="s">
        <v>36</v>
      </c>
      <c r="C45" s="21" t="str">
        <f t="shared" si="1"/>
        <v>B</v>
      </c>
      <c r="D45">
        <v>199</v>
      </c>
      <c r="E45">
        <v>131.97346339244001</v>
      </c>
      <c r="F45"/>
      <c r="G45" s="5"/>
      <c r="Q45" s="21"/>
      <c r="R45" s="21"/>
    </row>
    <row r="46" spans="1:20" ht="17.25" x14ac:dyDescent="0.25">
      <c r="A46" s="21">
        <f t="shared" si="0"/>
        <v>-0.36261102873773599</v>
      </c>
      <c r="B46" t="s">
        <v>36</v>
      </c>
      <c r="C46" s="21" t="str">
        <f t="shared" si="1"/>
        <v>B</v>
      </c>
      <c r="D46">
        <v>197</v>
      </c>
      <c r="E46">
        <v>125.565627338666</v>
      </c>
      <c r="F46"/>
      <c r="G46" s="5"/>
      <c r="Q46" s="21"/>
      <c r="R46" s="21"/>
    </row>
    <row r="47" spans="1:20" ht="17.25" x14ac:dyDescent="0.25">
      <c r="A47" s="21">
        <f t="shared" si="0"/>
        <v>0.33858894391642402</v>
      </c>
      <c r="B47" t="s">
        <v>43</v>
      </c>
      <c r="C47" s="21" t="str">
        <f t="shared" si="1"/>
        <v>B</v>
      </c>
      <c r="D47">
        <v>92</v>
      </c>
      <c r="E47">
        <v>123.150182840311</v>
      </c>
      <c r="F47"/>
      <c r="G47" s="5"/>
      <c r="Q47" s="21"/>
      <c r="R47" s="21"/>
    </row>
    <row r="48" spans="1:20" ht="17.25" x14ac:dyDescent="0.25">
      <c r="A48" s="21">
        <f t="shared" si="0"/>
        <v>0.14699954860110642</v>
      </c>
      <c r="B48" t="s">
        <v>43</v>
      </c>
      <c r="C48" s="21" t="str">
        <f t="shared" si="1"/>
        <v>A</v>
      </c>
      <c r="D48">
        <v>94</v>
      </c>
      <c r="E48">
        <v>107.817957568504</v>
      </c>
      <c r="F48"/>
      <c r="G48" s="5"/>
      <c r="Q48" s="21"/>
      <c r="R48" s="21"/>
    </row>
    <row r="49" spans="1:18" ht="17.25" x14ac:dyDescent="0.25">
      <c r="A49" s="21">
        <f t="shared" si="0"/>
        <v>-6.7628914671346463E-2</v>
      </c>
      <c r="B49" t="s">
        <v>43</v>
      </c>
      <c r="C49" s="21" t="str">
        <f t="shared" si="1"/>
        <v>A</v>
      </c>
      <c r="D49">
        <v>101</v>
      </c>
      <c r="E49">
        <v>94.169479618194003</v>
      </c>
      <c r="F49"/>
      <c r="G49" s="5"/>
      <c r="Q49" s="21"/>
      <c r="R49" s="21"/>
    </row>
    <row r="50" spans="1:18" ht="17.25" x14ac:dyDescent="0.25">
      <c r="A50" s="21">
        <f t="shared" si="0"/>
        <v>-4.5432648706125178E-3</v>
      </c>
      <c r="B50" t="s">
        <v>43</v>
      </c>
      <c r="C50" s="21" t="str">
        <f t="shared" si="1"/>
        <v>A</v>
      </c>
      <c r="D50">
        <v>96</v>
      </c>
      <c r="E50">
        <v>95.563846572421198</v>
      </c>
      <c r="F50"/>
      <c r="G50" s="5"/>
      <c r="Q50" s="21"/>
      <c r="R50" s="21"/>
    </row>
    <row r="51" spans="1:18" ht="17.25" x14ac:dyDescent="0.25">
      <c r="A51" s="21">
        <f t="shared" si="0"/>
        <v>4.7264793337871369E-2</v>
      </c>
      <c r="B51" t="s">
        <v>43</v>
      </c>
      <c r="C51" s="21" t="str">
        <f t="shared" si="1"/>
        <v>A</v>
      </c>
      <c r="D51">
        <v>101</v>
      </c>
      <c r="E51">
        <v>105.773744127125</v>
      </c>
      <c r="F51"/>
      <c r="G51" s="5"/>
      <c r="Q51" s="21"/>
      <c r="R51" s="21"/>
    </row>
    <row r="52" spans="1:18" ht="17.25" x14ac:dyDescent="0.25">
      <c r="A52" s="21">
        <f t="shared" si="0"/>
        <v>8.8964203631706429E-2</v>
      </c>
      <c r="B52" t="s">
        <v>43</v>
      </c>
      <c r="C52" s="21" t="str">
        <f t="shared" si="1"/>
        <v>A</v>
      </c>
      <c r="D52">
        <v>92</v>
      </c>
      <c r="E52">
        <v>100.184706734117</v>
      </c>
      <c r="F52"/>
      <c r="G52" s="5"/>
      <c r="Q52" s="21"/>
      <c r="R52" s="21"/>
    </row>
    <row r="53" spans="1:18" ht="17.25" x14ac:dyDescent="0.25">
      <c r="A53" s="21">
        <f t="shared" si="0"/>
        <v>-1.8762924516586565E-2</v>
      </c>
      <c r="B53" t="s">
        <v>43</v>
      </c>
      <c r="C53" s="21" t="str">
        <f t="shared" si="1"/>
        <v>A</v>
      </c>
      <c r="D53">
        <v>104</v>
      </c>
      <c r="E53">
        <v>102.048655850275</v>
      </c>
      <c r="F53"/>
      <c r="G53" s="5"/>
      <c r="Q53" s="21"/>
      <c r="R53" s="21"/>
    </row>
    <row r="54" spans="1:18" ht="17.25" x14ac:dyDescent="0.25">
      <c r="A54" s="21">
        <f t="shared" si="0"/>
        <v>-0.16516136211783405</v>
      </c>
      <c r="B54" t="s">
        <v>43</v>
      </c>
      <c r="C54" s="21" t="str">
        <f t="shared" si="1"/>
        <v>A</v>
      </c>
      <c r="D54">
        <v>94</v>
      </c>
      <c r="E54">
        <v>78.474831960923595</v>
      </c>
      <c r="F54"/>
      <c r="G54" s="5"/>
      <c r="Q54" s="21"/>
      <c r="R54" s="21"/>
    </row>
    <row r="55" spans="1:18" ht="17.25" x14ac:dyDescent="0.25">
      <c r="A55" s="21">
        <f t="shared" si="0"/>
        <v>-5.2572075519124239E-2</v>
      </c>
      <c r="B55" t="s">
        <v>43</v>
      </c>
      <c r="C55" s="21" t="str">
        <f t="shared" si="1"/>
        <v>A</v>
      </c>
      <c r="D55">
        <v>145</v>
      </c>
      <c r="E55">
        <v>137.37704904972699</v>
      </c>
      <c r="F55"/>
      <c r="G55" s="5"/>
      <c r="Q55" s="21"/>
      <c r="R55" s="21"/>
    </row>
    <row r="56" spans="1:18" ht="17.25" x14ac:dyDescent="0.25">
      <c r="A56" s="21">
        <f t="shared" si="0"/>
        <v>-0.12314307189171225</v>
      </c>
      <c r="B56" t="s">
        <v>43</v>
      </c>
      <c r="C56" s="21" t="str">
        <f t="shared" si="1"/>
        <v>A</v>
      </c>
      <c r="D56">
        <v>139</v>
      </c>
      <c r="E56">
        <v>121.883113007052</v>
      </c>
      <c r="F56"/>
      <c r="G56" s="5"/>
      <c r="Q56" s="21"/>
      <c r="R56" s="21"/>
    </row>
    <row r="57" spans="1:18" ht="17.25" x14ac:dyDescent="0.25">
      <c r="A57" s="21">
        <f t="shared" si="0"/>
        <v>-6.3370899884895748E-2</v>
      </c>
      <c r="B57" t="s">
        <v>43</v>
      </c>
      <c r="C57" s="21" t="str">
        <f t="shared" si="1"/>
        <v>A</v>
      </c>
      <c r="D57">
        <v>115</v>
      </c>
      <c r="E57">
        <v>107.71234651323699</v>
      </c>
      <c r="F57"/>
      <c r="G57" s="5"/>
      <c r="Q57" s="21"/>
      <c r="R57" s="21"/>
    </row>
    <row r="58" spans="1:18" x14ac:dyDescent="0.25">
      <c r="A58" s="21">
        <f t="shared" si="0"/>
        <v>7.9051433579395702E-2</v>
      </c>
      <c r="B58" t="s">
        <v>44</v>
      </c>
      <c r="C58" s="21" t="str">
        <f t="shared" si="1"/>
        <v>A</v>
      </c>
      <c r="D58">
        <v>90</v>
      </c>
      <c r="E58">
        <v>97.114629022145607</v>
      </c>
      <c r="F58"/>
      <c r="G58"/>
      <c r="Q58" s="21"/>
      <c r="R58" s="21"/>
    </row>
    <row r="59" spans="1:18" x14ac:dyDescent="0.25">
      <c r="A59" s="21">
        <f t="shared" si="0"/>
        <v>-0.23605992763227635</v>
      </c>
      <c r="B59" t="s">
        <v>44</v>
      </c>
      <c r="C59" s="21" t="str">
        <f t="shared" si="1"/>
        <v>B</v>
      </c>
      <c r="D59">
        <v>137.5</v>
      </c>
      <c r="E59">
        <v>105.041759950562</v>
      </c>
      <c r="F59"/>
      <c r="G59"/>
      <c r="Q59" s="21"/>
      <c r="R59" s="21"/>
    </row>
    <row r="60" spans="1:18" x14ac:dyDescent="0.25">
      <c r="A60" s="21">
        <f t="shared" si="0"/>
        <v>-0.16142668766218404</v>
      </c>
      <c r="B60" t="s">
        <v>44</v>
      </c>
      <c r="C60" s="21" t="str">
        <f t="shared" si="1"/>
        <v>A</v>
      </c>
      <c r="D60">
        <v>106.5</v>
      </c>
      <c r="E60">
        <v>89.308057763977402</v>
      </c>
      <c r="F60"/>
      <c r="G60"/>
      <c r="Q60" s="21"/>
      <c r="R60" s="21"/>
    </row>
    <row r="61" spans="1:18" x14ac:dyDescent="0.25">
      <c r="A61" s="21">
        <f t="shared" si="0"/>
        <v>-9.7538457956968361E-2</v>
      </c>
      <c r="B61" t="s">
        <v>44</v>
      </c>
      <c r="C61" s="21" t="str">
        <f t="shared" si="1"/>
        <v>A</v>
      </c>
      <c r="D61">
        <v>101</v>
      </c>
      <c r="E61">
        <v>91.148615746346195</v>
      </c>
      <c r="F61"/>
      <c r="G61"/>
      <c r="Q61" s="21"/>
      <c r="R61" s="21"/>
    </row>
    <row r="62" spans="1:18" ht="17.25" x14ac:dyDescent="0.25">
      <c r="A62" s="21">
        <f t="shared" si="0"/>
        <v>-0.20852209724996218</v>
      </c>
      <c r="B62" t="s">
        <v>45</v>
      </c>
      <c r="C62" s="21" t="str">
        <f t="shared" si="1"/>
        <v>B</v>
      </c>
      <c r="D62">
        <v>212</v>
      </c>
      <c r="E62">
        <v>167.79331538300801</v>
      </c>
      <c r="F62"/>
      <c r="G62" s="5"/>
      <c r="H62"/>
      <c r="Q62" s="21"/>
      <c r="R62" s="21"/>
    </row>
    <row r="63" spans="1:18" ht="17.25" x14ac:dyDescent="0.25">
      <c r="A63" s="21">
        <f t="shared" si="0"/>
        <v>-0.30267966100953492</v>
      </c>
      <c r="B63" t="s">
        <v>45</v>
      </c>
      <c r="C63" s="21" t="str">
        <f t="shared" si="1"/>
        <v>B</v>
      </c>
      <c r="D63">
        <v>258</v>
      </c>
      <c r="E63">
        <v>179.90864745953999</v>
      </c>
      <c r="F63"/>
      <c r="G63" s="5"/>
      <c r="H63"/>
      <c r="Q63" s="21"/>
      <c r="R63" s="21"/>
    </row>
    <row r="64" spans="1:18" ht="17.25" x14ac:dyDescent="0.25">
      <c r="A64" s="21">
        <f t="shared" si="0"/>
        <v>-0.40288747480716114</v>
      </c>
      <c r="B64" t="s">
        <v>45</v>
      </c>
      <c r="C64" s="21" t="str">
        <f t="shared" si="1"/>
        <v>B</v>
      </c>
      <c r="D64">
        <v>257.5</v>
      </c>
      <c r="E64">
        <v>153.756475237156</v>
      </c>
      <c r="F64"/>
      <c r="G64" s="5"/>
      <c r="H64"/>
      <c r="Q64" s="21"/>
      <c r="R64" s="21"/>
    </row>
    <row r="65" spans="1:18" ht="17.25" x14ac:dyDescent="0.25">
      <c r="A65" s="21">
        <f t="shared" si="0"/>
        <v>-0.14769649348127623</v>
      </c>
      <c r="B65" t="s">
        <v>45</v>
      </c>
      <c r="C65" s="21" t="str">
        <f t="shared" si="1"/>
        <v>A</v>
      </c>
      <c r="D65">
        <v>204.5</v>
      </c>
      <c r="E65">
        <v>174.29606708307901</v>
      </c>
      <c r="F65"/>
      <c r="G65" s="5"/>
      <c r="H65"/>
      <c r="Q65" s="21"/>
      <c r="R65" s="21"/>
    </row>
    <row r="66" spans="1:18" ht="17.25" x14ac:dyDescent="0.25">
      <c r="A66" s="21">
        <f t="shared" si="0"/>
        <v>-9.8472673766187957E-2</v>
      </c>
      <c r="B66" t="s">
        <v>45</v>
      </c>
      <c r="C66" s="21" t="str">
        <f t="shared" si="1"/>
        <v>A</v>
      </c>
      <c r="D66">
        <v>383</v>
      </c>
      <c r="E66">
        <v>345.28496594755001</v>
      </c>
      <c r="F66"/>
      <c r="G66" s="5"/>
      <c r="H66"/>
      <c r="Q66" s="21"/>
      <c r="R66" s="21"/>
    </row>
    <row r="67" spans="1:18" ht="17.25" x14ac:dyDescent="0.25">
      <c r="A67" s="21">
        <f t="shared" si="0"/>
        <v>-0.26913271480673462</v>
      </c>
      <c r="B67" t="s">
        <v>46</v>
      </c>
      <c r="C67" s="21" t="str">
        <f t="shared" si="1"/>
        <v>B</v>
      </c>
      <c r="D67">
        <v>96.5</v>
      </c>
      <c r="E67">
        <v>70.528693021150104</v>
      </c>
      <c r="F67"/>
      <c r="G67" s="5"/>
      <c r="I67"/>
      <c r="Q67" s="21"/>
      <c r="R67" s="21"/>
    </row>
    <row r="68" spans="1:18" ht="17.25" x14ac:dyDescent="0.25">
      <c r="A68" s="21">
        <f t="shared" si="0"/>
        <v>-0.15522921090882091</v>
      </c>
      <c r="B68" t="s">
        <v>46</v>
      </c>
      <c r="C68" s="21" t="str">
        <f t="shared" si="1"/>
        <v>A</v>
      </c>
      <c r="D68">
        <v>153.5</v>
      </c>
      <c r="E68">
        <v>129.672316125496</v>
      </c>
      <c r="F68"/>
      <c r="G68" s="5"/>
      <c r="I68"/>
      <c r="Q68" s="21"/>
      <c r="R68" s="21"/>
    </row>
    <row r="69" spans="1:18" ht="17.25" x14ac:dyDescent="0.25">
      <c r="A69" s="21">
        <f t="shared" si="0"/>
        <v>-0.16190284508773189</v>
      </c>
      <c r="B69" t="s">
        <v>46</v>
      </c>
      <c r="C69" s="21" t="str">
        <f t="shared" si="1"/>
        <v>A</v>
      </c>
      <c r="D69">
        <v>130.5</v>
      </c>
      <c r="E69">
        <v>109.37167871605099</v>
      </c>
      <c r="F69"/>
      <c r="G69" s="5"/>
      <c r="I69"/>
      <c r="Q69" s="21"/>
      <c r="R69" s="21"/>
    </row>
    <row r="70" spans="1:18" ht="17.25" x14ac:dyDescent="0.25">
      <c r="A70" s="21">
        <f t="shared" si="0"/>
        <v>-0.19450477804276467</v>
      </c>
      <c r="B70" t="s">
        <v>46</v>
      </c>
      <c r="C70" s="21" t="str">
        <f t="shared" si="1"/>
        <v>A</v>
      </c>
      <c r="D70">
        <v>136</v>
      </c>
      <c r="E70">
        <v>109.547350186184</v>
      </c>
      <c r="F70"/>
      <c r="G70" s="5"/>
      <c r="I70"/>
      <c r="Q70" s="21"/>
      <c r="R70" s="21"/>
    </row>
    <row r="71" spans="1:18" ht="17.25" x14ac:dyDescent="0.25">
      <c r="A71" s="21">
        <f t="shared" si="0"/>
        <v>-0.24454929818986026</v>
      </c>
      <c r="B71" t="s">
        <v>46</v>
      </c>
      <c r="C71" s="21" t="str">
        <f t="shared" si="1"/>
        <v>B</v>
      </c>
      <c r="D71">
        <v>111</v>
      </c>
      <c r="E71">
        <v>83.855027900925506</v>
      </c>
      <c r="F71"/>
      <c r="G71" s="5"/>
      <c r="I71"/>
      <c r="Q71" s="21"/>
      <c r="R71" s="21"/>
    </row>
    <row r="72" spans="1:18" ht="17.25" x14ac:dyDescent="0.25">
      <c r="A72" s="21">
        <f t="shared" si="0"/>
        <v>-0.18058366325335473</v>
      </c>
      <c r="B72" t="s">
        <v>46</v>
      </c>
      <c r="C72" s="21" t="str">
        <f t="shared" si="1"/>
        <v>A</v>
      </c>
      <c r="D72">
        <v>156.5</v>
      </c>
      <c r="E72">
        <v>128.23865670084999</v>
      </c>
      <c r="F72"/>
      <c r="G72" s="5"/>
      <c r="I72"/>
      <c r="Q72" s="21"/>
      <c r="R72" s="21"/>
    </row>
    <row r="73" spans="1:18" ht="17.25" x14ac:dyDescent="0.25">
      <c r="A73" s="21">
        <f t="shared" si="0"/>
        <v>0.29323768430224773</v>
      </c>
      <c r="B73" t="s">
        <v>46</v>
      </c>
      <c r="C73" s="21" t="str">
        <f t="shared" si="1"/>
        <v>B</v>
      </c>
      <c r="D73">
        <v>109</v>
      </c>
      <c r="E73">
        <v>140.962907588945</v>
      </c>
      <c r="F73"/>
      <c r="G73" s="5"/>
      <c r="I73"/>
      <c r="Q73" s="21"/>
      <c r="R73" s="21"/>
    </row>
    <row r="74" spans="1:18" ht="17.25" x14ac:dyDescent="0.25">
      <c r="A74" s="21">
        <f t="shared" si="0"/>
        <v>-5.4485448560232186E-2</v>
      </c>
      <c r="B74" t="s">
        <v>46</v>
      </c>
      <c r="C74" s="21" t="str">
        <f t="shared" si="1"/>
        <v>A</v>
      </c>
      <c r="D74">
        <v>112</v>
      </c>
      <c r="E74">
        <v>105.897629761254</v>
      </c>
      <c r="F74"/>
      <c r="G74" s="5"/>
      <c r="I74"/>
      <c r="Q74" s="21"/>
      <c r="R74" s="21"/>
    </row>
    <row r="75" spans="1:18" ht="17.25" x14ac:dyDescent="0.25">
      <c r="A75" s="21">
        <f t="shared" si="0"/>
        <v>-6.6878509469732172E-2</v>
      </c>
      <c r="B75" t="s">
        <v>46</v>
      </c>
      <c r="C75" s="21" t="str">
        <f t="shared" si="1"/>
        <v>A</v>
      </c>
      <c r="D75">
        <v>93</v>
      </c>
      <c r="E75">
        <v>86.780298619314905</v>
      </c>
      <c r="F75"/>
      <c r="G75" s="5"/>
      <c r="I75"/>
      <c r="Q75" s="21"/>
      <c r="R75" s="21"/>
    </row>
    <row r="76" spans="1:18" ht="17.25" x14ac:dyDescent="0.25">
      <c r="A76" s="21">
        <f t="shared" si="0"/>
        <v>-0.22898432494053211</v>
      </c>
      <c r="B76" t="s">
        <v>46</v>
      </c>
      <c r="C76" s="21" t="str">
        <f t="shared" si="1"/>
        <v>B</v>
      </c>
      <c r="D76">
        <v>163.5</v>
      </c>
      <c r="E76">
        <v>126.061062872223</v>
      </c>
      <c r="F76"/>
      <c r="G76" s="5"/>
      <c r="I76"/>
      <c r="Q76" s="21"/>
      <c r="R76" s="21"/>
    </row>
    <row r="77" spans="1:18" ht="17.25" x14ac:dyDescent="0.25">
      <c r="A77" s="21">
        <f t="shared" si="0"/>
        <v>1.9069645398926527E-2</v>
      </c>
      <c r="B77" t="s">
        <v>46</v>
      </c>
      <c r="C77" s="21" t="str">
        <f t="shared" si="1"/>
        <v>A</v>
      </c>
      <c r="D77">
        <v>136</v>
      </c>
      <c r="E77">
        <v>138.593471774254</v>
      </c>
      <c r="F77"/>
      <c r="G77" s="5"/>
      <c r="I77"/>
      <c r="Q77" s="21"/>
      <c r="R77" s="21"/>
    </row>
    <row r="78" spans="1:18" ht="17.25" x14ac:dyDescent="0.25">
      <c r="A78" s="21">
        <f t="shared" si="0"/>
        <v>0.15224067818896669</v>
      </c>
      <c r="B78" t="s">
        <v>46</v>
      </c>
      <c r="C78" s="21" t="str">
        <f t="shared" si="1"/>
        <v>A</v>
      </c>
      <c r="D78">
        <v>120</v>
      </c>
      <c r="E78">
        <v>138.268881382676</v>
      </c>
      <c r="F78"/>
      <c r="G78" s="5"/>
      <c r="I78"/>
      <c r="Q78" s="21"/>
      <c r="R78" s="21"/>
    </row>
    <row r="79" spans="1:18" ht="17.25" x14ac:dyDescent="0.25">
      <c r="A79" s="21">
        <f t="shared" si="0"/>
        <v>-1.3974993748498643E-2</v>
      </c>
      <c r="B79" t="s">
        <v>47</v>
      </c>
      <c r="C79" s="21" t="str">
        <f t="shared" si="1"/>
        <v>A</v>
      </c>
      <c r="D79">
        <v>184.5</v>
      </c>
      <c r="E79">
        <v>181.92161365340201</v>
      </c>
      <c r="F79"/>
      <c r="G79" s="5"/>
      <c r="J79"/>
      <c r="Q79" s="21"/>
      <c r="R79" s="21"/>
    </row>
    <row r="80" spans="1:18" ht="17.25" x14ac:dyDescent="0.25">
      <c r="A80" s="21">
        <f t="shared" si="0"/>
        <v>-0.15543970691402054</v>
      </c>
      <c r="B80" t="s">
        <v>47</v>
      </c>
      <c r="C80" s="21" t="str">
        <f t="shared" si="1"/>
        <v>A</v>
      </c>
      <c r="D80">
        <v>195</v>
      </c>
      <c r="E80">
        <v>164.68925715176599</v>
      </c>
      <c r="F80"/>
      <c r="G80" s="5"/>
      <c r="J80"/>
      <c r="Q80" s="21"/>
      <c r="R80" s="21"/>
    </row>
    <row r="81" spans="1:18" ht="17.25" x14ac:dyDescent="0.25">
      <c r="A81" s="21">
        <f t="shared" si="0"/>
        <v>-0.17469854191383039</v>
      </c>
      <c r="B81" t="s">
        <v>47</v>
      </c>
      <c r="C81" s="21" t="str">
        <f t="shared" si="1"/>
        <v>A</v>
      </c>
      <c r="D81">
        <v>224</v>
      </c>
      <c r="E81">
        <v>184.867526611302</v>
      </c>
      <c r="F81"/>
      <c r="G81" s="5"/>
      <c r="J81"/>
      <c r="Q81" s="21"/>
      <c r="R81" s="21"/>
    </row>
    <row r="82" spans="1:18" ht="17.25" x14ac:dyDescent="0.25">
      <c r="A82" s="21">
        <f t="shared" si="0"/>
        <v>-0.19031315923418213</v>
      </c>
      <c r="B82" t="s">
        <v>47</v>
      </c>
      <c r="C82" s="21" t="str">
        <f t="shared" si="1"/>
        <v>A</v>
      </c>
      <c r="D82">
        <v>247</v>
      </c>
      <c r="E82">
        <v>199.992649669157</v>
      </c>
      <c r="F82"/>
      <c r="G82" s="5"/>
      <c r="J82"/>
      <c r="Q82" s="21"/>
      <c r="R82" s="21"/>
    </row>
    <row r="83" spans="1:18" ht="17.25" x14ac:dyDescent="0.25">
      <c r="A83" s="21">
        <f t="shared" si="0"/>
        <v>7.4777879798835656E-2</v>
      </c>
      <c r="B83" t="s">
        <v>47</v>
      </c>
      <c r="C83" s="21" t="str">
        <f t="shared" si="1"/>
        <v>A</v>
      </c>
      <c r="D83">
        <v>146</v>
      </c>
      <c r="E83">
        <v>156.91757045063</v>
      </c>
      <c r="F83"/>
      <c r="G83" s="5"/>
      <c r="J83"/>
      <c r="Q83" s="21"/>
      <c r="R83" s="21"/>
    </row>
    <row r="84" spans="1:18" ht="17.25" x14ac:dyDescent="0.25">
      <c r="A84" s="21">
        <f t="shared" si="0"/>
        <v>2.0116442354808806E-2</v>
      </c>
      <c r="B84" t="s">
        <v>47</v>
      </c>
      <c r="C84" s="21" t="str">
        <f t="shared" si="1"/>
        <v>A</v>
      </c>
      <c r="D84">
        <v>183</v>
      </c>
      <c r="E84">
        <v>186.68130895093</v>
      </c>
      <c r="F84"/>
      <c r="G84" s="5"/>
      <c r="J84"/>
      <c r="Q84" s="21"/>
      <c r="R84" s="21"/>
    </row>
    <row r="85" spans="1:18" ht="17.25" x14ac:dyDescent="0.25">
      <c r="A85" s="21">
        <f t="shared" si="0"/>
        <v>0.25744878615931444</v>
      </c>
      <c r="B85" t="s">
        <v>47</v>
      </c>
      <c r="C85" s="21" t="str">
        <f t="shared" si="1"/>
        <v>B</v>
      </c>
      <c r="D85">
        <v>159</v>
      </c>
      <c r="E85">
        <v>199.93435699933099</v>
      </c>
      <c r="F85"/>
      <c r="G85" s="5"/>
      <c r="J85"/>
      <c r="Q85" s="21"/>
      <c r="R85" s="21"/>
    </row>
    <row r="86" spans="1:18" ht="17.25" x14ac:dyDescent="0.25">
      <c r="A86" s="21">
        <f t="shared" si="0"/>
        <v>-0.20164675579534042</v>
      </c>
      <c r="B86" t="s">
        <v>48</v>
      </c>
      <c r="C86" s="21" t="str">
        <f t="shared" si="1"/>
        <v>B</v>
      </c>
      <c r="D86">
        <v>99</v>
      </c>
      <c r="E86">
        <v>79.036971176261304</v>
      </c>
      <c r="F86"/>
      <c r="G86" s="5"/>
      <c r="K86"/>
      <c r="Q86" s="21"/>
      <c r="R86" s="21"/>
    </row>
    <row r="87" spans="1:18" ht="17.25" x14ac:dyDescent="0.25">
      <c r="A87" s="21">
        <f t="shared" si="0"/>
        <v>-0.11335983947252859</v>
      </c>
      <c r="B87" t="s">
        <v>48</v>
      </c>
      <c r="C87" s="21" t="str">
        <f t="shared" si="1"/>
        <v>A</v>
      </c>
      <c r="D87">
        <v>140</v>
      </c>
      <c r="E87">
        <v>124.129622473846</v>
      </c>
      <c r="F87"/>
      <c r="G87" s="5"/>
      <c r="K87"/>
      <c r="Q87" s="21"/>
      <c r="R87" s="21"/>
    </row>
    <row r="88" spans="1:18" ht="17.25" x14ac:dyDescent="0.25">
      <c r="A88" s="21">
        <f t="shared" si="0"/>
        <v>-1.0176130008777706E-2</v>
      </c>
      <c r="B88" t="s">
        <v>48</v>
      </c>
      <c r="C88" s="21" t="str">
        <f t="shared" si="1"/>
        <v>A</v>
      </c>
      <c r="D88">
        <v>135</v>
      </c>
      <c r="E88">
        <v>133.62622244881501</v>
      </c>
      <c r="F88"/>
      <c r="G88" s="5"/>
      <c r="K88"/>
      <c r="Q88" s="21"/>
      <c r="R88" s="21"/>
    </row>
    <row r="89" spans="1:18" ht="17.25" x14ac:dyDescent="0.25">
      <c r="A89" s="21">
        <f t="shared" si="0"/>
        <v>-2.968492256944999E-2</v>
      </c>
      <c r="B89" t="s">
        <v>48</v>
      </c>
      <c r="C89" s="21" t="str">
        <f t="shared" si="1"/>
        <v>A</v>
      </c>
      <c r="D89">
        <v>98</v>
      </c>
      <c r="E89">
        <v>95.090877588193905</v>
      </c>
      <c r="F89"/>
      <c r="G89" s="5"/>
      <c r="K89"/>
      <c r="Q89" s="21"/>
      <c r="R89" s="21"/>
    </row>
    <row r="90" spans="1:18" ht="17.25" x14ac:dyDescent="0.25">
      <c r="A90" s="21">
        <f t="shared" si="0"/>
        <v>-0.14032690828201078</v>
      </c>
      <c r="B90" t="s">
        <v>48</v>
      </c>
      <c r="C90" s="21" t="str">
        <f t="shared" si="1"/>
        <v>A</v>
      </c>
      <c r="D90">
        <v>93</v>
      </c>
      <c r="E90">
        <v>79.949597529773001</v>
      </c>
      <c r="F90"/>
      <c r="G90" s="5"/>
      <c r="K90"/>
      <c r="Q90" s="21"/>
      <c r="R90" s="21"/>
    </row>
    <row r="91" spans="1:18" ht="17.25" x14ac:dyDescent="0.25">
      <c r="A91" s="21">
        <f t="shared" si="0"/>
        <v>-0.2131238851047218</v>
      </c>
      <c r="B91" t="s">
        <v>48</v>
      </c>
      <c r="C91" s="21" t="str">
        <f t="shared" si="1"/>
        <v>B</v>
      </c>
      <c r="D91">
        <v>151</v>
      </c>
      <c r="E91">
        <v>118.818293349187</v>
      </c>
      <c r="F91"/>
      <c r="G91" s="5"/>
      <c r="K91"/>
      <c r="Q91" s="21"/>
      <c r="R91" s="21"/>
    </row>
    <row r="92" spans="1:18" ht="17.25" x14ac:dyDescent="0.25">
      <c r="A92" s="21">
        <f t="shared" si="0"/>
        <v>-0.28167017874958533</v>
      </c>
      <c r="B92" t="s">
        <v>48</v>
      </c>
      <c r="C92" s="21" t="str">
        <f t="shared" si="1"/>
        <v>B</v>
      </c>
      <c r="D92">
        <v>164</v>
      </c>
      <c r="E92">
        <v>117.806090685068</v>
      </c>
      <c r="F92"/>
      <c r="G92" s="5"/>
      <c r="K92"/>
      <c r="Q92" s="21"/>
      <c r="R92" s="21"/>
    </row>
    <row r="93" spans="1:18" ht="17.25" x14ac:dyDescent="0.25">
      <c r="A93" s="21">
        <f t="shared" si="0"/>
        <v>-0.21071450522318746</v>
      </c>
      <c r="B93" t="s">
        <v>48</v>
      </c>
      <c r="C93" s="21" t="str">
        <f t="shared" si="1"/>
        <v>B</v>
      </c>
      <c r="D93">
        <v>128</v>
      </c>
      <c r="E93">
        <v>101.028543331432</v>
      </c>
      <c r="F93"/>
      <c r="G93" s="5"/>
      <c r="K93"/>
      <c r="Q93" s="21"/>
      <c r="R93" s="21"/>
    </row>
    <row r="94" spans="1:18" ht="17.25" x14ac:dyDescent="0.25">
      <c r="A94" s="21">
        <f t="shared" si="0"/>
        <v>0.19230279943534945</v>
      </c>
      <c r="B94" t="s">
        <v>49</v>
      </c>
      <c r="C94" s="21" t="str">
        <f t="shared" si="1"/>
        <v>A</v>
      </c>
      <c r="D94">
        <v>77</v>
      </c>
      <c r="E94">
        <v>91.8073155565219</v>
      </c>
      <c r="F94"/>
      <c r="G94" s="5"/>
      <c r="L94"/>
      <c r="Q94" s="21"/>
      <c r="R94" s="21"/>
    </row>
    <row r="95" spans="1:18" ht="17.25" x14ac:dyDescent="0.25">
      <c r="A95" s="21">
        <f t="shared" si="0"/>
        <v>-0.17379669893606009</v>
      </c>
      <c r="B95" t="s">
        <v>49</v>
      </c>
      <c r="C95" s="21" t="str">
        <f t="shared" si="1"/>
        <v>A</v>
      </c>
      <c r="D95">
        <v>133</v>
      </c>
      <c r="E95">
        <v>109.885039041504</v>
      </c>
      <c r="F95"/>
      <c r="G95" s="5"/>
      <c r="L95"/>
      <c r="Q95" s="21"/>
      <c r="R95" s="21"/>
    </row>
    <row r="96" spans="1:18" ht="17.25" x14ac:dyDescent="0.25">
      <c r="A96" s="21">
        <f t="shared" si="0"/>
        <v>0.11432998767489089</v>
      </c>
      <c r="B96" t="s">
        <v>49</v>
      </c>
      <c r="C96" s="21" t="str">
        <f t="shared" si="1"/>
        <v>A</v>
      </c>
      <c r="D96">
        <v>110</v>
      </c>
      <c r="E96">
        <v>122.57629864423799</v>
      </c>
      <c r="F96"/>
      <c r="G96" s="5"/>
      <c r="L96"/>
      <c r="Q96" s="21"/>
      <c r="R96" s="21"/>
    </row>
    <row r="97" spans="1:18" ht="17.25" x14ac:dyDescent="0.25">
      <c r="A97" s="21">
        <f t="shared" si="0"/>
        <v>5.7562635644549109E-2</v>
      </c>
      <c r="B97" t="s">
        <v>49</v>
      </c>
      <c r="C97" s="21" t="str">
        <f t="shared" si="1"/>
        <v>A</v>
      </c>
      <c r="D97">
        <v>102</v>
      </c>
      <c r="E97">
        <v>107.871388835744</v>
      </c>
      <c r="F97"/>
      <c r="G97" s="5"/>
      <c r="L97"/>
      <c r="Q97" s="21"/>
      <c r="R97" s="21"/>
    </row>
    <row r="98" spans="1:18" ht="17.25" x14ac:dyDescent="0.25">
      <c r="A98" s="21">
        <f t="shared" si="0"/>
        <v>0.28823533734772155</v>
      </c>
      <c r="B98" t="s">
        <v>49</v>
      </c>
      <c r="C98" s="21" t="str">
        <f t="shared" si="1"/>
        <v>B</v>
      </c>
      <c r="D98">
        <v>79</v>
      </c>
      <c r="E98">
        <v>101.77059165047</v>
      </c>
      <c r="F98"/>
      <c r="G98" s="5"/>
      <c r="L98"/>
      <c r="Q98" s="21"/>
      <c r="R98" s="21"/>
    </row>
    <row r="99" spans="1:18" ht="17.25" x14ac:dyDescent="0.25">
      <c r="A99" s="21">
        <f t="shared" si="0"/>
        <v>-0.31408199992214192</v>
      </c>
      <c r="B99" t="s">
        <v>49</v>
      </c>
      <c r="C99" s="21" t="str">
        <f t="shared" si="1"/>
        <v>B</v>
      </c>
      <c r="D99">
        <v>155</v>
      </c>
      <c r="E99">
        <v>106.317290012068</v>
      </c>
      <c r="F99"/>
      <c r="G99" s="5"/>
      <c r="L99"/>
      <c r="Q99" s="21"/>
      <c r="R99" s="21"/>
    </row>
    <row r="100" spans="1:18" ht="17.25" x14ac:dyDescent="0.25">
      <c r="A100" s="21">
        <f t="shared" si="0"/>
        <v>-0.2101673660997484</v>
      </c>
      <c r="B100" t="s">
        <v>49</v>
      </c>
      <c r="C100" s="21" t="str">
        <f t="shared" si="1"/>
        <v>B</v>
      </c>
      <c r="D100">
        <v>159</v>
      </c>
      <c r="E100">
        <v>125.58338879014001</v>
      </c>
      <c r="F100"/>
      <c r="G100" s="5"/>
      <c r="L100"/>
      <c r="Q100" s="21"/>
      <c r="R100" s="21"/>
    </row>
    <row r="101" spans="1:18" ht="17.25" x14ac:dyDescent="0.25">
      <c r="A101" s="21">
        <f t="shared" si="0"/>
        <v>8.3296073082333333E-2</v>
      </c>
      <c r="B101" t="s">
        <v>49</v>
      </c>
      <c r="C101" s="21" t="str">
        <f t="shared" si="1"/>
        <v>A</v>
      </c>
      <c r="D101">
        <v>114</v>
      </c>
      <c r="E101">
        <v>123.495752331386</v>
      </c>
      <c r="F101"/>
      <c r="G101" s="5"/>
      <c r="L101"/>
      <c r="Q101" s="21"/>
      <c r="R101" s="21"/>
    </row>
    <row r="102" spans="1:18" ht="17.25" x14ac:dyDescent="0.25">
      <c r="A102" s="21">
        <f t="shared" si="0"/>
        <v>0.13865217363391169</v>
      </c>
      <c r="B102" t="s">
        <v>49</v>
      </c>
      <c r="C102" s="21" t="str">
        <f t="shared" si="1"/>
        <v>A</v>
      </c>
      <c r="D102">
        <v>136</v>
      </c>
      <c r="E102">
        <v>154.85669561421199</v>
      </c>
      <c r="F102"/>
      <c r="G102" s="5"/>
      <c r="L102"/>
      <c r="Q102" s="21"/>
      <c r="R102" s="21"/>
    </row>
    <row r="103" spans="1:18" ht="17.25" x14ac:dyDescent="0.25">
      <c r="A103" s="21">
        <f t="shared" ref="A103:A167" si="2">E103/D103-1</f>
        <v>0.61403703672116805</v>
      </c>
      <c r="B103" t="s">
        <v>49</v>
      </c>
      <c r="C103" s="21" t="str">
        <f t="shared" ref="C103:C166" si="3">IF(OR(A103&gt;=20%,A103&lt;=-20%),"B","A")</f>
        <v>B</v>
      </c>
      <c r="D103">
        <v>125</v>
      </c>
      <c r="E103">
        <v>201.75462959014601</v>
      </c>
      <c r="F103"/>
      <c r="G103" s="5"/>
      <c r="L103"/>
      <c r="Q103" s="21"/>
      <c r="R103" s="21"/>
    </row>
    <row r="104" spans="1:18" ht="17.25" x14ac:dyDescent="0.25">
      <c r="A104" s="21">
        <f t="shared" si="2"/>
        <v>-7.5451695684464304E-2</v>
      </c>
      <c r="B104" t="s">
        <v>49</v>
      </c>
      <c r="C104" s="21" t="str">
        <f t="shared" si="3"/>
        <v>A</v>
      </c>
      <c r="D104">
        <v>168</v>
      </c>
      <c r="E104">
        <v>155.32411512501</v>
      </c>
      <c r="F104"/>
      <c r="G104" s="5"/>
      <c r="L104"/>
      <c r="Q104" s="21"/>
      <c r="R104" s="21"/>
    </row>
    <row r="105" spans="1:18" ht="17.25" x14ac:dyDescent="0.25">
      <c r="A105" s="21">
        <f t="shared" si="2"/>
        <v>0.1953229172930202</v>
      </c>
      <c r="B105" t="s">
        <v>49</v>
      </c>
      <c r="C105" s="21" t="str">
        <f t="shared" si="3"/>
        <v>A</v>
      </c>
      <c r="D105">
        <v>148</v>
      </c>
      <c r="E105">
        <v>176.907791759367</v>
      </c>
      <c r="F105"/>
      <c r="G105" s="5"/>
      <c r="L105"/>
      <c r="Q105" s="21"/>
      <c r="R105" s="21"/>
    </row>
    <row r="106" spans="1:18" ht="17.25" x14ac:dyDescent="0.25">
      <c r="A106" s="21">
        <f t="shared" si="2"/>
        <v>-0.13182083773984576</v>
      </c>
      <c r="B106" t="s">
        <v>49</v>
      </c>
      <c r="C106" s="21" t="str">
        <f t="shared" si="3"/>
        <v>A</v>
      </c>
      <c r="D106">
        <v>214</v>
      </c>
      <c r="E106">
        <v>185.79034072367301</v>
      </c>
      <c r="F106"/>
      <c r="G106" s="5"/>
      <c r="L106"/>
      <c r="Q106" s="21"/>
      <c r="R106" s="21"/>
    </row>
    <row r="107" spans="1:18" ht="17.25" x14ac:dyDescent="0.25">
      <c r="A107" s="21">
        <f t="shared" si="2"/>
        <v>-0.11433365143183671</v>
      </c>
      <c r="B107" t="s">
        <v>49</v>
      </c>
      <c r="C107" s="21" t="str">
        <f t="shared" si="3"/>
        <v>A</v>
      </c>
      <c r="D107">
        <v>196</v>
      </c>
      <c r="E107">
        <v>173.59060431936001</v>
      </c>
      <c r="F107"/>
      <c r="G107" s="5"/>
      <c r="L107"/>
      <c r="Q107" s="21"/>
      <c r="R107" s="21"/>
    </row>
    <row r="108" spans="1:18" ht="17.25" x14ac:dyDescent="0.25">
      <c r="A108" s="21">
        <f t="shared" si="2"/>
        <v>-4.6902661083950692E-2</v>
      </c>
      <c r="B108" t="s">
        <v>49</v>
      </c>
      <c r="C108" s="21" t="str">
        <f t="shared" si="3"/>
        <v>A</v>
      </c>
      <c r="D108">
        <v>203</v>
      </c>
      <c r="E108">
        <v>193.478759799958</v>
      </c>
      <c r="F108"/>
      <c r="G108" s="5"/>
      <c r="L108"/>
      <c r="Q108" s="21"/>
      <c r="R108" s="21"/>
    </row>
    <row r="109" spans="1:18" ht="17.25" x14ac:dyDescent="0.25">
      <c r="A109" s="21">
        <f t="shared" si="2"/>
        <v>-0.32200336498152882</v>
      </c>
      <c r="B109" t="s">
        <v>49</v>
      </c>
      <c r="C109" s="21" t="str">
        <f t="shared" si="3"/>
        <v>B</v>
      </c>
      <c r="D109">
        <v>278</v>
      </c>
      <c r="E109">
        <v>188.48306453513499</v>
      </c>
      <c r="F109"/>
      <c r="G109" s="5"/>
      <c r="L109"/>
      <c r="Q109" s="21"/>
      <c r="R109" s="21"/>
    </row>
    <row r="110" spans="1:18" ht="17.25" x14ac:dyDescent="0.25">
      <c r="A110" s="21">
        <f t="shared" si="2"/>
        <v>-0.18433375709379829</v>
      </c>
      <c r="B110" t="s">
        <v>49</v>
      </c>
      <c r="C110" s="21" t="str">
        <f t="shared" si="3"/>
        <v>A</v>
      </c>
      <c r="D110">
        <v>228</v>
      </c>
      <c r="E110">
        <v>185.97190338261399</v>
      </c>
      <c r="F110"/>
      <c r="G110" s="5"/>
      <c r="L110"/>
      <c r="Q110" s="21"/>
      <c r="R110" s="21"/>
    </row>
    <row r="111" spans="1:18" ht="17.25" x14ac:dyDescent="0.25">
      <c r="A111" s="21">
        <f t="shared" si="2"/>
        <v>-8.3492280856887202E-2</v>
      </c>
      <c r="B111" t="s">
        <v>49</v>
      </c>
      <c r="C111" s="21" t="str">
        <f t="shared" si="3"/>
        <v>A</v>
      </c>
      <c r="D111">
        <v>195</v>
      </c>
      <c r="E111">
        <v>178.71900523290699</v>
      </c>
      <c r="F111"/>
      <c r="G111" s="5"/>
      <c r="L111"/>
      <c r="Q111" s="21"/>
      <c r="R111" s="21"/>
    </row>
    <row r="112" spans="1:18" ht="17.25" x14ac:dyDescent="0.25">
      <c r="A112" s="21">
        <f t="shared" si="2"/>
        <v>-0.31502717710294281</v>
      </c>
      <c r="B112" t="s">
        <v>49</v>
      </c>
      <c r="C112" s="21" t="str">
        <f t="shared" si="3"/>
        <v>B</v>
      </c>
      <c r="D112">
        <v>253.5</v>
      </c>
      <c r="E112">
        <v>173.640610604404</v>
      </c>
      <c r="F112"/>
      <c r="G112" s="5"/>
      <c r="L112"/>
      <c r="Q112" s="21"/>
      <c r="R112" s="21"/>
    </row>
    <row r="113" spans="1:18" ht="17.25" x14ac:dyDescent="0.25">
      <c r="A113" s="21">
        <f t="shared" si="2"/>
        <v>-0.20440044889463915</v>
      </c>
      <c r="B113" t="s">
        <v>49</v>
      </c>
      <c r="C113" s="21" t="str">
        <f t="shared" si="3"/>
        <v>B</v>
      </c>
      <c r="D113">
        <v>242.5</v>
      </c>
      <c r="E113">
        <v>192.93289114305</v>
      </c>
      <c r="F113"/>
      <c r="G113" s="5"/>
      <c r="L113"/>
      <c r="Q113" s="21"/>
      <c r="R113" s="21"/>
    </row>
    <row r="114" spans="1:18" ht="17.25" x14ac:dyDescent="0.25">
      <c r="A114" s="21">
        <f t="shared" si="2"/>
        <v>-0.31759117740286091</v>
      </c>
      <c r="B114" t="s">
        <v>49</v>
      </c>
      <c r="C114" s="21" t="str">
        <f t="shared" si="3"/>
        <v>B</v>
      </c>
      <c r="D114">
        <v>266</v>
      </c>
      <c r="E114">
        <v>181.520746810839</v>
      </c>
      <c r="F114"/>
      <c r="G114" s="5"/>
      <c r="L114"/>
      <c r="Q114" s="21"/>
      <c r="R114" s="21"/>
    </row>
    <row r="115" spans="1:18" ht="17.25" x14ac:dyDescent="0.25">
      <c r="A115" s="21">
        <f t="shared" si="2"/>
        <v>-0.38847112546038132</v>
      </c>
      <c r="B115" t="s">
        <v>49</v>
      </c>
      <c r="C115" s="21" t="str">
        <f t="shared" si="3"/>
        <v>B</v>
      </c>
      <c r="D115">
        <v>215</v>
      </c>
      <c r="E115">
        <v>131.47870802601801</v>
      </c>
      <c r="F115"/>
      <c r="G115" s="5"/>
      <c r="L115"/>
      <c r="Q115" s="21"/>
      <c r="R115" s="21"/>
    </row>
    <row r="116" spans="1:18" ht="17.25" x14ac:dyDescent="0.25">
      <c r="A116" s="21">
        <f t="shared" si="2"/>
        <v>7.2050395961082314E-2</v>
      </c>
      <c r="B116" t="s">
        <v>49</v>
      </c>
      <c r="C116" s="21" t="str">
        <f t="shared" si="3"/>
        <v>A</v>
      </c>
      <c r="D116">
        <v>139.5</v>
      </c>
      <c r="E116">
        <v>149.55103023657099</v>
      </c>
      <c r="F116"/>
      <c r="G116" s="5"/>
      <c r="L116"/>
      <c r="Q116" s="21"/>
      <c r="R116" s="21"/>
    </row>
    <row r="117" spans="1:18" ht="17.25" x14ac:dyDescent="0.25">
      <c r="A117" s="21">
        <f t="shared" si="2"/>
        <v>3.1807511762074858E-2</v>
      </c>
      <c r="B117" t="s">
        <v>49</v>
      </c>
      <c r="C117" s="21" t="str">
        <f t="shared" si="3"/>
        <v>A</v>
      </c>
      <c r="D117">
        <v>187</v>
      </c>
      <c r="E117">
        <v>192.948004699508</v>
      </c>
      <c r="F117"/>
      <c r="G117" s="5"/>
      <c r="L117"/>
      <c r="Q117" s="21"/>
      <c r="R117" s="21"/>
    </row>
    <row r="118" spans="1:18" ht="17.25" x14ac:dyDescent="0.25">
      <c r="A118" s="21">
        <f t="shared" si="2"/>
        <v>-0.20252858738454449</v>
      </c>
      <c r="B118" t="s">
        <v>49</v>
      </c>
      <c r="C118" s="21" t="str">
        <f t="shared" si="3"/>
        <v>B</v>
      </c>
      <c r="D118">
        <v>281</v>
      </c>
      <c r="E118">
        <v>224.08946694494301</v>
      </c>
      <c r="F118"/>
      <c r="G118" s="5"/>
      <c r="L118"/>
      <c r="Q118" s="21"/>
      <c r="R118" s="21"/>
    </row>
    <row r="119" spans="1:18" ht="17.25" x14ac:dyDescent="0.25">
      <c r="A119" s="21">
        <f t="shared" si="2"/>
        <v>-0.13715317962315032</v>
      </c>
      <c r="B119" t="s">
        <v>49</v>
      </c>
      <c r="C119" s="21" t="str">
        <f t="shared" si="3"/>
        <v>A</v>
      </c>
      <c r="D119">
        <v>306</v>
      </c>
      <c r="E119">
        <v>264.03112703531599</v>
      </c>
      <c r="F119"/>
      <c r="G119" s="5"/>
      <c r="L119"/>
      <c r="Q119" s="21"/>
      <c r="R119" s="21"/>
    </row>
    <row r="120" spans="1:18" ht="17.25" x14ac:dyDescent="0.25">
      <c r="A120" s="21">
        <f t="shared" si="2"/>
        <v>-0.21865077145692635</v>
      </c>
      <c r="B120" t="s">
        <v>49</v>
      </c>
      <c r="C120" s="21" t="str">
        <f t="shared" si="3"/>
        <v>B</v>
      </c>
      <c r="D120">
        <v>258</v>
      </c>
      <c r="E120">
        <v>201.58810096411301</v>
      </c>
      <c r="F120"/>
      <c r="G120" s="5"/>
      <c r="L120"/>
      <c r="Q120" s="21"/>
      <c r="R120" s="21"/>
    </row>
    <row r="121" spans="1:18" ht="17.25" x14ac:dyDescent="0.25">
      <c r="A121" s="21">
        <f t="shared" si="2"/>
        <v>-0.10111638949241508</v>
      </c>
      <c r="B121" t="s">
        <v>49</v>
      </c>
      <c r="C121" s="21" t="str">
        <f t="shared" si="3"/>
        <v>A</v>
      </c>
      <c r="D121">
        <v>212</v>
      </c>
      <c r="E121">
        <v>190.56332542760799</v>
      </c>
      <c r="F121"/>
      <c r="G121" s="5"/>
      <c r="L121"/>
      <c r="Q121" s="21"/>
      <c r="R121" s="21"/>
    </row>
    <row r="122" spans="1:18" ht="17.25" x14ac:dyDescent="0.25">
      <c r="A122" s="21">
        <f t="shared" si="2"/>
        <v>9.5934711995919297E-2</v>
      </c>
      <c r="B122" t="s">
        <v>49</v>
      </c>
      <c r="C122" s="21" t="str">
        <f t="shared" si="3"/>
        <v>A</v>
      </c>
      <c r="D122">
        <v>186</v>
      </c>
      <c r="E122">
        <v>203.84385643124099</v>
      </c>
      <c r="F122"/>
      <c r="G122" s="5"/>
      <c r="L122"/>
      <c r="Q122" s="21"/>
      <c r="R122" s="21"/>
    </row>
    <row r="123" spans="1:18" ht="17.25" x14ac:dyDescent="0.25">
      <c r="A123" s="21">
        <f t="shared" si="2"/>
        <v>0.36522533562552617</v>
      </c>
      <c r="B123" t="s">
        <v>49</v>
      </c>
      <c r="C123" s="21" t="str">
        <f t="shared" si="3"/>
        <v>B</v>
      </c>
      <c r="D123">
        <v>76</v>
      </c>
      <c r="E123">
        <v>103.75712550754</v>
      </c>
      <c r="F123"/>
      <c r="G123" s="5"/>
      <c r="L123"/>
      <c r="Q123" s="21"/>
      <c r="R123" s="21"/>
    </row>
    <row r="124" spans="1:18" ht="17.25" x14ac:dyDescent="0.25">
      <c r="A124" s="21">
        <f t="shared" si="2"/>
        <v>-0.19045849035699902</v>
      </c>
      <c r="B124" t="s">
        <v>49</v>
      </c>
      <c r="C124" s="21" t="str">
        <f t="shared" si="3"/>
        <v>A</v>
      </c>
      <c r="D124">
        <v>113</v>
      </c>
      <c r="E124">
        <v>91.478190589659107</v>
      </c>
      <c r="F124"/>
      <c r="G124" s="5"/>
      <c r="L124"/>
      <c r="Q124" s="21"/>
      <c r="R124" s="21"/>
    </row>
    <row r="125" spans="1:18" ht="17.25" x14ac:dyDescent="0.25">
      <c r="A125" s="21">
        <f t="shared" si="2"/>
        <v>2.114169622601958E-2</v>
      </c>
      <c r="B125" t="s">
        <v>49</v>
      </c>
      <c r="C125" s="21" t="str">
        <f t="shared" si="3"/>
        <v>A</v>
      </c>
      <c r="D125">
        <v>87</v>
      </c>
      <c r="E125">
        <v>88.839327571663702</v>
      </c>
      <c r="F125"/>
      <c r="G125" s="5"/>
      <c r="L125"/>
      <c r="Q125" s="21"/>
      <c r="R125" s="21"/>
    </row>
    <row r="126" spans="1:18" ht="17.25" x14ac:dyDescent="0.25">
      <c r="A126" s="21">
        <f t="shared" si="2"/>
        <v>6.0367161644816036E-2</v>
      </c>
      <c r="B126" t="s">
        <v>50</v>
      </c>
      <c r="C126" s="21" t="str">
        <f t="shared" si="3"/>
        <v>A</v>
      </c>
      <c r="D126">
        <v>81</v>
      </c>
      <c r="E126">
        <v>85.889740093230103</v>
      </c>
      <c r="F126"/>
      <c r="G126" s="5"/>
      <c r="M126"/>
      <c r="Q126" s="21"/>
      <c r="R126" s="21"/>
    </row>
    <row r="127" spans="1:18" x14ac:dyDescent="0.25">
      <c r="A127" s="21">
        <f t="shared" si="2"/>
        <v>0.30305586339100898</v>
      </c>
      <c r="B127" t="s">
        <v>50</v>
      </c>
      <c r="C127" s="21" t="str">
        <f t="shared" si="3"/>
        <v>B</v>
      </c>
      <c r="D127">
        <v>110</v>
      </c>
      <c r="E127">
        <v>143.33614497301099</v>
      </c>
      <c r="F127"/>
      <c r="M127"/>
      <c r="Q127" s="21"/>
      <c r="R127" s="21"/>
    </row>
    <row r="128" spans="1:18" x14ac:dyDescent="0.25">
      <c r="A128" s="21">
        <f t="shared" si="2"/>
        <v>-7.4123611510819809E-2</v>
      </c>
      <c r="B128" t="s">
        <v>50</v>
      </c>
      <c r="C128" s="21" t="str">
        <f t="shared" si="3"/>
        <v>A</v>
      </c>
      <c r="D128">
        <v>111</v>
      </c>
      <c r="E128">
        <v>102.772279122299</v>
      </c>
      <c r="F128"/>
      <c r="M128"/>
      <c r="Q128" s="21"/>
      <c r="R128" s="21"/>
    </row>
    <row r="129" spans="1:18" x14ac:dyDescent="0.25">
      <c r="A129" s="21">
        <f t="shared" si="2"/>
        <v>0.27340711423833342</v>
      </c>
      <c r="B129" t="s">
        <v>50</v>
      </c>
      <c r="C129" s="21" t="str">
        <f t="shared" si="3"/>
        <v>B</v>
      </c>
      <c r="D129">
        <v>93</v>
      </c>
      <c r="E129">
        <v>118.426861624165</v>
      </c>
      <c r="F129"/>
      <c r="M129"/>
      <c r="Q129" s="21"/>
      <c r="R129" s="21"/>
    </row>
    <row r="130" spans="1:18" x14ac:dyDescent="0.25">
      <c r="A130" s="21">
        <f t="shared" si="2"/>
        <v>-0.10456334543801815</v>
      </c>
      <c r="B130" t="s">
        <v>50</v>
      </c>
      <c r="C130" s="21" t="str">
        <f t="shared" si="3"/>
        <v>A</v>
      </c>
      <c r="D130">
        <v>221</v>
      </c>
      <c r="E130">
        <v>197.891500658198</v>
      </c>
      <c r="F130"/>
      <c r="M130"/>
      <c r="Q130" s="21"/>
      <c r="R130" s="21"/>
    </row>
    <row r="131" spans="1:18" x14ac:dyDescent="0.25">
      <c r="A131" s="21">
        <f t="shared" si="2"/>
        <v>-0.36222869284959436</v>
      </c>
      <c r="B131" t="s">
        <v>50</v>
      </c>
      <c r="C131" s="21" t="str">
        <f t="shared" si="3"/>
        <v>B</v>
      </c>
      <c r="D131">
        <v>281</v>
      </c>
      <c r="E131">
        <v>179.21373730926399</v>
      </c>
      <c r="F131"/>
      <c r="M131"/>
      <c r="Q131" s="21"/>
      <c r="R131" s="21"/>
    </row>
    <row r="132" spans="1:18" x14ac:dyDescent="0.25">
      <c r="A132" s="21">
        <f t="shared" si="2"/>
        <v>-0.36270138822432407</v>
      </c>
      <c r="B132" t="s">
        <v>50</v>
      </c>
      <c r="C132" s="21" t="str">
        <f t="shared" si="3"/>
        <v>B</v>
      </c>
      <c r="D132">
        <v>287</v>
      </c>
      <c r="E132">
        <v>182.904701579619</v>
      </c>
      <c r="F132"/>
      <c r="M132"/>
      <c r="Q132" s="21"/>
      <c r="R132" s="21"/>
    </row>
    <row r="133" spans="1:18" x14ac:dyDescent="0.25">
      <c r="A133" s="21">
        <f t="shared" si="2"/>
        <v>-0.21538919889593078</v>
      </c>
      <c r="B133" t="s">
        <v>50</v>
      </c>
      <c r="C133" s="21" t="str">
        <f t="shared" si="3"/>
        <v>B</v>
      </c>
      <c r="D133">
        <v>260</v>
      </c>
      <c r="E133">
        <v>203.99880828705801</v>
      </c>
      <c r="F133"/>
      <c r="M133"/>
      <c r="Q133" s="21"/>
      <c r="R133" s="21"/>
    </row>
    <row r="134" spans="1:18" x14ac:dyDescent="0.25">
      <c r="A134" s="21">
        <f t="shared" si="2"/>
        <v>-0.23553409209725862</v>
      </c>
      <c r="B134" t="s">
        <v>51</v>
      </c>
      <c r="C134" s="21" t="str">
        <f t="shared" si="3"/>
        <v>B</v>
      </c>
      <c r="D134">
        <v>263</v>
      </c>
      <c r="E134">
        <v>201.05453377842099</v>
      </c>
      <c r="F134"/>
      <c r="N134"/>
      <c r="Q134" s="21"/>
      <c r="R134" s="21"/>
    </row>
    <row r="135" spans="1:18" x14ac:dyDescent="0.25">
      <c r="A135" s="21">
        <f t="shared" si="2"/>
        <v>-0.37766845748860989</v>
      </c>
      <c r="B135" t="s">
        <v>51</v>
      </c>
      <c r="C135" s="21" t="str">
        <f t="shared" si="3"/>
        <v>B</v>
      </c>
      <c r="D135">
        <v>323</v>
      </c>
      <c r="E135">
        <v>201.01308823117901</v>
      </c>
      <c r="F135"/>
      <c r="N135"/>
      <c r="Q135" s="21"/>
      <c r="R135" s="21"/>
    </row>
    <row r="136" spans="1:18" x14ac:dyDescent="0.25">
      <c r="A136" s="21">
        <f t="shared" si="2"/>
        <v>-0.32196680910390663</v>
      </c>
      <c r="B136" t="s">
        <v>51</v>
      </c>
      <c r="C136" s="21" t="str">
        <f t="shared" si="3"/>
        <v>B</v>
      </c>
      <c r="D136">
        <v>150</v>
      </c>
      <c r="E136">
        <v>101.704978634414</v>
      </c>
      <c r="F136"/>
      <c r="N136"/>
      <c r="Q136" s="21"/>
      <c r="R136" s="21"/>
    </row>
    <row r="137" spans="1:18" x14ac:dyDescent="0.25">
      <c r="A137" s="21">
        <f t="shared" si="2"/>
        <v>5.3451108769641209E-2</v>
      </c>
      <c r="B137" t="s">
        <v>51</v>
      </c>
      <c r="C137" s="21" t="str">
        <f t="shared" si="3"/>
        <v>A</v>
      </c>
      <c r="D137">
        <v>131</v>
      </c>
      <c r="E137">
        <v>138.002095248823</v>
      </c>
      <c r="F137"/>
      <c r="N137"/>
      <c r="Q137" s="21"/>
      <c r="R137" s="21"/>
    </row>
    <row r="138" spans="1:18" x14ac:dyDescent="0.25">
      <c r="A138" s="21">
        <f t="shared" si="2"/>
        <v>-0.23282975272919737</v>
      </c>
      <c r="B138" t="s">
        <v>51</v>
      </c>
      <c r="C138" s="21" t="str">
        <f t="shared" si="3"/>
        <v>B</v>
      </c>
      <c r="D138">
        <v>152</v>
      </c>
      <c r="E138">
        <v>116.609877585162</v>
      </c>
      <c r="F138"/>
      <c r="N138"/>
      <c r="Q138" s="21"/>
      <c r="R138" s="21"/>
    </row>
    <row r="139" spans="1:18" x14ac:dyDescent="0.25">
      <c r="A139" s="21">
        <f t="shared" si="2"/>
        <v>-0.2354926270140576</v>
      </c>
      <c r="B139" t="s">
        <v>51</v>
      </c>
      <c r="C139" s="21" t="str">
        <f t="shared" si="3"/>
        <v>B</v>
      </c>
      <c r="D139">
        <v>156</v>
      </c>
      <c r="E139">
        <v>119.26315018580701</v>
      </c>
      <c r="F139"/>
      <c r="N139"/>
      <c r="Q139" s="21"/>
      <c r="R139" s="21"/>
    </row>
    <row r="140" spans="1:18" x14ac:dyDescent="0.25">
      <c r="A140" s="21">
        <f t="shared" si="2"/>
        <v>0.13452658135869888</v>
      </c>
      <c r="B140" t="s">
        <v>51</v>
      </c>
      <c r="C140" s="21" t="str">
        <f t="shared" si="3"/>
        <v>A</v>
      </c>
      <c r="D140">
        <v>93</v>
      </c>
      <c r="E140">
        <v>105.510972066359</v>
      </c>
      <c r="F140"/>
      <c r="N140"/>
      <c r="Q140" s="21"/>
      <c r="R140" s="21"/>
    </row>
    <row r="141" spans="1:18" x14ac:dyDescent="0.25">
      <c r="A141" s="21">
        <f t="shared" si="2"/>
        <v>-0.20735036262736772</v>
      </c>
      <c r="B141" t="s">
        <v>51</v>
      </c>
      <c r="C141" s="21" t="str">
        <f t="shared" si="3"/>
        <v>B</v>
      </c>
      <c r="D141">
        <v>155</v>
      </c>
      <c r="E141">
        <v>122.860693792758</v>
      </c>
      <c r="F141"/>
      <c r="N141"/>
      <c r="Q141" s="21"/>
      <c r="R141" s="21"/>
    </row>
    <row r="142" spans="1:18" x14ac:dyDescent="0.25">
      <c r="A142" s="21">
        <f t="shared" si="2"/>
        <v>-0.1906583001199863</v>
      </c>
      <c r="B142" t="s">
        <v>52</v>
      </c>
      <c r="C142" s="21" t="str">
        <f t="shared" si="3"/>
        <v>A</v>
      </c>
      <c r="D142">
        <v>147</v>
      </c>
      <c r="E142">
        <v>118.97322988236201</v>
      </c>
      <c r="F142"/>
      <c r="O142"/>
      <c r="Q142" s="21"/>
      <c r="R142" s="21"/>
    </row>
    <row r="143" spans="1:18" x14ac:dyDescent="0.25">
      <c r="A143" s="21">
        <f t="shared" si="2"/>
        <v>-0.23555356335145539</v>
      </c>
      <c r="B143" t="s">
        <v>52</v>
      </c>
      <c r="C143" s="21" t="str">
        <f t="shared" si="3"/>
        <v>B</v>
      </c>
      <c r="D143">
        <v>112</v>
      </c>
      <c r="E143">
        <v>85.618000904637</v>
      </c>
      <c r="F143"/>
      <c r="O143"/>
      <c r="Q143" s="21"/>
      <c r="R143" s="21"/>
    </row>
    <row r="144" spans="1:18" x14ac:dyDescent="0.25">
      <c r="A144" s="21">
        <f t="shared" si="2"/>
        <v>5.0872317267732781E-2</v>
      </c>
      <c r="B144" t="s">
        <v>52</v>
      </c>
      <c r="C144" s="21" t="str">
        <f t="shared" si="3"/>
        <v>A</v>
      </c>
      <c r="D144">
        <v>101</v>
      </c>
      <c r="E144">
        <v>106.138104044041</v>
      </c>
      <c r="F144"/>
      <c r="O144"/>
      <c r="Q144" s="21"/>
      <c r="R144" s="21"/>
    </row>
    <row r="145" spans="1:18" x14ac:dyDescent="0.25">
      <c r="A145" s="21">
        <f t="shared" si="2"/>
        <v>-0.27781083099254178</v>
      </c>
      <c r="B145" t="s">
        <v>52</v>
      </c>
      <c r="C145" s="21" t="str">
        <f t="shared" si="3"/>
        <v>B</v>
      </c>
      <c r="D145">
        <v>173.5</v>
      </c>
      <c r="E145">
        <v>125.299820822794</v>
      </c>
      <c r="F145"/>
      <c r="O145"/>
      <c r="Q145" s="21"/>
      <c r="R145" s="21"/>
    </row>
    <row r="146" spans="1:18" x14ac:dyDescent="0.25">
      <c r="A146" s="21">
        <f t="shared" si="2"/>
        <v>-8.7986607960716223E-2</v>
      </c>
      <c r="B146" t="s">
        <v>52</v>
      </c>
      <c r="C146" s="21" t="str">
        <f t="shared" si="3"/>
        <v>A</v>
      </c>
      <c r="D146">
        <v>141</v>
      </c>
      <c r="E146">
        <v>128.59388827753901</v>
      </c>
      <c r="F146"/>
      <c r="O146"/>
      <c r="Q146" s="21"/>
      <c r="R146" s="21"/>
    </row>
    <row r="147" spans="1:18" x14ac:dyDescent="0.25">
      <c r="A147" s="21">
        <f t="shared" si="2"/>
        <v>-0.18286483970695544</v>
      </c>
      <c r="B147" t="s">
        <v>53</v>
      </c>
      <c r="C147" s="21" t="str">
        <f t="shared" si="3"/>
        <v>A</v>
      </c>
      <c r="D147">
        <v>157</v>
      </c>
      <c r="E147">
        <v>128.290220166008</v>
      </c>
      <c r="F147"/>
      <c r="O147"/>
      <c r="Q147" s="21"/>
      <c r="R147" s="21"/>
    </row>
    <row r="148" spans="1:18" x14ac:dyDescent="0.25">
      <c r="A148" s="21">
        <f t="shared" si="2"/>
        <v>0.15356134583607961</v>
      </c>
      <c r="B148" t="s">
        <v>53</v>
      </c>
      <c r="C148" s="21" t="str">
        <f t="shared" si="3"/>
        <v>A</v>
      </c>
      <c r="D148">
        <v>138.25</v>
      </c>
      <c r="E148">
        <v>159.47985606183801</v>
      </c>
      <c r="F148"/>
      <c r="O148"/>
      <c r="Q148" s="21"/>
      <c r="R148" s="21"/>
    </row>
    <row r="149" spans="1:18" x14ac:dyDescent="0.25">
      <c r="A149" s="21">
        <f t="shared" si="2"/>
        <v>0.42422587780476562</v>
      </c>
      <c r="B149" t="s">
        <v>53</v>
      </c>
      <c r="C149" s="21" t="str">
        <f t="shared" si="3"/>
        <v>B</v>
      </c>
      <c r="D149">
        <v>111</v>
      </c>
      <c r="E149">
        <v>158.08907243632899</v>
      </c>
      <c r="F149"/>
      <c r="O149"/>
      <c r="Q149" s="21"/>
      <c r="R149" s="21"/>
    </row>
    <row r="150" spans="1:18" x14ac:dyDescent="0.25">
      <c r="A150" s="21">
        <f t="shared" si="2"/>
        <v>3.8534278135594624E-2</v>
      </c>
      <c r="B150" t="s">
        <v>53</v>
      </c>
      <c r="C150" s="21" t="str">
        <f t="shared" si="3"/>
        <v>A</v>
      </c>
      <c r="D150">
        <v>111</v>
      </c>
      <c r="E150">
        <v>115.27730487305099</v>
      </c>
      <c r="F150"/>
      <c r="O150"/>
      <c r="Q150" s="21"/>
      <c r="R150" s="21"/>
    </row>
    <row r="151" spans="1:18" x14ac:dyDescent="0.25">
      <c r="A151" s="21">
        <f t="shared" si="2"/>
        <v>-1.8965456056325714E-3</v>
      </c>
      <c r="B151" t="s">
        <v>53</v>
      </c>
      <c r="C151" s="21" t="str">
        <f t="shared" si="3"/>
        <v>A</v>
      </c>
      <c r="D151">
        <v>95</v>
      </c>
      <c r="E151">
        <v>94.819828167464905</v>
      </c>
      <c r="F151"/>
      <c r="O151"/>
      <c r="Q151" s="21"/>
      <c r="R151" s="21"/>
    </row>
    <row r="152" spans="1:18" x14ac:dyDescent="0.25">
      <c r="A152" s="21">
        <f t="shared" si="2"/>
        <v>-0.21815550519946325</v>
      </c>
      <c r="C152" s="21" t="str">
        <f t="shared" si="3"/>
        <v>B</v>
      </c>
      <c r="D152">
        <v>156.5</v>
      </c>
      <c r="E152">
        <v>122.358663436284</v>
      </c>
      <c r="F152"/>
      <c r="Q152" s="21"/>
      <c r="R152" s="21"/>
    </row>
    <row r="153" spans="1:18" x14ac:dyDescent="0.25">
      <c r="A153" s="21">
        <f t="shared" si="2"/>
        <v>0.19722727642429305</v>
      </c>
      <c r="C153" s="21" t="str">
        <f t="shared" si="3"/>
        <v>A</v>
      </c>
      <c r="D153">
        <v>116</v>
      </c>
      <c r="E153">
        <v>138.87836406521799</v>
      </c>
      <c r="F153"/>
      <c r="Q153" s="21"/>
      <c r="R153" s="21"/>
    </row>
    <row r="154" spans="1:18" x14ac:dyDescent="0.25">
      <c r="A154" s="21">
        <f t="shared" si="2"/>
        <v>-6.7596702614942106E-2</v>
      </c>
      <c r="C154" s="21" t="str">
        <f t="shared" si="3"/>
        <v>A</v>
      </c>
      <c r="D154">
        <v>121</v>
      </c>
      <c r="E154">
        <v>112.820798983592</v>
      </c>
      <c r="F154"/>
      <c r="Q154" s="21"/>
      <c r="R154" s="21"/>
    </row>
    <row r="155" spans="1:18" x14ac:dyDescent="0.25">
      <c r="A155" s="21">
        <f t="shared" si="2"/>
        <v>-0.20248312049487094</v>
      </c>
      <c r="C155" s="21" t="str">
        <f t="shared" si="3"/>
        <v>B</v>
      </c>
      <c r="D155">
        <v>108.5</v>
      </c>
      <c r="E155">
        <v>86.530581426306497</v>
      </c>
      <c r="F155"/>
      <c r="Q155" s="21"/>
      <c r="R155" s="21"/>
    </row>
    <row r="156" spans="1:18" x14ac:dyDescent="0.25">
      <c r="A156" s="21">
        <f t="shared" si="2"/>
        <v>-0.40909313554148896</v>
      </c>
      <c r="C156" s="21" t="str">
        <f t="shared" si="3"/>
        <v>B</v>
      </c>
      <c r="D156">
        <v>203.5</v>
      </c>
      <c r="E156">
        <v>120.249546917307</v>
      </c>
      <c r="F156"/>
      <c r="Q156" s="21"/>
      <c r="R156" s="21"/>
    </row>
    <row r="157" spans="1:18" x14ac:dyDescent="0.25">
      <c r="A157" s="21">
        <f t="shared" si="2"/>
        <v>-0.52342412256373583</v>
      </c>
      <c r="C157" s="21" t="str">
        <f t="shared" si="3"/>
        <v>B</v>
      </c>
      <c r="D157">
        <v>159</v>
      </c>
      <c r="E157">
        <v>75.775564512366003</v>
      </c>
      <c r="F157"/>
      <c r="Q157" s="21"/>
      <c r="R157" s="21"/>
    </row>
    <row r="158" spans="1:18" x14ac:dyDescent="0.25">
      <c r="A158" s="21">
        <f t="shared" si="2"/>
        <v>-0.18875229539486593</v>
      </c>
      <c r="C158" s="21" t="str">
        <f t="shared" si="3"/>
        <v>A</v>
      </c>
      <c r="D158">
        <v>91</v>
      </c>
      <c r="E158">
        <v>73.823541119067201</v>
      </c>
      <c r="F158"/>
      <c r="Q158" s="21"/>
      <c r="R158" s="21"/>
    </row>
    <row r="159" spans="1:18" x14ac:dyDescent="0.25">
      <c r="A159" s="21">
        <f t="shared" si="2"/>
        <v>-0.10385841637342519</v>
      </c>
      <c r="C159" s="21" t="str">
        <f t="shared" si="3"/>
        <v>A</v>
      </c>
      <c r="D159">
        <v>87.5</v>
      </c>
      <c r="E159">
        <v>78.412388567325294</v>
      </c>
      <c r="F159"/>
      <c r="Q159" s="21"/>
      <c r="R159" s="21"/>
    </row>
    <row r="160" spans="1:18" x14ac:dyDescent="0.25">
      <c r="A160" s="21">
        <f t="shared" si="2"/>
        <v>-0.40914959712807553</v>
      </c>
      <c r="C160" s="21" t="str">
        <f t="shared" si="3"/>
        <v>B</v>
      </c>
      <c r="D160">
        <v>131</v>
      </c>
      <c r="E160">
        <v>77.401402776222099</v>
      </c>
      <c r="F160"/>
      <c r="Q160" s="21"/>
      <c r="R160" s="21"/>
    </row>
    <row r="161" spans="1:18" x14ac:dyDescent="0.25">
      <c r="A161" s="21">
        <f t="shared" si="2"/>
        <v>-0.25854676581214897</v>
      </c>
      <c r="C161" s="21" t="str">
        <f t="shared" si="3"/>
        <v>B</v>
      </c>
      <c r="D161">
        <v>117.5</v>
      </c>
      <c r="E161">
        <v>87.120755017072497</v>
      </c>
      <c r="F161"/>
      <c r="Q161" s="21"/>
      <c r="R161" s="21"/>
    </row>
    <row r="162" spans="1:18" x14ac:dyDescent="0.25">
      <c r="A162" s="21">
        <f t="shared" si="2"/>
        <v>0.1960768021376571</v>
      </c>
      <c r="C162" s="21" t="str">
        <f t="shared" si="3"/>
        <v>A</v>
      </c>
      <c r="D162">
        <v>105</v>
      </c>
      <c r="E162">
        <v>125.588064224454</v>
      </c>
      <c r="F162"/>
      <c r="Q162" s="21"/>
      <c r="R162" s="21"/>
    </row>
    <row r="163" spans="1:18" x14ac:dyDescent="0.25">
      <c r="A163" s="21">
        <f t="shared" si="2"/>
        <v>-0.12249849933185331</v>
      </c>
      <c r="C163" s="21" t="str">
        <f t="shared" si="3"/>
        <v>A</v>
      </c>
      <c r="D163">
        <v>95.5</v>
      </c>
      <c r="E163">
        <v>83.801393313808006</v>
      </c>
      <c r="F163"/>
      <c r="Q163" s="21"/>
      <c r="R163" s="21"/>
    </row>
    <row r="164" spans="1:18" x14ac:dyDescent="0.25">
      <c r="A164" s="21">
        <f t="shared" si="2"/>
        <v>-0.33929019887880374</v>
      </c>
      <c r="C164" s="21" t="str">
        <f t="shared" si="3"/>
        <v>B</v>
      </c>
      <c r="D164">
        <v>219</v>
      </c>
      <c r="E164">
        <v>144.69544644554199</v>
      </c>
      <c r="F164"/>
      <c r="Q164" s="21"/>
      <c r="R164" s="21"/>
    </row>
    <row r="165" spans="1:18" x14ac:dyDescent="0.25">
      <c r="A165" s="21">
        <f t="shared" si="2"/>
        <v>-0.3392246198986294</v>
      </c>
      <c r="C165" s="21" t="str">
        <f t="shared" si="3"/>
        <v>B</v>
      </c>
      <c r="D165">
        <v>197</v>
      </c>
      <c r="E165">
        <v>130.17274987997001</v>
      </c>
      <c r="F165"/>
      <c r="Q165" s="21"/>
      <c r="R165" s="21"/>
    </row>
    <row r="166" spans="1:18" x14ac:dyDescent="0.25">
      <c r="A166" s="21">
        <f t="shared" si="2"/>
        <v>-0.14010764216049343</v>
      </c>
      <c r="C166" s="21" t="str">
        <f t="shared" si="3"/>
        <v>A</v>
      </c>
      <c r="D166">
        <v>154</v>
      </c>
      <c r="E166">
        <v>132.42342310728401</v>
      </c>
      <c r="F166"/>
      <c r="Q166" s="21"/>
      <c r="R166" s="21"/>
    </row>
    <row r="167" spans="1:18" x14ac:dyDescent="0.25">
      <c r="A167" s="21">
        <f t="shared" si="2"/>
        <v>0.23863821430647114</v>
      </c>
      <c r="C167" s="21" t="str">
        <f t="shared" ref="C167:C230" si="4">IF(OR(A167&gt;=20%,A167&lt;=-20%),"B","A")</f>
        <v>B</v>
      </c>
      <c r="D167">
        <v>87</v>
      </c>
      <c r="E167">
        <v>107.761524644663</v>
      </c>
      <c r="F167"/>
    </row>
    <row r="168" spans="1:18" x14ac:dyDescent="0.25">
      <c r="A168" s="21">
        <f t="shared" ref="A168:A231" si="5">E168/D168-1</f>
        <v>-0.26364386806493545</v>
      </c>
      <c r="C168" s="21" t="str">
        <f t="shared" si="4"/>
        <v>B</v>
      </c>
      <c r="D168">
        <v>155</v>
      </c>
      <c r="E168">
        <v>114.135200449935</v>
      </c>
      <c r="F168"/>
    </row>
    <row r="169" spans="1:18" x14ac:dyDescent="0.25">
      <c r="A169" s="21">
        <f t="shared" si="5"/>
        <v>-6.2630269988727227E-2</v>
      </c>
      <c r="C169" s="21" t="str">
        <f t="shared" si="4"/>
        <v>A</v>
      </c>
      <c r="D169">
        <v>110</v>
      </c>
      <c r="E169">
        <v>103.11067030124001</v>
      </c>
      <c r="F169"/>
    </row>
    <row r="170" spans="1:18" x14ac:dyDescent="0.25">
      <c r="A170" s="21">
        <f t="shared" si="5"/>
        <v>0.25950345266701147</v>
      </c>
      <c r="C170" s="21" t="str">
        <f t="shared" si="4"/>
        <v>B</v>
      </c>
      <c r="D170">
        <v>87</v>
      </c>
      <c r="E170">
        <v>109.57680038203</v>
      </c>
    </row>
    <row r="171" spans="1:18" x14ac:dyDescent="0.25">
      <c r="A171" s="21">
        <f t="shared" si="5"/>
        <v>-5.3093562760872737E-2</v>
      </c>
      <c r="C171" s="21" t="str">
        <f t="shared" si="4"/>
        <v>A</v>
      </c>
      <c r="D171">
        <v>110</v>
      </c>
      <c r="E171">
        <v>104.159708096304</v>
      </c>
      <c r="F171"/>
    </row>
    <row r="172" spans="1:18" x14ac:dyDescent="0.25">
      <c r="A172" s="21">
        <f t="shared" si="5"/>
        <v>1.2260122315336464E-2</v>
      </c>
      <c r="C172" s="21" t="str">
        <f t="shared" si="4"/>
        <v>A</v>
      </c>
      <c r="D172">
        <v>104</v>
      </c>
      <c r="E172">
        <v>105.275052720795</v>
      </c>
      <c r="F172"/>
    </row>
    <row r="173" spans="1:18" x14ac:dyDescent="0.25">
      <c r="A173" s="21">
        <f t="shared" si="5"/>
        <v>-6.2564191131513236E-2</v>
      </c>
      <c r="C173" s="21" t="str">
        <f t="shared" si="4"/>
        <v>A</v>
      </c>
      <c r="D173">
        <v>113</v>
      </c>
      <c r="E173">
        <v>105.93024640213901</v>
      </c>
      <c r="F173"/>
    </row>
    <row r="174" spans="1:18" x14ac:dyDescent="0.25">
      <c r="A174" s="21">
        <f t="shared" si="5"/>
        <v>-0.37873964151087913</v>
      </c>
      <c r="C174" s="21" t="str">
        <f t="shared" si="4"/>
        <v>B</v>
      </c>
      <c r="D174">
        <v>120</v>
      </c>
      <c r="E174">
        <v>74.551243018694507</v>
      </c>
      <c r="F174"/>
    </row>
    <row r="175" spans="1:18" x14ac:dyDescent="0.25">
      <c r="A175" s="21">
        <f t="shared" si="5"/>
        <v>-0.11126765134592709</v>
      </c>
      <c r="C175" s="21" t="str">
        <f t="shared" si="4"/>
        <v>A</v>
      </c>
      <c r="D175">
        <v>96</v>
      </c>
      <c r="E175">
        <v>85.318305470791003</v>
      </c>
      <c r="F175"/>
    </row>
    <row r="176" spans="1:18" x14ac:dyDescent="0.25">
      <c r="A176" s="21">
        <f t="shared" si="5"/>
        <v>1.4889795022619001E-2</v>
      </c>
      <c r="C176" s="21" t="str">
        <f t="shared" si="4"/>
        <v>A</v>
      </c>
      <c r="D176">
        <v>84</v>
      </c>
      <c r="E176">
        <v>85.250742781900001</v>
      </c>
      <c r="F176"/>
    </row>
    <row r="177" spans="1:6" x14ac:dyDescent="0.25">
      <c r="A177" s="21">
        <f t="shared" si="5"/>
        <v>-0.24144577535702905</v>
      </c>
      <c r="C177" s="21" t="str">
        <f t="shared" si="4"/>
        <v>B</v>
      </c>
      <c r="D177">
        <v>107</v>
      </c>
      <c r="E177">
        <v>81.165302036797897</v>
      </c>
      <c r="F177"/>
    </row>
    <row r="178" spans="1:6" x14ac:dyDescent="0.25">
      <c r="A178" s="21">
        <f t="shared" si="5"/>
        <v>-0.13419540165299715</v>
      </c>
      <c r="C178" s="21" t="str">
        <f t="shared" si="4"/>
        <v>A</v>
      </c>
      <c r="D178">
        <v>105</v>
      </c>
      <c r="E178">
        <v>90.909482826435294</v>
      </c>
      <c r="F178"/>
    </row>
    <row r="179" spans="1:6" x14ac:dyDescent="0.25">
      <c r="A179" s="21">
        <f t="shared" si="5"/>
        <v>5.2318211462112352E-2</v>
      </c>
      <c r="C179" s="21" t="str">
        <f t="shared" si="4"/>
        <v>A</v>
      </c>
      <c r="D179">
        <v>82</v>
      </c>
      <c r="E179">
        <v>86.290093339893204</v>
      </c>
      <c r="F179"/>
    </row>
    <row r="180" spans="1:6" x14ac:dyDescent="0.25">
      <c r="A180" s="21">
        <f t="shared" si="5"/>
        <v>-0.42292547957745263</v>
      </c>
      <c r="C180" s="21" t="str">
        <f t="shared" si="4"/>
        <v>B</v>
      </c>
      <c r="D180">
        <v>150</v>
      </c>
      <c r="E180">
        <v>86.561178063382101</v>
      </c>
      <c r="F180"/>
    </row>
    <row r="181" spans="1:6" x14ac:dyDescent="0.25">
      <c r="A181" s="21">
        <f t="shared" si="5"/>
        <v>-0.19900842677088093</v>
      </c>
      <c r="C181" s="21" t="str">
        <f t="shared" si="4"/>
        <v>A</v>
      </c>
      <c r="D181">
        <v>126</v>
      </c>
      <c r="E181">
        <v>100.924938226869</v>
      </c>
      <c r="F181"/>
    </row>
    <row r="182" spans="1:6" x14ac:dyDescent="0.25">
      <c r="A182" s="21">
        <f t="shared" si="5"/>
        <v>8.7902095387287327E-2</v>
      </c>
      <c r="C182" s="21" t="str">
        <f t="shared" si="4"/>
        <v>A</v>
      </c>
      <c r="D182">
        <v>94</v>
      </c>
      <c r="E182">
        <v>102.26279696640501</v>
      </c>
      <c r="F182"/>
    </row>
    <row r="183" spans="1:6" x14ac:dyDescent="0.25">
      <c r="A183" s="21">
        <f t="shared" si="5"/>
        <v>2.7665345335033731E-2</v>
      </c>
      <c r="C183" s="21" t="str">
        <f t="shared" si="4"/>
        <v>A</v>
      </c>
      <c r="D183">
        <v>86</v>
      </c>
      <c r="E183">
        <v>88.379219698812904</v>
      </c>
      <c r="F183"/>
    </row>
    <row r="184" spans="1:6" x14ac:dyDescent="0.25">
      <c r="A184" s="21">
        <f t="shared" si="5"/>
        <v>-0.35565798111326208</v>
      </c>
      <c r="C184" s="21" t="str">
        <f t="shared" si="4"/>
        <v>B</v>
      </c>
      <c r="D184">
        <v>137</v>
      </c>
      <c r="E184">
        <v>88.2748565874831</v>
      </c>
      <c r="F184"/>
    </row>
    <row r="185" spans="1:6" x14ac:dyDescent="0.25">
      <c r="A185" s="21">
        <f t="shared" si="5"/>
        <v>-0.20752742948442604</v>
      </c>
      <c r="C185" s="21" t="str">
        <f t="shared" si="4"/>
        <v>B</v>
      </c>
      <c r="D185">
        <v>108</v>
      </c>
      <c r="E185">
        <v>85.587037615681993</v>
      </c>
      <c r="F185"/>
    </row>
    <row r="186" spans="1:6" x14ac:dyDescent="0.25">
      <c r="A186" s="21">
        <f t="shared" si="5"/>
        <v>-0.12848583527079049</v>
      </c>
      <c r="C186" s="21" t="str">
        <f t="shared" si="4"/>
        <v>A</v>
      </c>
      <c r="D186">
        <v>104</v>
      </c>
      <c r="E186">
        <v>90.637473131837794</v>
      </c>
      <c r="F186"/>
    </row>
    <row r="187" spans="1:6" x14ac:dyDescent="0.25">
      <c r="A187" s="21">
        <f t="shared" si="5"/>
        <v>6.3667653587351269E-2</v>
      </c>
      <c r="C187" s="21" t="str">
        <f t="shared" si="4"/>
        <v>A</v>
      </c>
      <c r="D187">
        <v>80</v>
      </c>
      <c r="E187">
        <v>85.093412286988098</v>
      </c>
      <c r="F187"/>
    </row>
    <row r="188" spans="1:6" x14ac:dyDescent="0.25">
      <c r="A188" s="21">
        <f t="shared" si="5"/>
        <v>-0.42279184619666799</v>
      </c>
      <c r="C188" s="21" t="str">
        <f t="shared" si="4"/>
        <v>B</v>
      </c>
      <c r="D188">
        <v>150</v>
      </c>
      <c r="E188">
        <v>86.581223070499803</v>
      </c>
      <c r="F188"/>
    </row>
    <row r="189" spans="1:6" x14ac:dyDescent="0.25">
      <c r="A189" s="21">
        <f t="shared" si="5"/>
        <v>0.31032574014197256</v>
      </c>
      <c r="C189" s="21" t="str">
        <f t="shared" si="4"/>
        <v>B</v>
      </c>
      <c r="D189">
        <v>110</v>
      </c>
      <c r="E189">
        <v>144.13583141561699</v>
      </c>
      <c r="F189"/>
    </row>
    <row r="190" spans="1:6" x14ac:dyDescent="0.25">
      <c r="A190" s="21">
        <f t="shared" si="5"/>
        <v>-1.1943466672885816E-2</v>
      </c>
      <c r="C190" s="21" t="str">
        <f t="shared" si="4"/>
        <v>A</v>
      </c>
      <c r="D190">
        <v>92</v>
      </c>
      <c r="E190">
        <v>90.901201066094501</v>
      </c>
      <c r="F190"/>
    </row>
    <row r="191" spans="1:6" x14ac:dyDescent="0.25">
      <c r="A191" s="21">
        <f t="shared" si="5"/>
        <v>4.2693671808256006E-2</v>
      </c>
      <c r="C191" s="21" t="str">
        <f t="shared" si="4"/>
        <v>A</v>
      </c>
      <c r="D191">
        <v>84</v>
      </c>
      <c r="E191">
        <v>87.586268431893501</v>
      </c>
      <c r="F191"/>
    </row>
    <row r="192" spans="1:6" x14ac:dyDescent="0.25">
      <c r="A192" s="21">
        <f t="shared" si="5"/>
        <v>-6.1334670549675896E-2</v>
      </c>
      <c r="C192" s="21" t="str">
        <f t="shared" si="4"/>
        <v>A</v>
      </c>
      <c r="D192">
        <v>145</v>
      </c>
      <c r="E192">
        <v>136.10647277029699</v>
      </c>
      <c r="F192"/>
    </row>
    <row r="193" spans="1:6" x14ac:dyDescent="0.25">
      <c r="A193" s="21">
        <f t="shared" si="5"/>
        <v>-0.1925728964770772</v>
      </c>
      <c r="C193" s="21" t="str">
        <f t="shared" si="4"/>
        <v>A</v>
      </c>
      <c r="D193">
        <v>123</v>
      </c>
      <c r="E193">
        <v>99.313533733319503</v>
      </c>
      <c r="F193"/>
    </row>
    <row r="194" spans="1:6" x14ac:dyDescent="0.25">
      <c r="A194" s="21">
        <f t="shared" si="5"/>
        <v>-0.14989874059268204</v>
      </c>
      <c r="C194" s="21" t="str">
        <f t="shared" si="4"/>
        <v>A</v>
      </c>
      <c r="D194">
        <v>100</v>
      </c>
      <c r="E194">
        <v>85.010125940731797</v>
      </c>
      <c r="F194"/>
    </row>
    <row r="195" spans="1:6" x14ac:dyDescent="0.25">
      <c r="A195" s="21">
        <f t="shared" si="5"/>
        <v>-2.6888039987171264E-2</v>
      </c>
      <c r="C195" s="21" t="str">
        <f t="shared" si="4"/>
        <v>A</v>
      </c>
      <c r="D195">
        <v>87</v>
      </c>
      <c r="E195">
        <v>84.660740521116097</v>
      </c>
      <c r="F195"/>
    </row>
    <row r="196" spans="1:6" x14ac:dyDescent="0.25">
      <c r="A196" s="21">
        <f t="shared" si="5"/>
        <v>-7.8322592361651511E-3</v>
      </c>
      <c r="C196" s="21" t="str">
        <f t="shared" si="4"/>
        <v>A</v>
      </c>
      <c r="D196">
        <v>86</v>
      </c>
      <c r="E196">
        <v>85.3264257056898</v>
      </c>
      <c r="F196"/>
    </row>
    <row r="197" spans="1:6" x14ac:dyDescent="0.25">
      <c r="A197" s="21">
        <f t="shared" si="5"/>
        <v>-0.3232342133462659</v>
      </c>
      <c r="C197" s="21" t="str">
        <f t="shared" si="4"/>
        <v>B</v>
      </c>
      <c r="D197">
        <v>126</v>
      </c>
      <c r="E197">
        <v>85.272489118370501</v>
      </c>
      <c r="F197"/>
    </row>
    <row r="198" spans="1:6" x14ac:dyDescent="0.25">
      <c r="A198" s="21">
        <f t="shared" si="5"/>
        <v>-0.20511688858912269</v>
      </c>
      <c r="C198" s="21" t="str">
        <f t="shared" si="4"/>
        <v>B</v>
      </c>
      <c r="D198">
        <v>110</v>
      </c>
      <c r="E198">
        <v>87.437142255196505</v>
      </c>
      <c r="F198"/>
    </row>
    <row r="199" spans="1:6" x14ac:dyDescent="0.25">
      <c r="A199" s="21">
        <f t="shared" si="5"/>
        <v>-0.10518088527685687</v>
      </c>
      <c r="C199" s="21" t="str">
        <f t="shared" si="4"/>
        <v>A</v>
      </c>
      <c r="D199">
        <v>95</v>
      </c>
      <c r="E199">
        <v>85.007815898698595</v>
      </c>
      <c r="F199"/>
    </row>
    <row r="200" spans="1:6" x14ac:dyDescent="0.25">
      <c r="A200" s="21">
        <f t="shared" si="5"/>
        <v>-1.3859576536243146E-2</v>
      </c>
      <c r="C200" s="21" t="str">
        <f t="shared" si="4"/>
        <v>A</v>
      </c>
      <c r="D200">
        <v>88</v>
      </c>
      <c r="E200">
        <v>86.780357264810604</v>
      </c>
      <c r="F200"/>
    </row>
    <row r="201" spans="1:6" x14ac:dyDescent="0.25">
      <c r="A201" s="21">
        <f t="shared" si="5"/>
        <v>-0.39072479754093958</v>
      </c>
      <c r="C201" s="21" t="str">
        <f t="shared" si="4"/>
        <v>B</v>
      </c>
      <c r="D201">
        <v>149</v>
      </c>
      <c r="E201">
        <v>90.782005166399998</v>
      </c>
      <c r="F201"/>
    </row>
    <row r="202" spans="1:6" x14ac:dyDescent="0.25">
      <c r="A202" s="21">
        <f t="shared" si="5"/>
        <v>-0.35396946278160568</v>
      </c>
      <c r="C202" s="21" t="str">
        <f t="shared" si="4"/>
        <v>B</v>
      </c>
      <c r="D202">
        <v>143</v>
      </c>
      <c r="E202">
        <v>92.382366822230395</v>
      </c>
      <c r="F202"/>
    </row>
    <row r="203" spans="1:6" x14ac:dyDescent="0.25">
      <c r="A203" s="21">
        <f t="shared" si="5"/>
        <v>-0.36063777624339322</v>
      </c>
      <c r="C203" s="21" t="str">
        <f t="shared" si="4"/>
        <v>B</v>
      </c>
      <c r="D203">
        <v>133</v>
      </c>
      <c r="E203">
        <v>85.0351757596287</v>
      </c>
      <c r="F203"/>
    </row>
    <row r="204" spans="1:6" x14ac:dyDescent="0.25">
      <c r="A204" s="21">
        <f t="shared" si="5"/>
        <v>-2.8167596917829552E-2</v>
      </c>
      <c r="C204" s="21" t="str">
        <f t="shared" si="4"/>
        <v>A</v>
      </c>
      <c r="D204">
        <v>88</v>
      </c>
      <c r="E204">
        <v>85.521251471230997</v>
      </c>
      <c r="F204"/>
    </row>
    <row r="205" spans="1:6" x14ac:dyDescent="0.25">
      <c r="A205" s="21">
        <f t="shared" si="5"/>
        <v>1.9120248230673598E-2</v>
      </c>
      <c r="C205" s="21" t="str">
        <f t="shared" si="4"/>
        <v>A</v>
      </c>
      <c r="D205">
        <v>83</v>
      </c>
      <c r="E205">
        <v>84.586980603145904</v>
      </c>
      <c r="F205"/>
    </row>
    <row r="206" spans="1:6" x14ac:dyDescent="0.25">
      <c r="A206" s="21">
        <f t="shared" si="5"/>
        <v>-0.40440871424755731</v>
      </c>
      <c r="C206" s="21" t="str">
        <f t="shared" si="4"/>
        <v>B</v>
      </c>
      <c r="D206">
        <v>143</v>
      </c>
      <c r="E206">
        <v>85.169553862599301</v>
      </c>
      <c r="F206"/>
    </row>
    <row r="207" spans="1:6" x14ac:dyDescent="0.25">
      <c r="A207" s="21">
        <f t="shared" si="5"/>
        <v>4.869378981653516E-2</v>
      </c>
      <c r="C207" s="21" t="str">
        <f t="shared" si="4"/>
        <v>A</v>
      </c>
      <c r="D207">
        <v>114</v>
      </c>
      <c r="E207">
        <v>119.55109203908501</v>
      </c>
      <c r="F207"/>
    </row>
    <row r="208" spans="1:6" x14ac:dyDescent="0.25">
      <c r="A208" s="21">
        <f t="shared" si="5"/>
        <v>-0.14179883987759623</v>
      </c>
      <c r="C208" s="21" t="str">
        <f t="shared" si="4"/>
        <v>A</v>
      </c>
      <c r="D208">
        <v>108</v>
      </c>
      <c r="E208">
        <v>92.685725293219605</v>
      </c>
      <c r="F208"/>
    </row>
    <row r="209" spans="1:6" x14ac:dyDescent="0.25">
      <c r="A209" s="21">
        <f t="shared" si="5"/>
        <v>7.8658440148416497E-2</v>
      </c>
      <c r="C209" s="21" t="str">
        <f t="shared" si="4"/>
        <v>A</v>
      </c>
      <c r="D209">
        <v>79</v>
      </c>
      <c r="E209">
        <v>85.2140167717249</v>
      </c>
      <c r="F209"/>
    </row>
    <row r="210" spans="1:6" x14ac:dyDescent="0.25">
      <c r="A210" s="21">
        <f t="shared" si="5"/>
        <v>-6.8270904381133368E-2</v>
      </c>
      <c r="C210" s="21" t="str">
        <f t="shared" si="4"/>
        <v>A</v>
      </c>
      <c r="D210">
        <v>135</v>
      </c>
      <c r="E210">
        <v>125.783427908547</v>
      </c>
      <c r="F210"/>
    </row>
    <row r="211" spans="1:6" x14ac:dyDescent="0.25">
      <c r="A211" s="21">
        <f t="shared" si="5"/>
        <v>-9.4818440734109277E-2</v>
      </c>
      <c r="C211" s="21" t="str">
        <f t="shared" si="4"/>
        <v>A</v>
      </c>
      <c r="D211">
        <v>119</v>
      </c>
      <c r="E211">
        <v>107.716605552641</v>
      </c>
      <c r="F211"/>
    </row>
    <row r="212" spans="1:6" x14ac:dyDescent="0.25">
      <c r="A212" s="21">
        <f t="shared" si="5"/>
        <v>-3.3989441601729009E-2</v>
      </c>
      <c r="C212" s="21" t="str">
        <f t="shared" si="4"/>
        <v>A</v>
      </c>
      <c r="D212">
        <v>107</v>
      </c>
      <c r="E212">
        <v>103.36312974861499</v>
      </c>
      <c r="F212"/>
    </row>
    <row r="213" spans="1:6" x14ac:dyDescent="0.25">
      <c r="A213" s="21">
        <f t="shared" si="5"/>
        <v>-0.20038501401518494</v>
      </c>
      <c r="C213" s="21" t="str">
        <f t="shared" si="4"/>
        <v>B</v>
      </c>
      <c r="D213">
        <v>146</v>
      </c>
      <c r="E213">
        <v>116.743787953783</v>
      </c>
      <c r="F213"/>
    </row>
    <row r="214" spans="1:6" x14ac:dyDescent="0.25">
      <c r="A214" s="21">
        <f t="shared" si="5"/>
        <v>-7.5150818213396753E-2</v>
      </c>
      <c r="C214" s="21" t="str">
        <f t="shared" si="4"/>
        <v>A</v>
      </c>
      <c r="D214">
        <v>121</v>
      </c>
      <c r="E214">
        <v>111.906750996179</v>
      </c>
      <c r="F214"/>
    </row>
    <row r="215" spans="1:6" x14ac:dyDescent="0.25">
      <c r="A215" s="21">
        <f t="shared" si="5"/>
        <v>-4.8413973030532187E-2</v>
      </c>
      <c r="C215" s="21" t="str">
        <f t="shared" si="4"/>
        <v>A</v>
      </c>
      <c r="D215">
        <v>90</v>
      </c>
      <c r="E215">
        <v>85.642742427252102</v>
      </c>
      <c r="F215"/>
    </row>
    <row r="216" spans="1:6" x14ac:dyDescent="0.25">
      <c r="A216" s="21">
        <f t="shared" si="5"/>
        <v>-4.1270764649942171E-3</v>
      </c>
      <c r="C216" s="21" t="str">
        <f t="shared" si="4"/>
        <v>A</v>
      </c>
      <c r="D216">
        <v>86</v>
      </c>
      <c r="E216">
        <v>85.645071424010496</v>
      </c>
      <c r="F216"/>
    </row>
    <row r="217" spans="1:6" x14ac:dyDescent="0.25">
      <c r="A217" s="21">
        <f t="shared" si="5"/>
        <v>-0.34787846321643867</v>
      </c>
      <c r="C217" s="21" t="str">
        <f t="shared" si="4"/>
        <v>B</v>
      </c>
      <c r="D217">
        <v>132</v>
      </c>
      <c r="E217">
        <v>86.080042855430094</v>
      </c>
      <c r="F217"/>
    </row>
    <row r="218" spans="1:6" x14ac:dyDescent="0.25">
      <c r="A218" s="21">
        <f t="shared" si="5"/>
        <v>-1.953822910160552E-2</v>
      </c>
      <c r="C218" s="21" t="str">
        <f t="shared" si="4"/>
        <v>A</v>
      </c>
      <c r="D218">
        <v>109</v>
      </c>
      <c r="E218">
        <v>106.870333027925</v>
      </c>
      <c r="F218"/>
    </row>
    <row r="219" spans="1:6" x14ac:dyDescent="0.25">
      <c r="A219" s="21">
        <f t="shared" si="5"/>
        <v>-1.5384315579325292E-2</v>
      </c>
      <c r="C219" s="21" t="str">
        <f t="shared" si="4"/>
        <v>A</v>
      </c>
      <c r="D219">
        <v>95</v>
      </c>
      <c r="E219">
        <v>93.538490019964101</v>
      </c>
      <c r="F219"/>
    </row>
    <row r="220" spans="1:6" x14ac:dyDescent="0.25">
      <c r="A220" s="21">
        <f t="shared" si="5"/>
        <v>-2.5240439531642789E-2</v>
      </c>
      <c r="C220" s="21" t="str">
        <f t="shared" si="4"/>
        <v>A</v>
      </c>
      <c r="D220">
        <v>89</v>
      </c>
      <c r="E220">
        <v>86.753600881683795</v>
      </c>
      <c r="F220"/>
    </row>
    <row r="221" spans="1:6" x14ac:dyDescent="0.25">
      <c r="A221" s="21">
        <f t="shared" si="5"/>
        <v>0.13874418522046028</v>
      </c>
      <c r="C221" s="21" t="str">
        <f t="shared" si="4"/>
        <v>A</v>
      </c>
      <c r="D221">
        <v>126</v>
      </c>
      <c r="E221">
        <v>143.481767337778</v>
      </c>
      <c r="F221"/>
    </row>
    <row r="222" spans="1:6" x14ac:dyDescent="0.25">
      <c r="A222" s="21">
        <f t="shared" si="5"/>
        <v>6.7749619148966822E-3</v>
      </c>
      <c r="C222" s="21" t="str">
        <f t="shared" si="4"/>
        <v>A</v>
      </c>
      <c r="D222">
        <v>116</v>
      </c>
      <c r="E222">
        <v>116.78589558212801</v>
      </c>
      <c r="F222"/>
    </row>
    <row r="223" spans="1:6" x14ac:dyDescent="0.25">
      <c r="A223" s="21">
        <f t="shared" si="5"/>
        <v>-0.2065372804294815</v>
      </c>
      <c r="C223" s="21" t="str">
        <f t="shared" si="4"/>
        <v>B</v>
      </c>
      <c r="D223">
        <v>108</v>
      </c>
      <c r="E223">
        <v>85.693973713616003</v>
      </c>
      <c r="F223"/>
    </row>
    <row r="224" spans="1:6" x14ac:dyDescent="0.25">
      <c r="A224" s="21">
        <f t="shared" si="5"/>
        <v>-0.112182842577634</v>
      </c>
      <c r="C224" s="21" t="str">
        <f t="shared" si="4"/>
        <v>A</v>
      </c>
      <c r="D224">
        <v>112</v>
      </c>
      <c r="E224">
        <v>99.435521631304994</v>
      </c>
      <c r="F224"/>
    </row>
    <row r="225" spans="1:6" x14ac:dyDescent="0.25">
      <c r="A225" s="21">
        <f t="shared" si="5"/>
        <v>-8.1043520468602082E-2</v>
      </c>
      <c r="C225" s="21" t="str">
        <f t="shared" si="4"/>
        <v>A</v>
      </c>
      <c r="D225">
        <v>95</v>
      </c>
      <c r="E225">
        <v>87.300865555482801</v>
      </c>
      <c r="F225"/>
    </row>
    <row r="226" spans="1:6" x14ac:dyDescent="0.25">
      <c r="A226" s="21">
        <f t="shared" si="5"/>
        <v>-8.517144332698301E-2</v>
      </c>
      <c r="C226" s="21" t="str">
        <f t="shared" si="4"/>
        <v>A</v>
      </c>
      <c r="D226">
        <v>94</v>
      </c>
      <c r="E226">
        <v>85.993884327263601</v>
      </c>
      <c r="F226"/>
    </row>
    <row r="227" spans="1:6" x14ac:dyDescent="0.25">
      <c r="A227" s="21">
        <f t="shared" si="5"/>
        <v>-6.2786665799785868E-2</v>
      </c>
      <c r="C227" s="21" t="str">
        <f t="shared" si="4"/>
        <v>A</v>
      </c>
      <c r="D227">
        <v>92</v>
      </c>
      <c r="E227">
        <v>86.223626746419697</v>
      </c>
      <c r="F227"/>
    </row>
    <row r="228" spans="1:6" x14ac:dyDescent="0.25">
      <c r="A228" s="21">
        <f t="shared" si="5"/>
        <v>-0.2958885513514542</v>
      </c>
      <c r="C228" s="21" t="str">
        <f t="shared" si="4"/>
        <v>B</v>
      </c>
      <c r="D228">
        <v>131</v>
      </c>
      <c r="E228">
        <v>92.238599772959503</v>
      </c>
      <c r="F228"/>
    </row>
    <row r="229" spans="1:6" x14ac:dyDescent="0.25">
      <c r="A229" s="21">
        <f t="shared" si="5"/>
        <v>-0.23049382964811449</v>
      </c>
      <c r="C229" s="21" t="str">
        <f t="shared" si="4"/>
        <v>B</v>
      </c>
      <c r="D229">
        <v>125</v>
      </c>
      <c r="E229">
        <v>96.188271293985693</v>
      </c>
      <c r="F229"/>
    </row>
    <row r="230" spans="1:6" x14ac:dyDescent="0.25">
      <c r="A230" s="21">
        <f t="shared" si="5"/>
        <v>0.30240753518095231</v>
      </c>
      <c r="C230" s="21" t="str">
        <f t="shared" si="4"/>
        <v>B</v>
      </c>
      <c r="D230">
        <v>105</v>
      </c>
      <c r="E230">
        <v>136.752791194</v>
      </c>
      <c r="F230"/>
    </row>
    <row r="231" spans="1:6" x14ac:dyDescent="0.25">
      <c r="A231" s="21">
        <f t="shared" si="5"/>
        <v>-4.2488369185174069E-3</v>
      </c>
      <c r="C231" s="21" t="str">
        <f t="shared" ref="C231:C261" si="6">IF(OR(A231&gt;=20%,A231&lt;=-20%),"B","A")</f>
        <v>A</v>
      </c>
      <c r="D231">
        <v>86</v>
      </c>
      <c r="E231">
        <v>85.634600025007501</v>
      </c>
      <c r="F231"/>
    </row>
    <row r="232" spans="1:6" x14ac:dyDescent="0.25">
      <c r="A232" s="21">
        <f t="shared" ref="A232:A261" si="7">E232/D232-1</f>
        <v>-8.0980966024611134E-2</v>
      </c>
      <c r="C232" s="21" t="str">
        <f t="shared" si="6"/>
        <v>A</v>
      </c>
      <c r="D232">
        <v>126</v>
      </c>
      <c r="E232">
        <v>115.796398280899</v>
      </c>
      <c r="F232"/>
    </row>
    <row r="233" spans="1:6" x14ac:dyDescent="0.25">
      <c r="A233" s="21">
        <f t="shared" si="7"/>
        <v>5.3670884238672389E-2</v>
      </c>
      <c r="C233" s="21" t="str">
        <f t="shared" si="6"/>
        <v>A</v>
      </c>
      <c r="D233">
        <v>116</v>
      </c>
      <c r="E233">
        <v>122.225822571686</v>
      </c>
      <c r="F233"/>
    </row>
    <row r="234" spans="1:6" x14ac:dyDescent="0.25">
      <c r="A234" s="21">
        <f t="shared" si="7"/>
        <v>0.2387424344578557</v>
      </c>
      <c r="C234" s="21" t="str">
        <f t="shared" si="6"/>
        <v>B</v>
      </c>
      <c r="D234">
        <v>111</v>
      </c>
      <c r="E234">
        <v>137.50041022482199</v>
      </c>
      <c r="F234"/>
    </row>
    <row r="235" spans="1:6" x14ac:dyDescent="0.25">
      <c r="A235" s="21">
        <f t="shared" si="7"/>
        <v>-1.8699553485445608E-2</v>
      </c>
      <c r="C235" s="21" t="str">
        <f t="shared" si="6"/>
        <v>A</v>
      </c>
      <c r="D235">
        <v>90</v>
      </c>
      <c r="E235">
        <v>88.317040186309896</v>
      </c>
      <c r="F235"/>
    </row>
    <row r="236" spans="1:6" x14ac:dyDescent="0.25">
      <c r="A236" s="21">
        <f t="shared" si="7"/>
        <v>-0.12769371359626402</v>
      </c>
      <c r="C236" s="21" t="str">
        <f t="shared" si="6"/>
        <v>A</v>
      </c>
      <c r="D236">
        <v>125</v>
      </c>
      <c r="E236">
        <v>109.03828580046699</v>
      </c>
      <c r="F236"/>
    </row>
    <row r="237" spans="1:6" x14ac:dyDescent="0.25">
      <c r="A237" s="21">
        <f t="shared" si="7"/>
        <v>-8.8521866717182096E-2</v>
      </c>
      <c r="C237" s="21" t="str">
        <f t="shared" si="6"/>
        <v>A</v>
      </c>
      <c r="D237">
        <v>95</v>
      </c>
      <c r="E237">
        <v>86.590422661867706</v>
      </c>
      <c r="F237"/>
    </row>
    <row r="238" spans="1:6" x14ac:dyDescent="0.25">
      <c r="A238" s="21">
        <f t="shared" si="7"/>
        <v>-7.6202977436481745E-2</v>
      </c>
      <c r="C238" s="21" t="str">
        <f t="shared" si="6"/>
        <v>A</v>
      </c>
      <c r="D238">
        <v>93</v>
      </c>
      <c r="E238">
        <v>85.913123098407198</v>
      </c>
      <c r="F238"/>
    </row>
    <row r="239" spans="1:6" x14ac:dyDescent="0.25">
      <c r="A239" s="21">
        <f t="shared" si="7"/>
        <v>5.4346699740969173E-2</v>
      </c>
      <c r="C239" s="21" t="str">
        <f t="shared" si="6"/>
        <v>A</v>
      </c>
      <c r="D239">
        <v>81</v>
      </c>
      <c r="E239">
        <v>85.402082679018505</v>
      </c>
      <c r="F239"/>
    </row>
    <row r="240" spans="1:6" x14ac:dyDescent="0.25">
      <c r="A240" s="21">
        <f t="shared" si="7"/>
        <v>-7.677774929748804E-2</v>
      </c>
      <c r="C240" s="21" t="str">
        <f t="shared" si="6"/>
        <v>A</v>
      </c>
      <c r="D240">
        <v>92</v>
      </c>
      <c r="E240">
        <v>84.936447064631096</v>
      </c>
      <c r="F240"/>
    </row>
    <row r="241" spans="1:6" x14ac:dyDescent="0.25">
      <c r="A241" s="21">
        <f t="shared" si="7"/>
        <v>-1.0802321408826643E-2</v>
      </c>
      <c r="C241" s="21" t="str">
        <f t="shared" si="6"/>
        <v>A</v>
      </c>
      <c r="D241">
        <v>86</v>
      </c>
      <c r="E241">
        <v>85.071000358840905</v>
      </c>
      <c r="F241"/>
    </row>
    <row r="242" spans="1:6" x14ac:dyDescent="0.25">
      <c r="A242" s="21">
        <f t="shared" si="7"/>
        <v>2.7456087026854759E-2</v>
      </c>
      <c r="C242" s="21" t="str">
        <f t="shared" si="6"/>
        <v>A</v>
      </c>
      <c r="D242">
        <v>82</v>
      </c>
      <c r="E242">
        <v>84.251399136202096</v>
      </c>
      <c r="F242"/>
    </row>
    <row r="243" spans="1:6" x14ac:dyDescent="0.25">
      <c r="A243" s="21">
        <f t="shared" si="7"/>
        <v>-0.33053320385742047</v>
      </c>
      <c r="C243" s="21" t="str">
        <f t="shared" si="6"/>
        <v>B</v>
      </c>
      <c r="D243">
        <v>127</v>
      </c>
      <c r="E243">
        <v>85.022283110107594</v>
      </c>
      <c r="F243"/>
    </row>
    <row r="244" spans="1:6" x14ac:dyDescent="0.25">
      <c r="A244" s="21">
        <f t="shared" si="7"/>
        <v>-0.17868142007718246</v>
      </c>
      <c r="C244" s="21" t="str">
        <f t="shared" si="6"/>
        <v>A</v>
      </c>
      <c r="D244">
        <v>103</v>
      </c>
      <c r="E244">
        <v>84.595813732050203</v>
      </c>
      <c r="F244"/>
    </row>
    <row r="245" spans="1:6" x14ac:dyDescent="0.25">
      <c r="A245" s="21">
        <f t="shared" si="7"/>
        <v>-8.5692695350151338E-3</v>
      </c>
      <c r="C245" s="21" t="str">
        <f t="shared" si="6"/>
        <v>A</v>
      </c>
      <c r="D245">
        <v>86</v>
      </c>
      <c r="E245">
        <v>85.263042819988698</v>
      </c>
      <c r="F245"/>
    </row>
    <row r="246" spans="1:6" x14ac:dyDescent="0.25">
      <c r="A246" s="21">
        <f t="shared" si="7"/>
        <v>8.1808154831739088E-2</v>
      </c>
      <c r="C246" s="21" t="str">
        <f t="shared" si="6"/>
        <v>A</v>
      </c>
      <c r="D246">
        <v>79</v>
      </c>
      <c r="E246">
        <v>85.462844231707393</v>
      </c>
      <c r="F246"/>
    </row>
    <row r="247" spans="1:6" x14ac:dyDescent="0.25">
      <c r="A247" s="21">
        <f t="shared" si="7"/>
        <v>-0.47878511153045744</v>
      </c>
      <c r="C247" s="21" t="str">
        <f t="shared" si="6"/>
        <v>B</v>
      </c>
      <c r="D247">
        <v>160</v>
      </c>
      <c r="E247">
        <v>83.394382155126806</v>
      </c>
      <c r="F247"/>
    </row>
    <row r="248" spans="1:6" x14ac:dyDescent="0.25">
      <c r="A248" s="21">
        <f t="shared" si="7"/>
        <v>-0.37430817005835182</v>
      </c>
      <c r="C248" s="21" t="str">
        <f t="shared" si="6"/>
        <v>B</v>
      </c>
      <c r="D248">
        <v>135</v>
      </c>
      <c r="E248">
        <v>84.468397042122504</v>
      </c>
      <c r="F248"/>
    </row>
    <row r="249" spans="1:6" x14ac:dyDescent="0.25">
      <c r="A249" s="21">
        <f t="shared" si="7"/>
        <v>-0.198793984448983</v>
      </c>
      <c r="C249" s="21" t="str">
        <f t="shared" si="6"/>
        <v>A</v>
      </c>
      <c r="D249">
        <v>106</v>
      </c>
      <c r="E249">
        <v>84.927837648407802</v>
      </c>
      <c r="F249"/>
    </row>
    <row r="250" spans="1:6" x14ac:dyDescent="0.25">
      <c r="A250" s="21">
        <f t="shared" si="7"/>
        <v>6.3210806929243635E-2</v>
      </c>
      <c r="C250" s="21" t="str">
        <f t="shared" si="6"/>
        <v>A</v>
      </c>
      <c r="D250">
        <v>80</v>
      </c>
      <c r="E250">
        <v>85.056864554339498</v>
      </c>
    </row>
    <row r="251" spans="1:6" x14ac:dyDescent="0.25">
      <c r="A251" s="21">
        <f t="shared" si="7"/>
        <v>-0.21293828011408944</v>
      </c>
      <c r="C251" s="21" t="str">
        <f t="shared" si="6"/>
        <v>B</v>
      </c>
      <c r="D251">
        <v>124</v>
      </c>
      <c r="E251">
        <v>97.595653265852903</v>
      </c>
      <c r="F251"/>
    </row>
    <row r="252" spans="1:6" x14ac:dyDescent="0.25">
      <c r="A252" s="21">
        <f t="shared" si="7"/>
        <v>-0.13841086171230987</v>
      </c>
      <c r="C252" s="21" t="str">
        <f t="shared" si="6"/>
        <v>A</v>
      </c>
      <c r="D252">
        <v>112</v>
      </c>
      <c r="E252">
        <v>96.497983488221294</v>
      </c>
      <c r="F252"/>
    </row>
    <row r="253" spans="1:6" x14ac:dyDescent="0.25">
      <c r="A253" s="21">
        <f t="shared" si="7"/>
        <v>-0.11497205925538967</v>
      </c>
      <c r="C253" s="21" t="str">
        <f t="shared" si="6"/>
        <v>A</v>
      </c>
      <c r="D253">
        <v>96</v>
      </c>
      <c r="E253">
        <v>84.962682311482595</v>
      </c>
      <c r="F253"/>
    </row>
    <row r="254" spans="1:6" x14ac:dyDescent="0.25">
      <c r="A254" s="21">
        <f t="shared" si="7"/>
        <v>0.12036500850726362</v>
      </c>
      <c r="C254" s="21" t="str">
        <f t="shared" si="6"/>
        <v>A</v>
      </c>
      <c r="D254">
        <v>77</v>
      </c>
      <c r="E254">
        <v>86.268105655059301</v>
      </c>
      <c r="F254"/>
    </row>
    <row r="255" spans="1:6" x14ac:dyDescent="0.25">
      <c r="A255" s="21">
        <f t="shared" si="7"/>
        <v>-0.36991974742129274</v>
      </c>
      <c r="C255" s="21" t="str">
        <f t="shared" si="6"/>
        <v>B</v>
      </c>
      <c r="D255">
        <v>137</v>
      </c>
      <c r="E255">
        <v>86.320994603282898</v>
      </c>
      <c r="F255"/>
    </row>
    <row r="256" spans="1:6" x14ac:dyDescent="0.25">
      <c r="A256" s="21">
        <f t="shared" si="7"/>
        <v>-0.14656556211928462</v>
      </c>
      <c r="C256" s="21" t="str">
        <f t="shared" si="6"/>
        <v>A</v>
      </c>
      <c r="D256">
        <v>130</v>
      </c>
      <c r="E256">
        <v>110.946476924493</v>
      </c>
      <c r="F256"/>
    </row>
    <row r="257" spans="1:6" x14ac:dyDescent="0.25">
      <c r="A257" s="21">
        <f t="shared" si="7"/>
        <v>-0.30133554554319419</v>
      </c>
      <c r="C257" s="21" t="str">
        <f t="shared" si="6"/>
        <v>B</v>
      </c>
      <c r="D257">
        <v>121</v>
      </c>
      <c r="E257">
        <v>84.538398989273503</v>
      </c>
      <c r="F257"/>
    </row>
    <row r="258" spans="1:6" x14ac:dyDescent="0.25">
      <c r="A258" s="21">
        <f t="shared" si="7"/>
        <v>-8.7277279592909984E-2</v>
      </c>
      <c r="C258" s="21" t="str">
        <f t="shared" si="6"/>
        <v>A</v>
      </c>
      <c r="D258">
        <v>91</v>
      </c>
      <c r="E258">
        <v>83.057767557045196</v>
      </c>
      <c r="F258"/>
    </row>
    <row r="259" spans="1:6" x14ac:dyDescent="0.25">
      <c r="A259" s="21">
        <f t="shared" si="7"/>
        <v>-0.12642477952059117</v>
      </c>
      <c r="C259" s="21" t="str">
        <f t="shared" si="6"/>
        <v>A</v>
      </c>
      <c r="D259">
        <v>137</v>
      </c>
      <c r="E259">
        <v>119.679805205679</v>
      </c>
      <c r="F259"/>
    </row>
    <row r="260" spans="1:6" x14ac:dyDescent="0.25">
      <c r="A260" s="21">
        <f t="shared" si="7"/>
        <v>-0.11922303012979829</v>
      </c>
      <c r="C260" s="21" t="str">
        <f t="shared" si="6"/>
        <v>A</v>
      </c>
      <c r="D260">
        <v>119</v>
      </c>
      <c r="E260">
        <v>104.812459414554</v>
      </c>
      <c r="F260"/>
    </row>
    <row r="261" spans="1:6" x14ac:dyDescent="0.25">
      <c r="A261" s="21">
        <f t="shared" si="7"/>
        <v>-0.14865528262014038</v>
      </c>
      <c r="C261" s="21" t="str">
        <f t="shared" si="6"/>
        <v>A</v>
      </c>
      <c r="D261">
        <v>99</v>
      </c>
      <c r="E261">
        <v>84.283127020606102</v>
      </c>
      <c r="F261"/>
    </row>
    <row r="263" spans="1:6" x14ac:dyDescent="0.25">
      <c r="F263"/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3"/>
  <sheetViews>
    <sheetView topLeftCell="C27" zoomScale="80" zoomScaleNormal="80" workbookViewId="0">
      <selection activeCell="Q37" sqref="Q37:T39"/>
    </sheetView>
  </sheetViews>
  <sheetFormatPr defaultRowHeight="16.5" x14ac:dyDescent="0.25"/>
  <cols>
    <col min="1" max="1" width="9" style="1"/>
    <col min="2" max="2" width="8.5" style="1" customWidth="1"/>
    <col min="3" max="3" width="7" style="1" customWidth="1"/>
    <col min="4" max="4" width="9" style="1"/>
    <col min="5" max="8" width="12.125" style="1" customWidth="1"/>
    <col min="9" max="9" width="13.125" style="1" customWidth="1"/>
    <col min="10" max="10" width="14.125" style="1" customWidth="1"/>
    <col min="11" max="12" width="13.25" style="1" customWidth="1"/>
    <col min="13" max="13" width="12.375" style="1" customWidth="1"/>
    <col min="14" max="14" width="12.125" style="1" customWidth="1"/>
    <col min="15" max="15" width="11.5" style="1" customWidth="1"/>
    <col min="16" max="16" width="9" style="1"/>
    <col min="17" max="17" width="10.625" style="1" bestFit="1" customWidth="1"/>
    <col min="18" max="18" width="8.25" style="1" customWidth="1"/>
    <col min="19" max="16384" width="9" style="1"/>
  </cols>
  <sheetData>
    <row r="1" spans="4:16" x14ac:dyDescent="0.25">
      <c r="D1" s="1" t="s">
        <v>4</v>
      </c>
      <c r="H1" s="1" t="s">
        <v>5</v>
      </c>
    </row>
    <row r="2" spans="4:16" x14ac:dyDescent="0.25">
      <c r="D2" s="1" t="s">
        <v>6</v>
      </c>
      <c r="E2" s="1" t="s">
        <v>7</v>
      </c>
      <c r="F2" s="1" t="s">
        <v>8</v>
      </c>
      <c r="G2" s="1" t="s">
        <v>0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2</v>
      </c>
      <c r="P2" s="1" t="s">
        <v>0</v>
      </c>
    </row>
    <row r="3" spans="4:16" x14ac:dyDescent="0.25">
      <c r="D3" s="1">
        <v>0</v>
      </c>
      <c r="E3" s="1">
        <v>0</v>
      </c>
      <c r="H3" s="1">
        <v>50</v>
      </c>
    </row>
    <row r="4" spans="4:16" x14ac:dyDescent="0.25">
      <c r="D4" s="1">
        <v>30</v>
      </c>
      <c r="E4" s="1">
        <v>30</v>
      </c>
      <c r="H4" s="1">
        <v>50</v>
      </c>
    </row>
    <row r="5" spans="4:16" x14ac:dyDescent="0.25">
      <c r="D5" s="1">
        <v>140</v>
      </c>
      <c r="E5" s="1">
        <v>140</v>
      </c>
      <c r="H5" s="1">
        <v>170</v>
      </c>
    </row>
    <row r="6" spans="4:16" x14ac:dyDescent="0.25">
      <c r="D6" s="1">
        <v>280</v>
      </c>
      <c r="E6" s="1">
        <v>280</v>
      </c>
      <c r="H6" s="1">
        <v>380</v>
      </c>
    </row>
    <row r="7" spans="4:16" x14ac:dyDescent="0.25">
      <c r="D7" s="1">
        <v>860</v>
      </c>
      <c r="E7" s="1">
        <v>430</v>
      </c>
      <c r="H7" s="1">
        <v>1100</v>
      </c>
    </row>
    <row r="8" spans="4:16" x14ac:dyDescent="0.25">
      <c r="D8" s="1">
        <v>120</v>
      </c>
      <c r="E8" s="1">
        <v>120</v>
      </c>
      <c r="K8" s="1">
        <v>0</v>
      </c>
    </row>
    <row r="9" spans="4:16" x14ac:dyDescent="0.25">
      <c r="D9" s="1">
        <v>120</v>
      </c>
      <c r="E9" s="1">
        <v>120</v>
      </c>
      <c r="K9" s="1">
        <v>30</v>
      </c>
    </row>
    <row r="10" spans="4:16" x14ac:dyDescent="0.25">
      <c r="D10" s="1">
        <v>260</v>
      </c>
      <c r="E10" s="1">
        <v>260</v>
      </c>
      <c r="K10" s="1">
        <v>130</v>
      </c>
    </row>
    <row r="11" spans="4:16" x14ac:dyDescent="0.25">
      <c r="D11" s="1">
        <v>550</v>
      </c>
      <c r="E11" s="1">
        <v>550</v>
      </c>
      <c r="K11" s="1">
        <v>250</v>
      </c>
    </row>
    <row r="12" spans="4:16" x14ac:dyDescent="0.25">
      <c r="D12" s="1">
        <v>50</v>
      </c>
      <c r="I12" s="1">
        <v>0</v>
      </c>
    </row>
    <row r="13" spans="4:16" x14ac:dyDescent="0.25">
      <c r="D13" s="1">
        <v>50</v>
      </c>
      <c r="I13" s="1">
        <v>30</v>
      </c>
    </row>
    <row r="14" spans="4:16" x14ac:dyDescent="0.25">
      <c r="D14" s="1">
        <v>170</v>
      </c>
      <c r="I14" s="1">
        <v>145</v>
      </c>
    </row>
    <row r="15" spans="4:16" x14ac:dyDescent="0.25">
      <c r="D15" s="1">
        <v>385</v>
      </c>
      <c r="I15" s="1">
        <v>300</v>
      </c>
    </row>
    <row r="16" spans="4:16" x14ac:dyDescent="0.25">
      <c r="D16" s="1">
        <v>550</v>
      </c>
      <c r="I16" s="1">
        <v>450</v>
      </c>
    </row>
    <row r="17" spans="4:14" x14ac:dyDescent="0.25">
      <c r="D17" s="1">
        <v>0</v>
      </c>
      <c r="J17" s="1">
        <v>60</v>
      </c>
    </row>
    <row r="18" spans="4:14" x14ac:dyDescent="0.25">
      <c r="D18" s="1">
        <v>30</v>
      </c>
      <c r="J18" s="1">
        <v>60</v>
      </c>
    </row>
    <row r="19" spans="4:14" x14ac:dyDescent="0.25">
      <c r="D19" s="1">
        <v>50</v>
      </c>
      <c r="J19" s="1">
        <v>80</v>
      </c>
    </row>
    <row r="20" spans="4:14" x14ac:dyDescent="0.25">
      <c r="D20" s="1">
        <v>70</v>
      </c>
      <c r="J20" s="1">
        <v>110</v>
      </c>
    </row>
    <row r="21" spans="4:14" x14ac:dyDescent="0.25">
      <c r="D21" s="1">
        <v>520</v>
      </c>
      <c r="J21" s="1">
        <v>1100</v>
      </c>
    </row>
    <row r="22" spans="4:14" x14ac:dyDescent="0.25">
      <c r="D22" s="1">
        <v>250</v>
      </c>
      <c r="M22" s="1">
        <v>0</v>
      </c>
    </row>
    <row r="23" spans="4:14" x14ac:dyDescent="0.25">
      <c r="D23" s="1">
        <v>250</v>
      </c>
      <c r="M23" s="1">
        <v>40</v>
      </c>
    </row>
    <row r="24" spans="4:14" x14ac:dyDescent="0.25">
      <c r="D24" s="1">
        <v>550</v>
      </c>
      <c r="M24" s="1">
        <v>150</v>
      </c>
    </row>
    <row r="25" spans="4:14" x14ac:dyDescent="0.25">
      <c r="D25" s="1">
        <v>0</v>
      </c>
      <c r="L25" s="1">
        <v>100</v>
      </c>
    </row>
    <row r="26" spans="4:14" x14ac:dyDescent="0.25">
      <c r="D26" s="1">
        <v>25</v>
      </c>
      <c r="L26" s="1">
        <v>100</v>
      </c>
    </row>
    <row r="27" spans="4:14" x14ac:dyDescent="0.25">
      <c r="D27" s="1">
        <v>50</v>
      </c>
      <c r="L27" s="1">
        <v>125</v>
      </c>
    </row>
    <row r="28" spans="4:14" x14ac:dyDescent="0.25">
      <c r="D28" s="1">
        <v>80</v>
      </c>
      <c r="L28" s="1">
        <v>215</v>
      </c>
    </row>
    <row r="29" spans="4:14" x14ac:dyDescent="0.25">
      <c r="D29" s="1">
        <v>250</v>
      </c>
      <c r="L29" s="1">
        <v>1100</v>
      </c>
    </row>
    <row r="30" spans="4:14" x14ac:dyDescent="0.25">
      <c r="D30" s="1">
        <v>0</v>
      </c>
      <c r="N30" s="1">
        <v>150</v>
      </c>
    </row>
    <row r="31" spans="4:14" x14ac:dyDescent="0.25">
      <c r="D31" s="1">
        <v>35</v>
      </c>
      <c r="N31" s="1">
        <v>155</v>
      </c>
    </row>
    <row r="32" spans="4:14" x14ac:dyDescent="0.25">
      <c r="D32" s="1">
        <v>100</v>
      </c>
      <c r="N32" s="1">
        <v>1100</v>
      </c>
    </row>
    <row r="33" spans="1:20" x14ac:dyDescent="0.25">
      <c r="D33" s="1">
        <v>0</v>
      </c>
      <c r="O33" s="1">
        <v>0</v>
      </c>
    </row>
    <row r="34" spans="1:20" x14ac:dyDescent="0.25">
      <c r="D34" s="1">
        <v>550</v>
      </c>
      <c r="O34" s="1">
        <v>550</v>
      </c>
    </row>
    <row r="36" spans="1:20" ht="17.25" thickBot="1" x14ac:dyDescent="0.3"/>
    <row r="37" spans="1:20" ht="17.25" x14ac:dyDescent="0.25">
      <c r="D37" s="2" t="s">
        <v>18</v>
      </c>
      <c r="E37" s="15" t="s">
        <v>42</v>
      </c>
      <c r="F37" s="15" t="s">
        <v>34</v>
      </c>
      <c r="G37" s="15" t="s">
        <v>35</v>
      </c>
      <c r="H37" s="15" t="s">
        <v>54</v>
      </c>
      <c r="I37" s="15" t="s">
        <v>55</v>
      </c>
      <c r="J37" s="15" t="s">
        <v>56</v>
      </c>
      <c r="K37" s="15" t="s">
        <v>57</v>
      </c>
      <c r="L37" s="15" t="s">
        <v>58</v>
      </c>
      <c r="M37" s="15" t="s">
        <v>59</v>
      </c>
      <c r="N37" s="15" t="s">
        <v>60</v>
      </c>
      <c r="O37" s="15" t="s">
        <v>61</v>
      </c>
      <c r="P37" s="22" t="s">
        <v>62</v>
      </c>
      <c r="Q37" s="24"/>
      <c r="R37" s="25" t="s">
        <v>64</v>
      </c>
      <c r="S37" s="25" t="s">
        <v>65</v>
      </c>
      <c r="T37" s="26" t="s">
        <v>66</v>
      </c>
    </row>
    <row r="38" spans="1:20" ht="17.25" x14ac:dyDescent="0.25">
      <c r="A38" s="21">
        <f>E38/D38-1</f>
        <v>0.44419462601205306</v>
      </c>
      <c r="B38" t="s">
        <v>36</v>
      </c>
      <c r="C38" s="21" t="str">
        <f>IF(OR(A38&gt;=20%,A38&lt;=-20%),"B","A")</f>
        <v>B</v>
      </c>
      <c r="D38">
        <v>94</v>
      </c>
      <c r="E38">
        <v>135.75429484513299</v>
      </c>
      <c r="F38"/>
      <c r="G38" s="5"/>
      <c r="Q38" s="28" t="s">
        <v>67</v>
      </c>
      <c r="R38" s="23">
        <f>COUNTIF(C38:C261,"A")</f>
        <v>125</v>
      </c>
      <c r="S38" s="23">
        <f>COUNTIF(C38:C261,"B")</f>
        <v>96</v>
      </c>
      <c r="T38" s="27">
        <v>224</v>
      </c>
    </row>
    <row r="39" spans="1:20" ht="18" thickBot="1" x14ac:dyDescent="0.3">
      <c r="A39" s="21">
        <f t="shared" ref="A39:A102" si="0">E39/D39-1</f>
        <v>-0.20085345247548458</v>
      </c>
      <c r="B39" t="s">
        <v>36</v>
      </c>
      <c r="C39" s="21" t="str">
        <f t="shared" ref="C39:C102" si="1">IF(OR(A39&gt;=20%,A39&lt;=-20%),"B","A")</f>
        <v>B</v>
      </c>
      <c r="D39">
        <v>194</v>
      </c>
      <c r="E39">
        <v>155.03443021975599</v>
      </c>
      <c r="F39"/>
      <c r="G39" s="5"/>
      <c r="Q39" s="29" t="s">
        <v>68</v>
      </c>
      <c r="R39" s="31">
        <f>R38/T38</f>
        <v>0.5580357142857143</v>
      </c>
      <c r="S39" s="31">
        <f>S38/T38</f>
        <v>0.42857142857142855</v>
      </c>
      <c r="T39" s="30">
        <f>R39+S39</f>
        <v>0.98660714285714279</v>
      </c>
    </row>
    <row r="40" spans="1:20" ht="17.25" x14ac:dyDescent="0.25">
      <c r="A40" s="21">
        <f t="shared" si="0"/>
        <v>-4.1310763520291505E-2</v>
      </c>
      <c r="B40" t="s">
        <v>36</v>
      </c>
      <c r="C40" s="21" t="str">
        <f t="shared" si="1"/>
        <v>A</v>
      </c>
      <c r="D40">
        <v>151</v>
      </c>
      <c r="E40">
        <v>144.76207470843599</v>
      </c>
      <c r="F40"/>
      <c r="G40" s="5"/>
      <c r="Q40" s="21"/>
      <c r="R40" s="21"/>
    </row>
    <row r="41" spans="1:20" ht="17.25" x14ac:dyDescent="0.25">
      <c r="A41" s="21">
        <f t="shared" si="0"/>
        <v>0.45838993660278127</v>
      </c>
      <c r="B41" t="s">
        <v>36</v>
      </c>
      <c r="C41" s="21" t="str">
        <f t="shared" si="1"/>
        <v>B</v>
      </c>
      <c r="D41">
        <v>96</v>
      </c>
      <c r="E41">
        <v>140.00543391386699</v>
      </c>
      <c r="F41"/>
      <c r="G41" s="5"/>
      <c r="Q41" s="21"/>
      <c r="R41" s="21"/>
    </row>
    <row r="42" spans="1:20" ht="17.25" x14ac:dyDescent="0.25">
      <c r="A42" s="21">
        <f t="shared" si="0"/>
        <v>8.8319102989310672E-2</v>
      </c>
      <c r="B42" t="s">
        <v>36</v>
      </c>
      <c r="C42" s="21" t="str">
        <f t="shared" si="1"/>
        <v>A</v>
      </c>
      <c r="D42">
        <v>132</v>
      </c>
      <c r="E42">
        <v>143.65812159458901</v>
      </c>
      <c r="F42"/>
      <c r="G42" s="5"/>
      <c r="Q42" s="21"/>
      <c r="R42" s="21"/>
    </row>
    <row r="43" spans="1:20" ht="17.25" x14ac:dyDescent="0.25">
      <c r="A43" s="21">
        <f t="shared" si="0"/>
        <v>0.33205400837386101</v>
      </c>
      <c r="B43" t="s">
        <v>36</v>
      </c>
      <c r="C43" s="21" t="str">
        <f t="shared" si="1"/>
        <v>B</v>
      </c>
      <c r="D43">
        <v>115</v>
      </c>
      <c r="E43">
        <v>153.18621096299401</v>
      </c>
      <c r="F43"/>
      <c r="G43" s="5"/>
      <c r="Q43" s="21"/>
      <c r="R43" s="21"/>
    </row>
    <row r="44" spans="1:20" ht="17.25" x14ac:dyDescent="0.25">
      <c r="A44" s="21">
        <f t="shared" si="0"/>
        <v>0.3683641306722556</v>
      </c>
      <c r="B44" t="s">
        <v>36</v>
      </c>
      <c r="C44" s="21" t="str">
        <f t="shared" si="1"/>
        <v>B</v>
      </c>
      <c r="D44">
        <v>90</v>
      </c>
      <c r="E44">
        <v>123.152771760503</v>
      </c>
      <c r="F44"/>
      <c r="G44" s="5"/>
      <c r="Q44" s="21"/>
      <c r="R44" s="21"/>
    </row>
    <row r="45" spans="1:20" ht="17.25" x14ac:dyDescent="0.25">
      <c r="A45" s="21">
        <f t="shared" si="0"/>
        <v>-0.1826605865370754</v>
      </c>
      <c r="B45" t="s">
        <v>36</v>
      </c>
      <c r="C45" s="21" t="str">
        <f t="shared" si="1"/>
        <v>A</v>
      </c>
      <c r="D45">
        <v>199</v>
      </c>
      <c r="E45">
        <v>162.65054327912199</v>
      </c>
      <c r="F45"/>
      <c r="G45" s="5"/>
      <c r="Q45" s="21"/>
      <c r="R45" s="21"/>
    </row>
    <row r="46" spans="1:20" ht="17.25" x14ac:dyDescent="0.25">
      <c r="A46" s="21">
        <f t="shared" si="0"/>
        <v>-0.18893304993639082</v>
      </c>
      <c r="B46" t="s">
        <v>36</v>
      </c>
      <c r="C46" s="21" t="str">
        <f t="shared" si="1"/>
        <v>A</v>
      </c>
      <c r="D46">
        <v>197</v>
      </c>
      <c r="E46">
        <v>159.780189162531</v>
      </c>
      <c r="F46"/>
      <c r="G46" s="5"/>
      <c r="Q46" s="21"/>
      <c r="R46" s="21"/>
    </row>
    <row r="47" spans="1:20" ht="17.25" x14ac:dyDescent="0.25">
      <c r="A47" s="21">
        <f t="shared" si="0"/>
        <v>0.73436232336594576</v>
      </c>
      <c r="B47" t="s">
        <v>43</v>
      </c>
      <c r="C47" s="21" t="s">
        <v>69</v>
      </c>
      <c r="D47">
        <v>92</v>
      </c>
      <c r="E47">
        <v>159.561333749667</v>
      </c>
      <c r="F47"/>
      <c r="G47" s="5"/>
      <c r="Q47" s="21"/>
      <c r="R47" s="21"/>
    </row>
    <row r="48" spans="1:20" ht="17.25" x14ac:dyDescent="0.25">
      <c r="A48" s="21">
        <f t="shared" si="0"/>
        <v>0.50055022405794691</v>
      </c>
      <c r="B48" t="s">
        <v>43</v>
      </c>
      <c r="C48" s="21" t="str">
        <f t="shared" si="1"/>
        <v>B</v>
      </c>
      <c r="D48">
        <v>94</v>
      </c>
      <c r="E48">
        <v>141.05172106144701</v>
      </c>
      <c r="F48"/>
      <c r="G48" s="5"/>
      <c r="Q48" s="21"/>
      <c r="R48" s="21"/>
    </row>
    <row r="49" spans="1:18" ht="17.25" x14ac:dyDescent="0.25">
      <c r="A49" s="21">
        <f t="shared" si="0"/>
        <v>0.22814490520300001</v>
      </c>
      <c r="B49" t="s">
        <v>43</v>
      </c>
      <c r="C49" s="21" t="str">
        <f t="shared" si="1"/>
        <v>B</v>
      </c>
      <c r="D49">
        <v>101</v>
      </c>
      <c r="E49">
        <v>124.04263542550299</v>
      </c>
      <c r="F49"/>
      <c r="G49" s="5"/>
      <c r="Q49" s="21"/>
      <c r="R49" s="21"/>
    </row>
    <row r="50" spans="1:18" ht="17.25" x14ac:dyDescent="0.25">
      <c r="A50" s="21">
        <f t="shared" si="0"/>
        <v>0.2941439809842501</v>
      </c>
      <c r="B50" t="s">
        <v>43</v>
      </c>
      <c r="C50" s="21" t="str">
        <f t="shared" si="1"/>
        <v>B</v>
      </c>
      <c r="D50">
        <v>96</v>
      </c>
      <c r="E50">
        <v>124.237822174488</v>
      </c>
      <c r="F50"/>
      <c r="G50" s="5"/>
      <c r="Q50" s="21"/>
      <c r="R50" s="21"/>
    </row>
    <row r="51" spans="1:18" ht="17.25" x14ac:dyDescent="0.25">
      <c r="A51" s="21">
        <f t="shared" si="0"/>
        <v>0.36594137417704964</v>
      </c>
      <c r="B51" t="s">
        <v>43</v>
      </c>
      <c r="C51" s="21" t="str">
        <f t="shared" si="1"/>
        <v>B</v>
      </c>
      <c r="D51">
        <v>101</v>
      </c>
      <c r="E51">
        <v>137.96007879188201</v>
      </c>
      <c r="F51"/>
      <c r="G51" s="5"/>
      <c r="Q51" s="21"/>
      <c r="R51" s="21"/>
    </row>
    <row r="52" spans="1:18" ht="17.25" x14ac:dyDescent="0.25">
      <c r="A52" s="21">
        <f t="shared" si="0"/>
        <v>0.3466473749591521</v>
      </c>
      <c r="B52" t="s">
        <v>43</v>
      </c>
      <c r="C52" s="21" t="str">
        <f t="shared" si="1"/>
        <v>B</v>
      </c>
      <c r="D52">
        <v>92</v>
      </c>
      <c r="E52">
        <v>123.891558496242</v>
      </c>
      <c r="F52"/>
      <c r="G52" s="5"/>
      <c r="Q52" s="21"/>
      <c r="R52" s="21"/>
    </row>
    <row r="53" spans="1:18" ht="17.25" x14ac:dyDescent="0.25">
      <c r="A53" s="21">
        <f t="shared" si="0"/>
        <v>0.1164540608386635</v>
      </c>
      <c r="B53" t="s">
        <v>43</v>
      </c>
      <c r="C53" s="21" t="str">
        <f t="shared" si="1"/>
        <v>A</v>
      </c>
      <c r="D53">
        <v>104</v>
      </c>
      <c r="E53">
        <v>116.111222327221</v>
      </c>
      <c r="F53"/>
      <c r="G53" s="5"/>
      <c r="Q53" s="21"/>
      <c r="R53" s="21"/>
    </row>
    <row r="54" spans="1:18" ht="17.25" x14ac:dyDescent="0.25">
      <c r="A54" s="21">
        <f t="shared" si="0"/>
        <v>0.11487107681415964</v>
      </c>
      <c r="B54" t="s">
        <v>43</v>
      </c>
      <c r="C54" s="21" t="str">
        <f t="shared" si="1"/>
        <v>A</v>
      </c>
      <c r="D54">
        <v>94</v>
      </c>
      <c r="E54">
        <v>104.797881220531</v>
      </c>
      <c r="F54"/>
      <c r="G54" s="5"/>
      <c r="Q54" s="21"/>
      <c r="R54" s="21"/>
    </row>
    <row r="55" spans="1:18" ht="17.25" x14ac:dyDescent="0.25">
      <c r="A55" s="21">
        <f t="shared" si="0"/>
        <v>0.14820265580723446</v>
      </c>
      <c r="B55" t="s">
        <v>43</v>
      </c>
      <c r="C55" s="21" t="str">
        <f t="shared" si="1"/>
        <v>A</v>
      </c>
      <c r="D55">
        <v>145</v>
      </c>
      <c r="E55">
        <v>166.48938509204899</v>
      </c>
      <c r="F55"/>
      <c r="G55" s="5"/>
      <c r="Q55" s="21"/>
      <c r="R55" s="21"/>
    </row>
    <row r="56" spans="1:18" ht="17.25" x14ac:dyDescent="0.25">
      <c r="A56" s="21">
        <f t="shared" si="0"/>
        <v>3.8714580954589906E-2</v>
      </c>
      <c r="B56" t="s">
        <v>43</v>
      </c>
      <c r="C56" s="21" t="str">
        <f t="shared" si="1"/>
        <v>A</v>
      </c>
      <c r="D56">
        <v>139</v>
      </c>
      <c r="E56">
        <v>144.38132675268801</v>
      </c>
      <c r="F56"/>
      <c r="G56" s="5"/>
      <c r="Q56" s="21"/>
      <c r="R56" s="21"/>
    </row>
    <row r="57" spans="1:18" ht="17.25" x14ac:dyDescent="0.25">
      <c r="A57" s="21">
        <f t="shared" si="0"/>
        <v>0.15468589401686073</v>
      </c>
      <c r="B57" t="s">
        <v>43</v>
      </c>
      <c r="C57" s="21" t="str">
        <f t="shared" si="1"/>
        <v>A</v>
      </c>
      <c r="D57">
        <v>115</v>
      </c>
      <c r="E57">
        <v>132.78887781193899</v>
      </c>
      <c r="F57"/>
      <c r="G57" s="5"/>
      <c r="Q57" s="21"/>
      <c r="R57" s="21"/>
    </row>
    <row r="58" spans="1:18" x14ac:dyDescent="0.25">
      <c r="A58" s="21">
        <f t="shared" si="0"/>
        <v>0.1217025819962112</v>
      </c>
      <c r="B58" t="s">
        <v>44</v>
      </c>
      <c r="C58" s="21" t="str">
        <f t="shared" si="1"/>
        <v>A</v>
      </c>
      <c r="D58">
        <v>90</v>
      </c>
      <c r="E58">
        <v>100.953232379659</v>
      </c>
      <c r="F58"/>
      <c r="G58"/>
      <c r="Q58" s="21"/>
      <c r="R58" s="21"/>
    </row>
    <row r="59" spans="1:18" x14ac:dyDescent="0.25">
      <c r="A59" s="21">
        <f t="shared" si="0"/>
        <v>-7.8018902089905473E-2</v>
      </c>
      <c r="B59" t="s">
        <v>44</v>
      </c>
      <c r="C59" s="21" t="str">
        <f t="shared" si="1"/>
        <v>A</v>
      </c>
      <c r="D59">
        <v>137.5</v>
      </c>
      <c r="E59">
        <v>126.772400962638</v>
      </c>
      <c r="F59"/>
      <c r="G59"/>
      <c r="Q59" s="21"/>
      <c r="R59" s="21"/>
    </row>
    <row r="60" spans="1:18" x14ac:dyDescent="0.25">
      <c r="A60" s="21">
        <f t="shared" si="0"/>
        <v>2.6843361910893204E-3</v>
      </c>
      <c r="B60" t="s">
        <v>44</v>
      </c>
      <c r="C60" s="21" t="str">
        <f t="shared" si="1"/>
        <v>A</v>
      </c>
      <c r="D60">
        <v>106.5</v>
      </c>
      <c r="E60">
        <v>106.78588180435101</v>
      </c>
      <c r="F60"/>
      <c r="G60"/>
      <c r="Q60" s="21"/>
      <c r="R60" s="21"/>
    </row>
    <row r="61" spans="1:18" x14ac:dyDescent="0.25">
      <c r="A61" s="21">
        <f t="shared" si="0"/>
        <v>9.0767037016485252E-2</v>
      </c>
      <c r="B61" t="s">
        <v>44</v>
      </c>
      <c r="C61" s="21" t="str">
        <f t="shared" si="1"/>
        <v>A</v>
      </c>
      <c r="D61">
        <v>101</v>
      </c>
      <c r="E61">
        <v>110.167470738665</v>
      </c>
      <c r="F61"/>
      <c r="G61"/>
      <c r="Q61" s="21"/>
      <c r="R61" s="21"/>
    </row>
    <row r="62" spans="1:18" ht="17.25" x14ac:dyDescent="0.25">
      <c r="A62" s="21">
        <f t="shared" si="0"/>
        <v>-6.0186548568103793E-2</v>
      </c>
      <c r="B62" t="s">
        <v>45</v>
      </c>
      <c r="C62" s="21" t="str">
        <f t="shared" si="1"/>
        <v>A</v>
      </c>
      <c r="D62">
        <v>212</v>
      </c>
      <c r="E62">
        <v>199.240451703562</v>
      </c>
      <c r="F62"/>
      <c r="G62" s="5"/>
      <c r="H62"/>
      <c r="Q62" s="21"/>
      <c r="R62" s="21"/>
    </row>
    <row r="63" spans="1:18" ht="17.25" x14ac:dyDescent="0.25">
      <c r="A63" s="21">
        <f t="shared" si="0"/>
        <v>-0.14711942203342243</v>
      </c>
      <c r="B63" t="s">
        <v>45</v>
      </c>
      <c r="C63" s="21" t="str">
        <f t="shared" si="1"/>
        <v>A</v>
      </c>
      <c r="D63">
        <v>258</v>
      </c>
      <c r="E63">
        <v>220.043189115377</v>
      </c>
      <c r="F63"/>
      <c r="G63" s="5"/>
      <c r="H63"/>
      <c r="Q63" s="21"/>
      <c r="R63" s="21"/>
    </row>
    <row r="64" spans="1:18" ht="17.25" x14ac:dyDescent="0.25">
      <c r="A64" s="21">
        <f t="shared" si="0"/>
        <v>-0.25511186464873015</v>
      </c>
      <c r="B64" t="s">
        <v>45</v>
      </c>
      <c r="C64" s="21" t="str">
        <f t="shared" si="1"/>
        <v>B</v>
      </c>
      <c r="D64">
        <v>257.5</v>
      </c>
      <c r="E64">
        <v>191.80869485295199</v>
      </c>
      <c r="F64"/>
      <c r="G64" s="5"/>
      <c r="H64"/>
      <c r="Q64" s="21"/>
      <c r="R64" s="21"/>
    </row>
    <row r="65" spans="1:18" ht="17.25" x14ac:dyDescent="0.25">
      <c r="A65" s="21">
        <f t="shared" si="0"/>
        <v>5.6130448349158923E-2</v>
      </c>
      <c r="B65" t="s">
        <v>45</v>
      </c>
      <c r="C65" s="21" t="str">
        <f t="shared" si="1"/>
        <v>A</v>
      </c>
      <c r="D65">
        <v>204.5</v>
      </c>
      <c r="E65">
        <v>215.97867668740301</v>
      </c>
      <c r="F65"/>
      <c r="G65" s="5"/>
      <c r="H65"/>
      <c r="Q65" s="21"/>
      <c r="R65" s="21"/>
    </row>
    <row r="66" spans="1:18" ht="17.25" x14ac:dyDescent="0.25">
      <c r="A66" s="21">
        <f t="shared" si="0"/>
        <v>5.6458503942720561E-2</v>
      </c>
      <c r="B66" t="s">
        <v>45</v>
      </c>
      <c r="C66" s="21" t="str">
        <f t="shared" si="1"/>
        <v>A</v>
      </c>
      <c r="D66">
        <v>383</v>
      </c>
      <c r="E66">
        <v>404.62360701006202</v>
      </c>
      <c r="F66"/>
      <c r="G66" s="5"/>
      <c r="H66"/>
      <c r="Q66" s="21"/>
      <c r="R66" s="21"/>
    </row>
    <row r="67" spans="1:18" ht="17.25" x14ac:dyDescent="0.25">
      <c r="A67" s="21">
        <f t="shared" si="0"/>
        <v>5.4111987560673702E-2</v>
      </c>
      <c r="B67" t="s">
        <v>46</v>
      </c>
      <c r="C67" s="21" t="str">
        <f t="shared" si="1"/>
        <v>A</v>
      </c>
      <c r="D67">
        <v>96.5</v>
      </c>
      <c r="E67">
        <v>101.72180679960501</v>
      </c>
      <c r="F67"/>
      <c r="G67" s="5"/>
      <c r="I67"/>
      <c r="Q67" s="21"/>
      <c r="R67" s="21"/>
    </row>
    <row r="68" spans="1:18" ht="17.25" x14ac:dyDescent="0.25">
      <c r="A68" s="21">
        <f t="shared" si="0"/>
        <v>3.4967555182019439E-2</v>
      </c>
      <c r="B68" t="s">
        <v>46</v>
      </c>
      <c r="C68" s="21" t="str">
        <f t="shared" si="1"/>
        <v>A</v>
      </c>
      <c r="D68">
        <v>153.5</v>
      </c>
      <c r="E68">
        <v>158.86751972043999</v>
      </c>
      <c r="F68"/>
      <c r="G68" s="5"/>
      <c r="I68"/>
      <c r="Q68" s="21"/>
      <c r="R68" s="21"/>
    </row>
    <row r="69" spans="1:18" ht="17.25" x14ac:dyDescent="0.25">
      <c r="A69" s="21">
        <f t="shared" si="0"/>
        <v>4.5161898444628257E-2</v>
      </c>
      <c r="B69" t="s">
        <v>46</v>
      </c>
      <c r="C69" s="21" t="str">
        <f t="shared" si="1"/>
        <v>A</v>
      </c>
      <c r="D69">
        <v>130.5</v>
      </c>
      <c r="E69">
        <v>136.393627747024</v>
      </c>
      <c r="F69"/>
      <c r="G69" s="5"/>
      <c r="I69"/>
      <c r="Q69" s="21"/>
      <c r="R69" s="21"/>
    </row>
    <row r="70" spans="1:18" ht="17.25" x14ac:dyDescent="0.25">
      <c r="A70" s="21">
        <f t="shared" si="0"/>
        <v>-3.9687900848749402E-3</v>
      </c>
      <c r="B70" t="s">
        <v>46</v>
      </c>
      <c r="C70" s="21" t="str">
        <f t="shared" si="1"/>
        <v>A</v>
      </c>
      <c r="D70">
        <v>136</v>
      </c>
      <c r="E70">
        <v>135.46024454845701</v>
      </c>
      <c r="F70"/>
      <c r="G70" s="5"/>
      <c r="I70"/>
      <c r="Q70" s="21"/>
      <c r="R70" s="21"/>
    </row>
    <row r="71" spans="1:18" ht="17.25" x14ac:dyDescent="0.25">
      <c r="A71" s="21">
        <f t="shared" si="0"/>
        <v>2.9482998969126095E-2</v>
      </c>
      <c r="B71" t="s">
        <v>46</v>
      </c>
      <c r="C71" s="21" t="str">
        <f t="shared" si="1"/>
        <v>A</v>
      </c>
      <c r="D71">
        <v>111</v>
      </c>
      <c r="E71">
        <v>114.272612885573</v>
      </c>
      <c r="F71"/>
      <c r="G71" s="5"/>
      <c r="I71"/>
      <c r="Q71" s="21"/>
      <c r="R71" s="21"/>
    </row>
    <row r="72" spans="1:18" ht="17.25" x14ac:dyDescent="0.25">
      <c r="A72" s="21">
        <f t="shared" si="0"/>
        <v>2.120966507815969E-2</v>
      </c>
      <c r="B72" t="s">
        <v>46</v>
      </c>
      <c r="C72" s="21" t="str">
        <f t="shared" si="1"/>
        <v>A</v>
      </c>
      <c r="D72">
        <v>156.5</v>
      </c>
      <c r="E72">
        <v>159.81931258473199</v>
      </c>
      <c r="F72"/>
      <c r="G72" s="5"/>
      <c r="I72"/>
      <c r="Q72" s="21"/>
      <c r="R72" s="21"/>
    </row>
    <row r="73" spans="1:18" ht="17.25" x14ac:dyDescent="0.25">
      <c r="A73" s="21">
        <f t="shared" si="0"/>
        <v>0.60116574362462383</v>
      </c>
      <c r="B73" t="s">
        <v>46</v>
      </c>
      <c r="C73" s="21" t="str">
        <f t="shared" si="1"/>
        <v>B</v>
      </c>
      <c r="D73">
        <v>109</v>
      </c>
      <c r="E73">
        <v>174.52706605508399</v>
      </c>
      <c r="F73"/>
      <c r="G73" s="5"/>
      <c r="I73"/>
      <c r="Q73" s="21"/>
      <c r="R73" s="21"/>
    </row>
    <row r="74" spans="1:18" ht="17.25" x14ac:dyDescent="0.25">
      <c r="A74" s="21">
        <f t="shared" si="0"/>
        <v>0.17761545235310705</v>
      </c>
      <c r="B74" t="s">
        <v>46</v>
      </c>
      <c r="C74" s="21" t="str">
        <f t="shared" si="1"/>
        <v>A</v>
      </c>
      <c r="D74">
        <v>112</v>
      </c>
      <c r="E74">
        <v>131.89293066354799</v>
      </c>
      <c r="F74"/>
      <c r="G74" s="5"/>
      <c r="I74"/>
      <c r="Q74" s="21"/>
      <c r="R74" s="21"/>
    </row>
    <row r="75" spans="1:18" ht="17.25" x14ac:dyDescent="0.25">
      <c r="A75" s="21">
        <f t="shared" si="0"/>
        <v>0.22786885307441929</v>
      </c>
      <c r="B75" t="s">
        <v>46</v>
      </c>
      <c r="C75" s="21" t="str">
        <f t="shared" si="1"/>
        <v>B</v>
      </c>
      <c r="D75">
        <v>93</v>
      </c>
      <c r="E75">
        <v>114.19180333592099</v>
      </c>
      <c r="F75"/>
      <c r="G75" s="5"/>
      <c r="I75"/>
      <c r="Q75" s="21"/>
      <c r="R75" s="21"/>
    </row>
    <row r="76" spans="1:18" ht="17.25" x14ac:dyDescent="0.25">
      <c r="A76" s="21">
        <f t="shared" si="0"/>
        <v>-5.5271953686654385E-2</v>
      </c>
      <c r="B76" t="s">
        <v>46</v>
      </c>
      <c r="C76" s="21" t="str">
        <f t="shared" si="1"/>
        <v>A</v>
      </c>
      <c r="D76">
        <v>163.5</v>
      </c>
      <c r="E76">
        <v>154.463035572232</v>
      </c>
      <c r="F76"/>
      <c r="G76" s="5"/>
      <c r="I76"/>
      <c r="Q76" s="21"/>
      <c r="R76" s="21"/>
    </row>
    <row r="77" spans="1:18" ht="17.25" x14ac:dyDescent="0.25">
      <c r="A77" s="21">
        <f t="shared" si="0"/>
        <v>0.2487482478001839</v>
      </c>
      <c r="B77" t="s">
        <v>46</v>
      </c>
      <c r="C77" s="21" t="str">
        <f t="shared" si="1"/>
        <v>B</v>
      </c>
      <c r="D77">
        <v>136</v>
      </c>
      <c r="E77">
        <v>169.829761700825</v>
      </c>
      <c r="F77"/>
      <c r="G77" s="5"/>
      <c r="I77"/>
      <c r="Q77" s="21"/>
      <c r="R77" s="21"/>
    </row>
    <row r="78" spans="1:18" ht="17.25" x14ac:dyDescent="0.25">
      <c r="A78" s="21">
        <f t="shared" si="0"/>
        <v>0.4761847286178833</v>
      </c>
      <c r="B78" t="s">
        <v>46</v>
      </c>
      <c r="C78" s="21" t="str">
        <f t="shared" si="1"/>
        <v>B</v>
      </c>
      <c r="D78">
        <v>120</v>
      </c>
      <c r="E78">
        <v>177.14216743414599</v>
      </c>
      <c r="F78"/>
      <c r="G78" s="5"/>
      <c r="I78"/>
      <c r="Q78" s="21"/>
      <c r="R78" s="21"/>
    </row>
    <row r="79" spans="1:18" ht="17.25" x14ac:dyDescent="0.25">
      <c r="A79" s="21">
        <f t="shared" si="0"/>
        <v>0.22629324595237943</v>
      </c>
      <c r="B79" t="s">
        <v>47</v>
      </c>
      <c r="C79" s="21" t="str">
        <f t="shared" si="1"/>
        <v>B</v>
      </c>
      <c r="D79">
        <v>184.5</v>
      </c>
      <c r="E79">
        <v>226.251103878214</v>
      </c>
      <c r="F79"/>
      <c r="G79" s="5"/>
      <c r="J79"/>
      <c r="Q79" s="21"/>
      <c r="R79" s="21"/>
    </row>
    <row r="80" spans="1:18" ht="17.25" x14ac:dyDescent="0.25">
      <c r="A80" s="21">
        <f t="shared" si="0"/>
        <v>5.4412346760051244E-2</v>
      </c>
      <c r="B80" t="s">
        <v>47</v>
      </c>
      <c r="C80" s="21" t="str">
        <f t="shared" si="1"/>
        <v>A</v>
      </c>
      <c r="D80">
        <v>195</v>
      </c>
      <c r="E80">
        <v>205.61040761820999</v>
      </c>
      <c r="F80"/>
      <c r="G80" s="5"/>
      <c r="J80"/>
      <c r="Q80" s="21"/>
      <c r="R80" s="21"/>
    </row>
    <row r="81" spans="1:18" ht="17.25" x14ac:dyDescent="0.25">
      <c r="A81" s="21">
        <f t="shared" si="0"/>
        <v>-1.9839348980705274E-2</v>
      </c>
      <c r="B81" t="s">
        <v>47</v>
      </c>
      <c r="C81" s="21" t="str">
        <f t="shared" si="1"/>
        <v>A</v>
      </c>
      <c r="D81">
        <v>224</v>
      </c>
      <c r="E81">
        <v>219.55598582832201</v>
      </c>
      <c r="F81"/>
      <c r="G81" s="5"/>
      <c r="J81"/>
      <c r="Q81" s="21"/>
      <c r="R81" s="21"/>
    </row>
    <row r="82" spans="1:18" ht="17.25" x14ac:dyDescent="0.25">
      <c r="A82" s="21">
        <f t="shared" si="0"/>
        <v>-3.2365929253761139E-2</v>
      </c>
      <c r="B82" t="s">
        <v>47</v>
      </c>
      <c r="C82" s="21" t="str">
        <f t="shared" si="1"/>
        <v>A</v>
      </c>
      <c r="D82">
        <v>247</v>
      </c>
      <c r="E82">
        <v>239.00561547432099</v>
      </c>
      <c r="F82"/>
      <c r="G82" s="5"/>
      <c r="J82"/>
      <c r="Q82" s="21"/>
      <c r="R82" s="21"/>
    </row>
    <row r="83" spans="1:18" ht="17.25" x14ac:dyDescent="0.25">
      <c r="A83" s="21">
        <f t="shared" si="0"/>
        <v>0.29131045308358905</v>
      </c>
      <c r="B83" t="s">
        <v>47</v>
      </c>
      <c r="C83" s="21" t="str">
        <f t="shared" si="1"/>
        <v>B</v>
      </c>
      <c r="D83">
        <v>146</v>
      </c>
      <c r="E83">
        <v>188.53132615020399</v>
      </c>
      <c r="F83"/>
      <c r="G83" s="5"/>
      <c r="J83"/>
      <c r="Q83" s="21"/>
      <c r="R83" s="21"/>
    </row>
    <row r="84" spans="1:18" ht="17.25" x14ac:dyDescent="0.25">
      <c r="A84" s="21">
        <f t="shared" si="0"/>
        <v>0.2871165437503771</v>
      </c>
      <c r="B84" t="s">
        <v>47</v>
      </c>
      <c r="C84" s="21" t="str">
        <f t="shared" si="1"/>
        <v>B</v>
      </c>
      <c r="D84">
        <v>183</v>
      </c>
      <c r="E84">
        <v>235.542327506319</v>
      </c>
      <c r="F84"/>
      <c r="G84" s="5"/>
      <c r="J84"/>
      <c r="Q84" s="21"/>
      <c r="R84" s="21"/>
    </row>
    <row r="85" spans="1:18" ht="17.25" x14ac:dyDescent="0.25">
      <c r="A85" s="21">
        <f t="shared" si="0"/>
        <v>0.48319932272452215</v>
      </c>
      <c r="B85" t="s">
        <v>47</v>
      </c>
      <c r="C85" s="21" t="str">
        <f t="shared" si="1"/>
        <v>B</v>
      </c>
      <c r="D85">
        <v>159</v>
      </c>
      <c r="E85">
        <v>235.82869231319901</v>
      </c>
      <c r="F85"/>
      <c r="G85" s="5"/>
      <c r="J85"/>
      <c r="Q85" s="21"/>
      <c r="R85" s="21"/>
    </row>
    <row r="86" spans="1:18" ht="17.25" x14ac:dyDescent="0.25">
      <c r="A86" s="21">
        <f t="shared" si="0"/>
        <v>-4.2539863269330347E-2</v>
      </c>
      <c r="B86" t="s">
        <v>48</v>
      </c>
      <c r="C86" s="21" t="str">
        <f t="shared" si="1"/>
        <v>A</v>
      </c>
      <c r="D86">
        <v>99</v>
      </c>
      <c r="E86">
        <v>94.788553536336295</v>
      </c>
      <c r="F86"/>
      <c r="G86" s="5"/>
      <c r="K86"/>
      <c r="Q86" s="21"/>
      <c r="R86" s="21"/>
    </row>
    <row r="87" spans="1:18" ht="17.25" x14ac:dyDescent="0.25">
      <c r="A87" s="21">
        <f t="shared" si="0"/>
        <v>7.7149430006928643E-2</v>
      </c>
      <c r="B87" t="s">
        <v>48</v>
      </c>
      <c r="C87" s="21" t="str">
        <f t="shared" si="1"/>
        <v>A</v>
      </c>
      <c r="D87">
        <v>140</v>
      </c>
      <c r="E87">
        <v>150.80092020097001</v>
      </c>
      <c r="F87"/>
      <c r="G87" s="5"/>
      <c r="K87"/>
      <c r="Q87" s="21"/>
      <c r="R87" s="21"/>
    </row>
    <row r="88" spans="1:18" ht="17.25" x14ac:dyDescent="0.25">
      <c r="A88" s="21">
        <f t="shared" si="0"/>
        <v>0.20120564331528135</v>
      </c>
      <c r="B88" t="s">
        <v>48</v>
      </c>
      <c r="C88" s="21" t="str">
        <f t="shared" si="1"/>
        <v>B</v>
      </c>
      <c r="D88">
        <v>135</v>
      </c>
      <c r="E88">
        <v>162.16276184756299</v>
      </c>
      <c r="F88"/>
      <c r="G88" s="5"/>
      <c r="K88"/>
      <c r="Q88" s="21"/>
      <c r="R88" s="21"/>
    </row>
    <row r="89" spans="1:18" ht="17.25" x14ac:dyDescent="0.25">
      <c r="A89" s="21">
        <f t="shared" si="0"/>
        <v>0.2205931120639999</v>
      </c>
      <c r="B89" t="s">
        <v>48</v>
      </c>
      <c r="C89" s="21" t="str">
        <f t="shared" si="1"/>
        <v>B</v>
      </c>
      <c r="D89">
        <v>98</v>
      </c>
      <c r="E89">
        <v>119.61812498227199</v>
      </c>
      <c r="F89"/>
      <c r="G89" s="5"/>
      <c r="K89"/>
      <c r="Q89" s="21"/>
      <c r="R89" s="21"/>
    </row>
    <row r="90" spans="1:18" ht="17.25" x14ac:dyDescent="0.25">
      <c r="A90" s="21">
        <f t="shared" si="0"/>
        <v>2.2362743075510672E-2</v>
      </c>
      <c r="B90" t="s">
        <v>48</v>
      </c>
      <c r="C90" s="21" t="str">
        <f t="shared" si="1"/>
        <v>A</v>
      </c>
      <c r="D90">
        <v>93</v>
      </c>
      <c r="E90">
        <v>95.079735106022497</v>
      </c>
      <c r="F90"/>
      <c r="G90" s="5"/>
      <c r="K90"/>
      <c r="Q90" s="21"/>
      <c r="R90" s="21"/>
    </row>
    <row r="91" spans="1:18" ht="17.25" x14ac:dyDescent="0.25">
      <c r="A91" s="21">
        <f t="shared" si="0"/>
        <v>2.6923868811298046E-2</v>
      </c>
      <c r="B91" t="s">
        <v>48</v>
      </c>
      <c r="C91" s="21" t="str">
        <f t="shared" si="1"/>
        <v>A</v>
      </c>
      <c r="D91">
        <v>151</v>
      </c>
      <c r="E91">
        <v>155.065504190506</v>
      </c>
      <c r="F91"/>
      <c r="G91" s="5"/>
      <c r="K91"/>
      <c r="Q91" s="21"/>
      <c r="R91" s="21"/>
    </row>
    <row r="92" spans="1:18" ht="17.25" x14ac:dyDescent="0.25">
      <c r="A92" s="21">
        <f t="shared" si="0"/>
        <v>-3.0148517519573259E-2</v>
      </c>
      <c r="B92" t="s">
        <v>48</v>
      </c>
      <c r="C92" s="21" t="str">
        <f t="shared" si="1"/>
        <v>A</v>
      </c>
      <c r="D92">
        <v>164</v>
      </c>
      <c r="E92">
        <v>159.05564312678999</v>
      </c>
      <c r="F92"/>
      <c r="G92" s="5"/>
      <c r="K92"/>
      <c r="Q92" s="21"/>
      <c r="R92" s="21"/>
    </row>
    <row r="93" spans="1:18" ht="17.25" x14ac:dyDescent="0.25">
      <c r="A93" s="21">
        <f t="shared" si="0"/>
        <v>-8.6425612551250031E-2</v>
      </c>
      <c r="B93" t="s">
        <v>48</v>
      </c>
      <c r="C93" s="21" t="str">
        <f t="shared" si="1"/>
        <v>A</v>
      </c>
      <c r="D93">
        <v>128</v>
      </c>
      <c r="E93">
        <v>116.93752159344</v>
      </c>
      <c r="F93"/>
      <c r="G93" s="5"/>
      <c r="K93"/>
      <c r="Q93" s="21"/>
      <c r="R93" s="21"/>
    </row>
    <row r="94" spans="1:18" ht="17.25" x14ac:dyDescent="0.25">
      <c r="A94" s="21">
        <f t="shared" si="0"/>
        <v>0.58920811317768829</v>
      </c>
      <c r="B94" t="s">
        <v>49</v>
      </c>
      <c r="C94" s="21" t="str">
        <f t="shared" si="1"/>
        <v>B</v>
      </c>
      <c r="D94">
        <v>77</v>
      </c>
      <c r="E94">
        <v>122.369024714682</v>
      </c>
      <c r="F94"/>
      <c r="G94" s="5"/>
      <c r="L94"/>
      <c r="Q94" s="21"/>
      <c r="R94" s="21"/>
    </row>
    <row r="95" spans="1:18" ht="17.25" x14ac:dyDescent="0.25">
      <c r="A95" s="21">
        <f t="shared" si="0"/>
        <v>-3.9801710492120335E-2</v>
      </c>
      <c r="B95" t="s">
        <v>49</v>
      </c>
      <c r="C95" s="21" t="str">
        <f t="shared" si="1"/>
        <v>A</v>
      </c>
      <c r="D95">
        <v>133</v>
      </c>
      <c r="E95">
        <v>127.706372504548</v>
      </c>
      <c r="F95"/>
      <c r="G95" s="5"/>
      <c r="L95"/>
      <c r="Q95" s="21"/>
      <c r="R95" s="21"/>
    </row>
    <row r="96" spans="1:18" ht="17.25" x14ac:dyDescent="0.25">
      <c r="A96" s="21">
        <f t="shared" si="0"/>
        <v>0.28670651040806372</v>
      </c>
      <c r="B96" t="s">
        <v>49</v>
      </c>
      <c r="C96" s="21" t="str">
        <f t="shared" si="1"/>
        <v>B</v>
      </c>
      <c r="D96">
        <v>110</v>
      </c>
      <c r="E96">
        <v>141.53771614488701</v>
      </c>
      <c r="F96"/>
      <c r="G96" s="5"/>
      <c r="L96"/>
      <c r="Q96" s="21"/>
      <c r="R96" s="21"/>
    </row>
    <row r="97" spans="1:18" ht="17.25" x14ac:dyDescent="0.25">
      <c r="A97" s="21">
        <f t="shared" si="0"/>
        <v>0.34844772171071581</v>
      </c>
      <c r="B97" t="s">
        <v>49</v>
      </c>
      <c r="C97" s="21" t="str">
        <f t="shared" si="1"/>
        <v>B</v>
      </c>
      <c r="D97">
        <v>102</v>
      </c>
      <c r="E97">
        <v>137.54166761449301</v>
      </c>
      <c r="F97"/>
      <c r="G97" s="5"/>
      <c r="L97"/>
      <c r="Q97" s="21"/>
      <c r="R97" s="21"/>
    </row>
    <row r="98" spans="1:18" ht="17.25" x14ac:dyDescent="0.25">
      <c r="A98" s="21">
        <f t="shared" si="0"/>
        <v>0.54186424130560762</v>
      </c>
      <c r="B98" t="s">
        <v>49</v>
      </c>
      <c r="C98" s="21" t="str">
        <f t="shared" si="1"/>
        <v>B</v>
      </c>
      <c r="D98">
        <v>79</v>
      </c>
      <c r="E98">
        <v>121.807275063143</v>
      </c>
      <c r="F98"/>
      <c r="G98" s="5"/>
      <c r="L98"/>
      <c r="Q98" s="21"/>
      <c r="R98" s="21"/>
    </row>
    <row r="99" spans="1:18" ht="17.25" x14ac:dyDescent="0.25">
      <c r="A99" s="21">
        <f t="shared" si="0"/>
        <v>-0.16989827792356782</v>
      </c>
      <c r="B99" t="s">
        <v>49</v>
      </c>
      <c r="C99" s="21" t="str">
        <f t="shared" si="1"/>
        <v>A</v>
      </c>
      <c r="D99">
        <v>155</v>
      </c>
      <c r="E99">
        <v>128.66576692184699</v>
      </c>
      <c r="F99"/>
      <c r="G99" s="5"/>
      <c r="L99"/>
      <c r="Q99" s="21"/>
      <c r="R99" s="21"/>
    </row>
    <row r="100" spans="1:18" ht="17.25" x14ac:dyDescent="0.25">
      <c r="A100" s="21">
        <f t="shared" si="0"/>
        <v>-8.8956355096974971E-2</v>
      </c>
      <c r="B100" t="s">
        <v>49</v>
      </c>
      <c r="C100" s="21" t="str">
        <f t="shared" si="1"/>
        <v>A</v>
      </c>
      <c r="D100">
        <v>159</v>
      </c>
      <c r="E100">
        <v>144.85593953958099</v>
      </c>
      <c r="F100"/>
      <c r="G100" s="5"/>
      <c r="L100"/>
      <c r="Q100" s="21"/>
      <c r="R100" s="21"/>
    </row>
    <row r="101" spans="1:18" ht="17.25" x14ac:dyDescent="0.25">
      <c r="A101" s="21">
        <f t="shared" si="0"/>
        <v>0.24400474921949988</v>
      </c>
      <c r="B101" t="s">
        <v>49</v>
      </c>
      <c r="C101" s="21" t="str">
        <f t="shared" si="1"/>
        <v>B</v>
      </c>
      <c r="D101">
        <v>114</v>
      </c>
      <c r="E101">
        <v>141.816541411023</v>
      </c>
      <c r="F101"/>
      <c r="G101" s="5"/>
      <c r="L101"/>
      <c r="Q101" s="21"/>
      <c r="R101" s="21"/>
    </row>
    <row r="102" spans="1:18" ht="17.25" x14ac:dyDescent="0.25">
      <c r="A102" s="21">
        <f t="shared" si="0"/>
        <v>0.42887878096756626</v>
      </c>
      <c r="B102" t="s">
        <v>49</v>
      </c>
      <c r="C102" s="21" t="str">
        <f t="shared" si="1"/>
        <v>B</v>
      </c>
      <c r="D102">
        <v>136</v>
      </c>
      <c r="E102">
        <v>194.327514211589</v>
      </c>
      <c r="F102"/>
      <c r="G102" s="5"/>
      <c r="L102"/>
      <c r="Q102" s="21"/>
      <c r="R102" s="21"/>
    </row>
    <row r="103" spans="1:18" ht="17.25" x14ac:dyDescent="0.25">
      <c r="A103" s="21">
        <f t="shared" ref="A103:A167" si="2">E103/D103-1</f>
        <v>0.87200295818551998</v>
      </c>
      <c r="B103" t="s">
        <v>49</v>
      </c>
      <c r="C103" s="21" t="s">
        <v>69</v>
      </c>
      <c r="D103">
        <v>125</v>
      </c>
      <c r="E103">
        <v>234.00036977318999</v>
      </c>
      <c r="F103">
        <v>234.00036977318999</v>
      </c>
      <c r="G103" s="5"/>
      <c r="L103"/>
      <c r="Q103" s="21"/>
      <c r="R103" s="21"/>
    </row>
    <row r="104" spans="1:18" ht="17.25" x14ac:dyDescent="0.25">
      <c r="A104" s="21">
        <f t="shared" si="2"/>
        <v>0.12506192081072021</v>
      </c>
      <c r="B104" t="s">
        <v>49</v>
      </c>
      <c r="C104" s="21" t="str">
        <f t="shared" ref="C103:C166" si="3">IF(OR(A104&gt;=20%,A104&lt;=-20%),"B","A")</f>
        <v>A</v>
      </c>
      <c r="D104">
        <v>168</v>
      </c>
      <c r="E104">
        <v>189.010402696201</v>
      </c>
      <c r="F104"/>
      <c r="G104" s="5"/>
      <c r="L104"/>
      <c r="Q104" s="21"/>
      <c r="R104" s="21"/>
    </row>
    <row r="105" spans="1:18" ht="17.25" x14ac:dyDescent="0.25">
      <c r="A105" s="21">
        <f t="shared" si="2"/>
        <v>0.43997399247985802</v>
      </c>
      <c r="B105" t="s">
        <v>49</v>
      </c>
      <c r="C105" s="21" t="str">
        <f t="shared" si="3"/>
        <v>B</v>
      </c>
      <c r="D105">
        <v>148</v>
      </c>
      <c r="E105">
        <v>213.11615088701899</v>
      </c>
      <c r="F105"/>
      <c r="G105" s="5"/>
      <c r="L105"/>
      <c r="Q105" s="21"/>
      <c r="R105" s="21"/>
    </row>
    <row r="106" spans="1:18" ht="17.25" x14ac:dyDescent="0.25">
      <c r="A106" s="21">
        <f t="shared" si="2"/>
        <v>2.730641566558889E-2</v>
      </c>
      <c r="B106" t="s">
        <v>49</v>
      </c>
      <c r="C106" s="21" t="str">
        <f t="shared" si="3"/>
        <v>A</v>
      </c>
      <c r="D106">
        <v>214</v>
      </c>
      <c r="E106">
        <v>219.84357295243601</v>
      </c>
      <c r="F106"/>
      <c r="G106" s="5"/>
      <c r="L106"/>
      <c r="Q106" s="21"/>
      <c r="R106" s="21"/>
    </row>
    <row r="107" spans="1:18" ht="17.25" x14ac:dyDescent="0.25">
      <c r="A107" s="21">
        <f t="shared" si="2"/>
        <v>1.6599064563040722E-2</v>
      </c>
      <c r="B107" t="s">
        <v>49</v>
      </c>
      <c r="C107" s="21" t="str">
        <f t="shared" si="3"/>
        <v>A</v>
      </c>
      <c r="D107">
        <v>196</v>
      </c>
      <c r="E107">
        <v>199.25341665435599</v>
      </c>
      <c r="F107"/>
      <c r="G107" s="5"/>
      <c r="L107"/>
      <c r="Q107" s="21"/>
      <c r="R107" s="21"/>
    </row>
    <row r="108" spans="1:18" ht="17.25" x14ac:dyDescent="0.25">
      <c r="A108" s="21">
        <f t="shared" si="2"/>
        <v>8.9411743127167487E-2</v>
      </c>
      <c r="B108" t="s">
        <v>49</v>
      </c>
      <c r="C108" s="21" t="str">
        <f t="shared" si="3"/>
        <v>A</v>
      </c>
      <c r="D108">
        <v>203</v>
      </c>
      <c r="E108">
        <v>221.15058385481501</v>
      </c>
      <c r="F108"/>
      <c r="G108" s="5"/>
      <c r="L108"/>
      <c r="Q108" s="21"/>
      <c r="R108" s="21"/>
    </row>
    <row r="109" spans="1:18" ht="17.25" x14ac:dyDescent="0.25">
      <c r="A109" s="21">
        <f t="shared" si="2"/>
        <v>-0.1851662319555899</v>
      </c>
      <c r="B109" t="s">
        <v>49</v>
      </c>
      <c r="C109" s="21" t="str">
        <f t="shared" si="3"/>
        <v>A</v>
      </c>
      <c r="D109">
        <v>278</v>
      </c>
      <c r="E109">
        <v>226.523787516346</v>
      </c>
      <c r="F109"/>
      <c r="G109" s="5"/>
      <c r="L109"/>
      <c r="Q109" s="21"/>
      <c r="R109" s="21"/>
    </row>
    <row r="110" spans="1:18" ht="17.25" x14ac:dyDescent="0.25">
      <c r="A110" s="21">
        <f t="shared" si="2"/>
        <v>-4.1059767167254457E-2</v>
      </c>
      <c r="B110" t="s">
        <v>49</v>
      </c>
      <c r="C110" s="21" t="str">
        <f t="shared" si="3"/>
        <v>A</v>
      </c>
      <c r="D110">
        <v>228</v>
      </c>
      <c r="E110">
        <v>218.63837308586599</v>
      </c>
      <c r="F110"/>
      <c r="G110" s="5"/>
      <c r="L110"/>
      <c r="Q110" s="21"/>
      <c r="R110" s="21"/>
    </row>
    <row r="111" spans="1:18" ht="17.25" x14ac:dyDescent="0.25">
      <c r="A111" s="21">
        <f t="shared" si="2"/>
        <v>5.9572744002230671E-2</v>
      </c>
      <c r="B111" t="s">
        <v>49</v>
      </c>
      <c r="C111" s="21" t="str">
        <f t="shared" si="3"/>
        <v>A</v>
      </c>
      <c r="D111">
        <v>195</v>
      </c>
      <c r="E111">
        <v>206.61668508043499</v>
      </c>
      <c r="F111"/>
      <c r="G111" s="5"/>
      <c r="L111"/>
      <c r="Q111" s="21"/>
      <c r="R111" s="21"/>
    </row>
    <row r="112" spans="1:18" ht="17.25" x14ac:dyDescent="0.25">
      <c r="A112" s="21">
        <f t="shared" si="2"/>
        <v>-0.21410264465040629</v>
      </c>
      <c r="B112" t="s">
        <v>49</v>
      </c>
      <c r="C112" s="21" t="str">
        <f t="shared" si="3"/>
        <v>B</v>
      </c>
      <c r="D112">
        <v>253.5</v>
      </c>
      <c r="E112">
        <v>199.224979581122</v>
      </c>
      <c r="F112"/>
      <c r="G112" s="5"/>
      <c r="L112"/>
      <c r="Q112" s="21"/>
      <c r="R112" s="21"/>
    </row>
    <row r="113" spans="1:18" ht="17.25" x14ac:dyDescent="0.25">
      <c r="A113" s="21">
        <f t="shared" si="2"/>
        <v>-0.11483238362453607</v>
      </c>
      <c r="B113" t="s">
        <v>49</v>
      </c>
      <c r="C113" s="21" t="str">
        <f t="shared" si="3"/>
        <v>A</v>
      </c>
      <c r="D113">
        <v>242.5</v>
      </c>
      <c r="E113">
        <v>214.65314697105001</v>
      </c>
      <c r="F113"/>
      <c r="G113" s="5"/>
      <c r="L113"/>
      <c r="Q113" s="21"/>
      <c r="R113" s="21"/>
    </row>
    <row r="114" spans="1:18" ht="17.25" x14ac:dyDescent="0.25">
      <c r="A114" s="21">
        <f t="shared" si="2"/>
        <v>-0.22251928379456398</v>
      </c>
      <c r="B114" t="s">
        <v>49</v>
      </c>
      <c r="C114" s="21" t="str">
        <f t="shared" si="3"/>
        <v>B</v>
      </c>
      <c r="D114">
        <v>266</v>
      </c>
      <c r="E114">
        <v>206.80987051064599</v>
      </c>
      <c r="F114"/>
      <c r="G114" s="5"/>
      <c r="L114"/>
      <c r="Q114" s="21"/>
      <c r="R114" s="21"/>
    </row>
    <row r="115" spans="1:18" ht="17.25" x14ac:dyDescent="0.25">
      <c r="A115" s="21">
        <f t="shared" si="2"/>
        <v>-0.2514204575946698</v>
      </c>
      <c r="B115" t="s">
        <v>49</v>
      </c>
      <c r="C115" s="21" t="str">
        <f t="shared" si="3"/>
        <v>B</v>
      </c>
      <c r="D115">
        <v>215</v>
      </c>
      <c r="E115">
        <v>160.94460161714599</v>
      </c>
      <c r="F115"/>
      <c r="G115" s="5"/>
      <c r="L115"/>
      <c r="Q115" s="21"/>
      <c r="R115" s="21"/>
    </row>
    <row r="116" spans="1:18" ht="17.25" x14ac:dyDescent="0.25">
      <c r="A116" s="21">
        <f t="shared" si="2"/>
        <v>0.28205319853176336</v>
      </c>
      <c r="B116" t="s">
        <v>49</v>
      </c>
      <c r="C116" s="21" t="str">
        <f t="shared" si="3"/>
        <v>B</v>
      </c>
      <c r="D116">
        <v>139.5</v>
      </c>
      <c r="E116">
        <v>178.84642119518099</v>
      </c>
      <c r="F116"/>
      <c r="G116" s="5"/>
      <c r="L116"/>
      <c r="Q116" s="21"/>
      <c r="R116" s="21"/>
    </row>
    <row r="117" spans="1:18" ht="17.25" x14ac:dyDescent="0.25">
      <c r="A117" s="21">
        <f t="shared" si="2"/>
        <v>0.22269979622770064</v>
      </c>
      <c r="B117" t="s">
        <v>49</v>
      </c>
      <c r="C117" s="21" t="str">
        <f t="shared" si="3"/>
        <v>B</v>
      </c>
      <c r="D117">
        <v>187</v>
      </c>
      <c r="E117">
        <v>228.64486189458</v>
      </c>
      <c r="F117"/>
      <c r="G117" s="5"/>
      <c r="L117"/>
      <c r="Q117" s="21"/>
      <c r="R117" s="21"/>
    </row>
    <row r="118" spans="1:18" ht="17.25" x14ac:dyDescent="0.25">
      <c r="A118" s="21">
        <f t="shared" si="2"/>
        <v>-1.479608775550878E-2</v>
      </c>
      <c r="B118" t="s">
        <v>49</v>
      </c>
      <c r="C118" s="21" t="str">
        <f t="shared" si="3"/>
        <v>A</v>
      </c>
      <c r="D118">
        <v>281</v>
      </c>
      <c r="E118">
        <v>276.84229934070203</v>
      </c>
      <c r="F118"/>
      <c r="G118" s="5"/>
      <c r="L118"/>
      <c r="Q118" s="21"/>
      <c r="R118" s="21"/>
    </row>
    <row r="119" spans="1:18" ht="17.25" x14ac:dyDescent="0.25">
      <c r="A119" s="21">
        <f t="shared" si="2"/>
        <v>4.2995173697744971E-2</v>
      </c>
      <c r="B119" t="s">
        <v>49</v>
      </c>
      <c r="C119" s="21" t="str">
        <f t="shared" si="3"/>
        <v>A</v>
      </c>
      <c r="D119">
        <v>306</v>
      </c>
      <c r="E119">
        <v>319.15652315150999</v>
      </c>
      <c r="F119"/>
      <c r="G119" s="5"/>
      <c r="L119"/>
      <c r="Q119" s="21"/>
      <c r="R119" s="21"/>
    </row>
    <row r="120" spans="1:18" ht="17.25" x14ac:dyDescent="0.25">
      <c r="A120" s="21">
        <f t="shared" si="2"/>
        <v>-6.8139778871922463E-2</v>
      </c>
      <c r="B120" t="s">
        <v>49</v>
      </c>
      <c r="C120" s="21" t="str">
        <f t="shared" si="3"/>
        <v>A</v>
      </c>
      <c r="D120">
        <v>258</v>
      </c>
      <c r="E120">
        <v>240.419937051044</v>
      </c>
      <c r="F120"/>
      <c r="G120" s="5"/>
      <c r="L120"/>
      <c r="Q120" s="21"/>
      <c r="R120" s="21"/>
    </row>
    <row r="121" spans="1:18" ht="17.25" x14ac:dyDescent="0.25">
      <c r="A121" s="21">
        <f t="shared" si="2"/>
        <v>0.13637409570765091</v>
      </c>
      <c r="B121" t="s">
        <v>49</v>
      </c>
      <c r="C121" s="21" t="str">
        <f t="shared" si="3"/>
        <v>A</v>
      </c>
      <c r="D121">
        <v>212</v>
      </c>
      <c r="E121">
        <v>240.91130829002199</v>
      </c>
      <c r="F121"/>
      <c r="G121" s="5"/>
      <c r="L121"/>
      <c r="Q121" s="21"/>
      <c r="R121" s="21"/>
    </row>
    <row r="122" spans="1:18" ht="17.25" x14ac:dyDescent="0.25">
      <c r="A122" s="21">
        <f t="shared" si="2"/>
        <v>0.28131363201530091</v>
      </c>
      <c r="B122" t="s">
        <v>49</v>
      </c>
      <c r="C122" s="21" t="str">
        <f t="shared" si="3"/>
        <v>B</v>
      </c>
      <c r="D122">
        <v>186</v>
      </c>
      <c r="E122">
        <v>238.32433555484599</v>
      </c>
      <c r="F122"/>
      <c r="G122" s="5"/>
      <c r="L122"/>
      <c r="Q122" s="21"/>
      <c r="R122" s="21"/>
    </row>
    <row r="123" spans="1:18" ht="17.25" x14ac:dyDescent="0.25">
      <c r="A123" s="21">
        <f t="shared" si="2"/>
        <v>0.70734726050285524</v>
      </c>
      <c r="B123" t="s">
        <v>49</v>
      </c>
      <c r="C123" s="21" t="s">
        <v>70</v>
      </c>
      <c r="D123">
        <v>76</v>
      </c>
      <c r="E123">
        <v>129.75839179821699</v>
      </c>
      <c r="F123">
        <v>129.75839179821699</v>
      </c>
      <c r="G123" s="5"/>
      <c r="L123"/>
      <c r="Q123" s="21"/>
      <c r="R123" s="21"/>
    </row>
    <row r="124" spans="1:18" ht="17.25" x14ac:dyDescent="0.25">
      <c r="A124" s="21">
        <f t="shared" si="2"/>
        <v>0.16807156400192036</v>
      </c>
      <c r="B124" t="s">
        <v>49</v>
      </c>
      <c r="C124" s="21" t="str">
        <f t="shared" si="3"/>
        <v>A</v>
      </c>
      <c r="D124">
        <v>113</v>
      </c>
      <c r="E124">
        <v>131.99208673221699</v>
      </c>
      <c r="F124"/>
      <c r="G124" s="5"/>
      <c r="L124"/>
      <c r="Q124" s="21"/>
      <c r="R124" s="21"/>
    </row>
    <row r="125" spans="1:18" ht="17.25" x14ac:dyDescent="0.25">
      <c r="A125" s="21">
        <f t="shared" si="2"/>
        <v>0.3274250736213562</v>
      </c>
      <c r="B125" t="s">
        <v>49</v>
      </c>
      <c r="C125" s="21" t="str">
        <f t="shared" si="3"/>
        <v>B</v>
      </c>
      <c r="D125">
        <v>87</v>
      </c>
      <c r="E125">
        <v>115.485981405058</v>
      </c>
      <c r="F125"/>
      <c r="G125" s="5"/>
      <c r="L125"/>
      <c r="Q125" s="21"/>
      <c r="R125" s="21"/>
    </row>
    <row r="126" spans="1:18" ht="17.25" x14ac:dyDescent="0.25">
      <c r="A126" s="21">
        <f t="shared" si="2"/>
        <v>0.40610441252024709</v>
      </c>
      <c r="B126" t="s">
        <v>50</v>
      </c>
      <c r="C126" s="21" t="str">
        <f t="shared" si="3"/>
        <v>B</v>
      </c>
      <c r="D126">
        <v>81</v>
      </c>
      <c r="E126">
        <v>113.89445741414001</v>
      </c>
      <c r="F126"/>
      <c r="G126" s="5"/>
      <c r="M126"/>
      <c r="Q126" s="21"/>
      <c r="R126" s="21"/>
    </row>
    <row r="127" spans="1:18" x14ac:dyDescent="0.25">
      <c r="A127" s="21">
        <f t="shared" si="2"/>
        <v>0.56204530872145453</v>
      </c>
      <c r="B127" t="s">
        <v>50</v>
      </c>
      <c r="C127" s="21" t="str">
        <f t="shared" si="3"/>
        <v>B</v>
      </c>
      <c r="D127">
        <v>110</v>
      </c>
      <c r="E127">
        <v>171.82498395936</v>
      </c>
      <c r="F127"/>
      <c r="M127"/>
      <c r="Q127" s="21"/>
      <c r="R127" s="21"/>
    </row>
    <row r="128" spans="1:18" x14ac:dyDescent="0.25">
      <c r="A128" s="21">
        <f t="shared" si="2"/>
        <v>0.28611733795527927</v>
      </c>
      <c r="B128" t="s">
        <v>50</v>
      </c>
      <c r="C128" s="21" t="str">
        <f t="shared" si="3"/>
        <v>B</v>
      </c>
      <c r="D128">
        <v>111</v>
      </c>
      <c r="E128">
        <v>142.759024513036</v>
      </c>
      <c r="F128"/>
      <c r="M128"/>
      <c r="Q128" s="21"/>
      <c r="R128" s="21"/>
    </row>
    <row r="129" spans="1:18" x14ac:dyDescent="0.25">
      <c r="A129" s="21">
        <f t="shared" si="2"/>
        <v>0.63371704297170961</v>
      </c>
      <c r="B129" t="s">
        <v>50</v>
      </c>
      <c r="C129" s="21" t="str">
        <f t="shared" si="3"/>
        <v>B</v>
      </c>
      <c r="D129">
        <v>93</v>
      </c>
      <c r="E129">
        <v>151.93568499636899</v>
      </c>
      <c r="F129"/>
      <c r="M129"/>
      <c r="Q129" s="21"/>
      <c r="R129" s="21"/>
    </row>
    <row r="130" spans="1:18" x14ac:dyDescent="0.25">
      <c r="A130" s="21">
        <f t="shared" si="2"/>
        <v>4.9724261405805548E-2</v>
      </c>
      <c r="B130" t="s">
        <v>50</v>
      </c>
      <c r="C130" s="21" t="str">
        <f t="shared" si="3"/>
        <v>A</v>
      </c>
      <c r="D130">
        <v>221</v>
      </c>
      <c r="E130">
        <v>231.98906177068301</v>
      </c>
      <c r="F130"/>
      <c r="M130"/>
      <c r="Q130" s="21"/>
      <c r="R130" s="21"/>
    </row>
    <row r="131" spans="1:18" x14ac:dyDescent="0.25">
      <c r="A131" s="21">
        <f t="shared" si="2"/>
        <v>-0.23374241326484702</v>
      </c>
      <c r="B131" t="s">
        <v>50</v>
      </c>
      <c r="C131" s="21" t="str">
        <f t="shared" si="3"/>
        <v>B</v>
      </c>
      <c r="D131">
        <v>281</v>
      </c>
      <c r="E131">
        <v>215.31838187257799</v>
      </c>
      <c r="F131"/>
      <c r="M131"/>
      <c r="Q131" s="21"/>
      <c r="R131" s="21"/>
    </row>
    <row r="132" spans="1:18" x14ac:dyDescent="0.25">
      <c r="A132" s="21">
        <f t="shared" si="2"/>
        <v>-0.23796108038040775</v>
      </c>
      <c r="B132" t="s">
        <v>50</v>
      </c>
      <c r="C132" s="21" t="str">
        <f t="shared" si="3"/>
        <v>B</v>
      </c>
      <c r="D132">
        <v>287</v>
      </c>
      <c r="E132">
        <v>218.70516993082299</v>
      </c>
      <c r="F132"/>
      <c r="M132"/>
      <c r="Q132" s="21"/>
      <c r="R132" s="21"/>
    </row>
    <row r="133" spans="1:18" x14ac:dyDescent="0.25">
      <c r="A133" s="21">
        <f t="shared" si="2"/>
        <v>-9.3370230987934622E-2</v>
      </c>
      <c r="B133" t="s">
        <v>50</v>
      </c>
      <c r="C133" s="21" t="str">
        <f t="shared" si="3"/>
        <v>A</v>
      </c>
      <c r="D133">
        <v>260</v>
      </c>
      <c r="E133">
        <v>235.72373994313699</v>
      </c>
      <c r="F133"/>
      <c r="M133"/>
      <c r="Q133" s="21"/>
      <c r="R133" s="21"/>
    </row>
    <row r="134" spans="1:18" x14ac:dyDescent="0.25">
      <c r="A134" s="21">
        <f t="shared" si="2"/>
        <v>-0.11518195455436886</v>
      </c>
      <c r="B134" t="s">
        <v>51</v>
      </c>
      <c r="C134" s="21" t="str">
        <f t="shared" si="3"/>
        <v>A</v>
      </c>
      <c r="D134">
        <v>263</v>
      </c>
      <c r="E134">
        <v>232.70714595220099</v>
      </c>
      <c r="F134"/>
      <c r="N134"/>
      <c r="Q134" s="21"/>
      <c r="R134" s="21"/>
    </row>
    <row r="135" spans="1:18" x14ac:dyDescent="0.25">
      <c r="A135" s="21">
        <f t="shared" si="2"/>
        <v>-0.26964601266291643</v>
      </c>
      <c r="B135" t="s">
        <v>51</v>
      </c>
      <c r="C135" s="21" t="str">
        <f t="shared" si="3"/>
        <v>B</v>
      </c>
      <c r="D135">
        <v>323</v>
      </c>
      <c r="E135">
        <v>235.904337909878</v>
      </c>
      <c r="F135"/>
      <c r="N135"/>
      <c r="Q135" s="21"/>
      <c r="R135" s="21"/>
    </row>
    <row r="136" spans="1:18" x14ac:dyDescent="0.25">
      <c r="A136" s="21">
        <f t="shared" si="2"/>
        <v>-0.13808861810086659</v>
      </c>
      <c r="B136" t="s">
        <v>51</v>
      </c>
      <c r="C136" s="21" t="str">
        <f t="shared" si="3"/>
        <v>A</v>
      </c>
      <c r="D136">
        <v>150</v>
      </c>
      <c r="E136">
        <v>129.28670728487</v>
      </c>
      <c r="F136"/>
      <c r="N136"/>
      <c r="Q136" s="21"/>
      <c r="R136" s="21"/>
    </row>
    <row r="137" spans="1:18" x14ac:dyDescent="0.25">
      <c r="A137" s="21">
        <f t="shared" si="2"/>
        <v>0.3626710304602061</v>
      </c>
      <c r="B137" t="s">
        <v>51</v>
      </c>
      <c r="C137" s="21" t="str">
        <f t="shared" si="3"/>
        <v>B</v>
      </c>
      <c r="D137">
        <v>131</v>
      </c>
      <c r="E137">
        <v>178.509904990287</v>
      </c>
      <c r="F137"/>
      <c r="N137"/>
      <c r="Q137" s="21"/>
      <c r="R137" s="21"/>
    </row>
    <row r="138" spans="1:18" x14ac:dyDescent="0.25">
      <c r="A138" s="21">
        <f t="shared" si="2"/>
        <v>-2.351689873853291E-2</v>
      </c>
      <c r="B138" t="s">
        <v>51</v>
      </c>
      <c r="C138" s="21" t="str">
        <f t="shared" si="3"/>
        <v>A</v>
      </c>
      <c r="D138">
        <v>152</v>
      </c>
      <c r="E138">
        <v>148.42543139174299</v>
      </c>
      <c r="F138"/>
      <c r="N138"/>
      <c r="Q138" s="21"/>
      <c r="R138" s="21"/>
    </row>
    <row r="139" spans="1:18" x14ac:dyDescent="0.25">
      <c r="A139" s="21">
        <f t="shared" si="2"/>
        <v>-6.9060439350352554E-2</v>
      </c>
      <c r="B139" t="s">
        <v>51</v>
      </c>
      <c r="C139" s="21" t="str">
        <f t="shared" si="3"/>
        <v>A</v>
      </c>
      <c r="D139">
        <v>156</v>
      </c>
      <c r="E139">
        <v>145.226571461345</v>
      </c>
      <c r="F139"/>
      <c r="N139"/>
      <c r="Q139" s="21"/>
      <c r="R139" s="21"/>
    </row>
    <row r="140" spans="1:18" x14ac:dyDescent="0.25">
      <c r="A140" s="21">
        <f t="shared" si="2"/>
        <v>0.27951706194726889</v>
      </c>
      <c r="B140" t="s">
        <v>51</v>
      </c>
      <c r="C140" s="21" t="str">
        <f t="shared" si="3"/>
        <v>B</v>
      </c>
      <c r="D140">
        <v>93</v>
      </c>
      <c r="E140">
        <v>118.995086761096</v>
      </c>
      <c r="F140"/>
      <c r="N140"/>
      <c r="Q140" s="21"/>
      <c r="R140" s="21"/>
    </row>
    <row r="141" spans="1:18" x14ac:dyDescent="0.25">
      <c r="A141" s="21">
        <f t="shared" si="2"/>
        <v>-5.3720869794580572E-2</v>
      </c>
      <c r="B141" t="s">
        <v>51</v>
      </c>
      <c r="C141" s="21" t="str">
        <f t="shared" si="3"/>
        <v>A</v>
      </c>
      <c r="D141">
        <v>155</v>
      </c>
      <c r="E141">
        <v>146.67326518184001</v>
      </c>
      <c r="F141"/>
      <c r="N141"/>
      <c r="Q141" s="21"/>
      <c r="R141" s="21"/>
    </row>
    <row r="142" spans="1:18" x14ac:dyDescent="0.25">
      <c r="A142" s="21">
        <f t="shared" si="2"/>
        <v>-5.9739899883449077E-2</v>
      </c>
      <c r="B142" t="s">
        <v>52</v>
      </c>
      <c r="C142" s="21" t="str">
        <f t="shared" si="3"/>
        <v>A</v>
      </c>
      <c r="D142">
        <v>147</v>
      </c>
      <c r="E142">
        <v>138.21823471713299</v>
      </c>
      <c r="F142"/>
      <c r="O142"/>
      <c r="Q142" s="21"/>
      <c r="R142" s="21"/>
    </row>
    <row r="143" spans="1:18" x14ac:dyDescent="0.25">
      <c r="A143" s="21">
        <f t="shared" si="2"/>
        <v>5.2200540783705396E-2</v>
      </c>
      <c r="B143" t="s">
        <v>52</v>
      </c>
      <c r="C143" s="21" t="str">
        <f t="shared" si="3"/>
        <v>A</v>
      </c>
      <c r="D143">
        <v>112</v>
      </c>
      <c r="E143">
        <v>117.846460567775</v>
      </c>
      <c r="F143"/>
      <c r="O143"/>
      <c r="Q143" s="21"/>
      <c r="R143" s="21"/>
    </row>
    <row r="144" spans="1:18" x14ac:dyDescent="0.25">
      <c r="A144" s="21">
        <f t="shared" si="2"/>
        <v>0.38341067682291086</v>
      </c>
      <c r="B144" t="s">
        <v>52</v>
      </c>
      <c r="C144" s="21" t="str">
        <f t="shared" si="3"/>
        <v>B</v>
      </c>
      <c r="D144">
        <v>101</v>
      </c>
      <c r="E144">
        <v>139.72447835911399</v>
      </c>
      <c r="F144"/>
      <c r="O144"/>
      <c r="Q144" s="21"/>
      <c r="R144" s="21"/>
    </row>
    <row r="145" spans="1:18" x14ac:dyDescent="0.25">
      <c r="A145" s="21">
        <f t="shared" si="2"/>
        <v>-9.7639591682040394E-2</v>
      </c>
      <c r="B145" t="s">
        <v>52</v>
      </c>
      <c r="C145" s="21" t="str">
        <f t="shared" si="3"/>
        <v>A</v>
      </c>
      <c r="D145">
        <v>173.5</v>
      </c>
      <c r="E145">
        <v>156.55953084316599</v>
      </c>
      <c r="F145"/>
      <c r="O145"/>
      <c r="Q145" s="21"/>
      <c r="R145" s="21"/>
    </row>
    <row r="146" spans="1:18" x14ac:dyDescent="0.25">
      <c r="A146" s="21">
        <f t="shared" si="2"/>
        <v>0.12791014562904968</v>
      </c>
      <c r="B146" t="s">
        <v>52</v>
      </c>
      <c r="C146" s="21" t="str">
        <f t="shared" si="3"/>
        <v>A</v>
      </c>
      <c r="D146">
        <v>141</v>
      </c>
      <c r="E146">
        <v>159.035330533696</v>
      </c>
      <c r="F146"/>
      <c r="O146"/>
      <c r="Q146" s="21"/>
      <c r="R146" s="21"/>
    </row>
    <row r="147" spans="1:18" x14ac:dyDescent="0.25">
      <c r="A147" s="21">
        <f t="shared" si="2"/>
        <v>1.4255142455223968E-3</v>
      </c>
      <c r="B147" t="s">
        <v>53</v>
      </c>
      <c r="C147" s="21" t="str">
        <f t="shared" si="3"/>
        <v>A</v>
      </c>
      <c r="D147">
        <v>157</v>
      </c>
      <c r="E147">
        <v>157.22380573654701</v>
      </c>
      <c r="F147"/>
      <c r="O147"/>
      <c r="Q147" s="21"/>
      <c r="R147" s="21"/>
    </row>
    <row r="148" spans="1:18" x14ac:dyDescent="0.25">
      <c r="A148" s="21">
        <f t="shared" si="2"/>
        <v>0.39395029411492222</v>
      </c>
      <c r="B148" t="s">
        <v>53</v>
      </c>
      <c r="C148" s="21" t="str">
        <f t="shared" si="3"/>
        <v>B</v>
      </c>
      <c r="D148">
        <v>138.25</v>
      </c>
      <c r="E148">
        <v>192.71362816138799</v>
      </c>
      <c r="F148"/>
      <c r="O148"/>
      <c r="Q148" s="21"/>
      <c r="R148" s="21"/>
    </row>
    <row r="149" spans="1:18" x14ac:dyDescent="0.25">
      <c r="A149" s="21">
        <f t="shared" si="2"/>
        <v>0.70875792891449541</v>
      </c>
      <c r="B149" t="s">
        <v>53</v>
      </c>
      <c r="C149" s="21" t="str">
        <f t="shared" si="3"/>
        <v>B</v>
      </c>
      <c r="D149">
        <v>111</v>
      </c>
      <c r="E149">
        <v>189.672130109509</v>
      </c>
      <c r="F149"/>
      <c r="O149"/>
      <c r="Q149" s="21"/>
      <c r="R149" s="21"/>
    </row>
    <row r="150" spans="1:18" x14ac:dyDescent="0.25">
      <c r="A150" s="21">
        <f t="shared" si="2"/>
        <v>0.48598248253347753</v>
      </c>
      <c r="B150" t="s">
        <v>53</v>
      </c>
      <c r="C150" s="21" t="str">
        <f t="shared" si="3"/>
        <v>B</v>
      </c>
      <c r="D150">
        <v>111</v>
      </c>
      <c r="E150">
        <v>164.944055561216</v>
      </c>
      <c r="F150"/>
      <c r="O150"/>
      <c r="Q150" s="21"/>
      <c r="R150" s="21"/>
    </row>
    <row r="151" spans="1:18" x14ac:dyDescent="0.25">
      <c r="A151" s="21">
        <f t="shared" si="2"/>
        <v>0.3321629433132316</v>
      </c>
      <c r="B151" t="s">
        <v>53</v>
      </c>
      <c r="C151" s="21" t="str">
        <f t="shared" si="3"/>
        <v>B</v>
      </c>
      <c r="D151">
        <v>95</v>
      </c>
      <c r="E151">
        <v>126.555479614757</v>
      </c>
      <c r="F151"/>
      <c r="O151"/>
      <c r="Q151" s="21"/>
      <c r="R151" s="21"/>
    </row>
    <row r="152" spans="1:18" x14ac:dyDescent="0.25">
      <c r="A152" s="21">
        <f t="shared" si="2"/>
        <v>6.7408613891277946E-2</v>
      </c>
      <c r="C152" s="21" t="str">
        <f t="shared" si="3"/>
        <v>A</v>
      </c>
      <c r="D152">
        <v>156.5</v>
      </c>
      <c r="E152">
        <v>167.04944807398499</v>
      </c>
      <c r="F152"/>
      <c r="Q152" s="21"/>
      <c r="R152" s="21"/>
    </row>
    <row r="153" spans="1:18" x14ac:dyDescent="0.25">
      <c r="A153" s="21">
        <f t="shared" si="2"/>
        <v>0.48269500002142252</v>
      </c>
      <c r="C153" s="21" t="str">
        <f t="shared" si="3"/>
        <v>B</v>
      </c>
      <c r="D153">
        <v>116</v>
      </c>
      <c r="E153">
        <v>171.99262000248501</v>
      </c>
      <c r="F153"/>
      <c r="Q153" s="21"/>
      <c r="R153" s="21"/>
    </row>
    <row r="154" spans="1:18" x14ac:dyDescent="0.25">
      <c r="A154" s="21">
        <f t="shared" si="2"/>
        <v>0.25354605764786764</v>
      </c>
      <c r="C154" s="21" t="str">
        <f t="shared" si="3"/>
        <v>B</v>
      </c>
      <c r="D154">
        <v>121</v>
      </c>
      <c r="E154">
        <v>151.67907297539199</v>
      </c>
      <c r="F154"/>
      <c r="Q154" s="21"/>
      <c r="R154" s="21"/>
    </row>
    <row r="155" spans="1:18" x14ac:dyDescent="0.25">
      <c r="A155" s="21">
        <f t="shared" si="2"/>
        <v>4.0436657875465354E-2</v>
      </c>
      <c r="C155" s="21" t="str">
        <f t="shared" si="3"/>
        <v>A</v>
      </c>
      <c r="D155">
        <v>108.5</v>
      </c>
      <c r="E155">
        <v>112.887377379488</v>
      </c>
      <c r="F155"/>
      <c r="Q155" s="21"/>
      <c r="R155" s="21"/>
    </row>
    <row r="156" spans="1:18" x14ac:dyDescent="0.25">
      <c r="A156" s="21">
        <f t="shared" si="2"/>
        <v>-0.29933655055744968</v>
      </c>
      <c r="C156" s="21" t="str">
        <f t="shared" si="3"/>
        <v>B</v>
      </c>
      <c r="D156">
        <v>203.5</v>
      </c>
      <c r="E156">
        <v>142.58501196155899</v>
      </c>
      <c r="F156"/>
      <c r="Q156" s="21"/>
      <c r="R156" s="21"/>
    </row>
    <row r="157" spans="1:18" x14ac:dyDescent="0.25">
      <c r="A157" s="21">
        <f t="shared" si="2"/>
        <v>-0.41398401139442964</v>
      </c>
      <c r="C157" s="21" t="str">
        <f t="shared" si="3"/>
        <v>B</v>
      </c>
      <c r="D157">
        <v>159</v>
      </c>
      <c r="E157">
        <v>93.176542188285694</v>
      </c>
      <c r="F157"/>
      <c r="Q157" s="21"/>
      <c r="R157" s="21"/>
    </row>
    <row r="158" spans="1:18" x14ac:dyDescent="0.25">
      <c r="A158" s="21">
        <f t="shared" si="2"/>
        <v>-7.0386624548037235E-2</v>
      </c>
      <c r="C158" s="21" t="str">
        <f t="shared" si="3"/>
        <v>A</v>
      </c>
      <c r="D158">
        <v>91</v>
      </c>
      <c r="E158">
        <v>84.594817166128607</v>
      </c>
      <c r="F158"/>
      <c r="Q158" s="21"/>
      <c r="R158" s="21"/>
    </row>
    <row r="159" spans="1:18" x14ac:dyDescent="0.25">
      <c r="A159" s="21">
        <f t="shared" si="2"/>
        <v>8.7967503657112145E-2</v>
      </c>
      <c r="C159" s="21" t="str">
        <f t="shared" si="3"/>
        <v>A</v>
      </c>
      <c r="D159">
        <v>87.5</v>
      </c>
      <c r="E159">
        <v>95.197156569997304</v>
      </c>
      <c r="F159"/>
      <c r="Q159" s="21"/>
      <c r="R159" s="21"/>
    </row>
    <row r="160" spans="1:18" x14ac:dyDescent="0.25">
      <c r="A160" s="21">
        <f t="shared" si="2"/>
        <v>-0.30885068420394657</v>
      </c>
      <c r="C160" s="21" t="str">
        <f t="shared" si="3"/>
        <v>B</v>
      </c>
      <c r="D160">
        <v>131</v>
      </c>
      <c r="E160">
        <v>90.540560369283</v>
      </c>
      <c r="F160"/>
      <c r="Q160" s="21"/>
      <c r="R160" s="21"/>
    </row>
    <row r="161" spans="1:18" x14ac:dyDescent="0.25">
      <c r="A161" s="21">
        <f t="shared" si="2"/>
        <v>5.2535679695795867E-2</v>
      </c>
      <c r="C161" s="21" t="str">
        <f t="shared" si="3"/>
        <v>A</v>
      </c>
      <c r="D161">
        <v>117.5</v>
      </c>
      <c r="E161">
        <v>123.672942364256</v>
      </c>
      <c r="F161"/>
      <c r="Q161" s="21"/>
      <c r="R161" s="21"/>
    </row>
    <row r="162" spans="1:18" x14ac:dyDescent="0.25">
      <c r="A162" s="21">
        <f t="shared" si="2"/>
        <v>0.33922253936123803</v>
      </c>
      <c r="C162" s="21" t="str">
        <f t="shared" si="3"/>
        <v>B</v>
      </c>
      <c r="D162">
        <v>105</v>
      </c>
      <c r="E162">
        <v>140.61836663292999</v>
      </c>
      <c r="F162"/>
      <c r="Q162" s="21"/>
      <c r="R162" s="21"/>
    </row>
    <row r="163" spans="1:18" x14ac:dyDescent="0.25">
      <c r="A163" s="21">
        <f t="shared" si="2"/>
        <v>0.11593295277391613</v>
      </c>
      <c r="C163" s="21" t="str">
        <f t="shared" si="3"/>
        <v>A</v>
      </c>
      <c r="D163">
        <v>95.5</v>
      </c>
      <c r="E163">
        <v>106.571596989909</v>
      </c>
      <c r="F163"/>
      <c r="Q163" s="21"/>
      <c r="R163" s="21"/>
    </row>
    <row r="164" spans="1:18" x14ac:dyDescent="0.25">
      <c r="A164" s="21">
        <f t="shared" si="2"/>
        <v>-0.28209745396473518</v>
      </c>
      <c r="C164" s="21" t="str">
        <f t="shared" si="3"/>
        <v>B</v>
      </c>
      <c r="D164">
        <v>219</v>
      </c>
      <c r="E164">
        <v>157.220657581723</v>
      </c>
      <c r="F164"/>
      <c r="Q164" s="21"/>
      <c r="R164" s="21"/>
    </row>
    <row r="165" spans="1:18" x14ac:dyDescent="0.25">
      <c r="A165" s="21">
        <f t="shared" si="2"/>
        <v>-0.23266040610079697</v>
      </c>
      <c r="C165" s="21" t="str">
        <f t="shared" si="3"/>
        <v>B</v>
      </c>
      <c r="D165">
        <v>197</v>
      </c>
      <c r="E165">
        <v>151.165899998143</v>
      </c>
      <c r="F165"/>
      <c r="Q165" s="21"/>
      <c r="R165" s="21"/>
    </row>
    <row r="166" spans="1:18" x14ac:dyDescent="0.25">
      <c r="A166" s="21">
        <f t="shared" si="2"/>
        <v>2.5451385331467513E-2</v>
      </c>
      <c r="C166" s="21" t="str">
        <f t="shared" si="3"/>
        <v>A</v>
      </c>
      <c r="D166">
        <v>154</v>
      </c>
      <c r="E166">
        <v>157.91951334104601</v>
      </c>
      <c r="F166"/>
      <c r="Q166" s="21"/>
      <c r="R166" s="21"/>
    </row>
    <row r="167" spans="1:18" x14ac:dyDescent="0.25">
      <c r="A167" s="21">
        <f t="shared" si="2"/>
        <v>0.43497753345713797</v>
      </c>
      <c r="C167" s="21" t="str">
        <f t="shared" ref="C167:C230" si="4">IF(OR(A167&gt;=20%,A167&lt;=-20%),"B","A")</f>
        <v>B</v>
      </c>
      <c r="D167">
        <v>87</v>
      </c>
      <c r="E167">
        <v>124.843045410771</v>
      </c>
      <c r="F167"/>
    </row>
    <row r="168" spans="1:18" x14ac:dyDescent="0.25">
      <c r="A168" s="21">
        <f t="shared" ref="A168:A231" si="5">E168/D168-1</f>
        <v>-5.2075114888948337E-2</v>
      </c>
      <c r="C168" s="21" t="str">
        <f t="shared" si="4"/>
        <v>A</v>
      </c>
      <c r="D168">
        <v>155</v>
      </c>
      <c r="E168">
        <v>146.92835719221301</v>
      </c>
      <c r="F168"/>
    </row>
    <row r="169" spans="1:18" x14ac:dyDescent="0.25">
      <c r="A169" s="21">
        <f t="shared" si="5"/>
        <v>0.12850799983969097</v>
      </c>
      <c r="C169" s="21" t="str">
        <f t="shared" si="4"/>
        <v>A</v>
      </c>
      <c r="D169">
        <v>110</v>
      </c>
      <c r="E169">
        <v>124.13587998236601</v>
      </c>
      <c r="F169"/>
    </row>
    <row r="170" spans="1:18" x14ac:dyDescent="0.25">
      <c r="A170" s="21">
        <f t="shared" si="5"/>
        <v>0.48484384945487369</v>
      </c>
      <c r="C170" s="21" t="str">
        <f t="shared" si="4"/>
        <v>B</v>
      </c>
      <c r="D170">
        <v>87</v>
      </c>
      <c r="E170">
        <v>129.18141490257401</v>
      </c>
    </row>
    <row r="171" spans="1:18" x14ac:dyDescent="0.25">
      <c r="A171" s="21">
        <f t="shared" si="5"/>
        <v>0.16297516961940905</v>
      </c>
      <c r="C171" s="21" t="str">
        <f t="shared" si="4"/>
        <v>A</v>
      </c>
      <c r="D171">
        <v>110</v>
      </c>
      <c r="E171">
        <v>127.92726865813501</v>
      </c>
      <c r="F171"/>
    </row>
    <row r="172" spans="1:18" x14ac:dyDescent="0.25">
      <c r="A172" s="21">
        <f t="shared" si="5"/>
        <v>0.20713746627806717</v>
      </c>
      <c r="C172" s="21" t="str">
        <f t="shared" si="4"/>
        <v>B</v>
      </c>
      <c r="D172">
        <v>104</v>
      </c>
      <c r="E172">
        <v>125.54229649291899</v>
      </c>
      <c r="F172"/>
    </row>
    <row r="173" spans="1:18" x14ac:dyDescent="0.25">
      <c r="A173" s="21">
        <f t="shared" si="5"/>
        <v>0.13485451629184086</v>
      </c>
      <c r="C173" s="21" t="str">
        <f t="shared" si="4"/>
        <v>A</v>
      </c>
      <c r="D173">
        <v>113</v>
      </c>
      <c r="E173">
        <v>128.23856034097801</v>
      </c>
      <c r="F173"/>
    </row>
    <row r="174" spans="1:18" x14ac:dyDescent="0.25">
      <c r="A174" s="21">
        <f t="shared" si="5"/>
        <v>-0.1269466186582584</v>
      </c>
      <c r="C174" s="21" t="str">
        <f t="shared" si="4"/>
        <v>A</v>
      </c>
      <c r="D174">
        <v>120</v>
      </c>
      <c r="E174">
        <v>104.766405761009</v>
      </c>
      <c r="F174"/>
    </row>
    <row r="175" spans="1:18" x14ac:dyDescent="0.25">
      <c r="A175" s="21">
        <f t="shared" si="5"/>
        <v>0.22428163509931243</v>
      </c>
      <c r="C175" s="21" t="str">
        <f t="shared" si="4"/>
        <v>B</v>
      </c>
      <c r="D175">
        <v>96</v>
      </c>
      <c r="E175">
        <v>117.531036969534</v>
      </c>
      <c r="F175"/>
    </row>
    <row r="176" spans="1:18" x14ac:dyDescent="0.25">
      <c r="A176" s="21">
        <f t="shared" si="5"/>
        <v>0.22445407961026187</v>
      </c>
      <c r="C176" s="21" t="str">
        <f t="shared" si="4"/>
        <v>B</v>
      </c>
      <c r="D176">
        <v>84</v>
      </c>
      <c r="E176">
        <v>102.854142687262</v>
      </c>
      <c r="F176"/>
    </row>
    <row r="177" spans="1:6" x14ac:dyDescent="0.25">
      <c r="A177" s="21">
        <f t="shared" si="5"/>
        <v>5.357851094291588E-2</v>
      </c>
      <c r="C177" s="21" t="str">
        <f t="shared" si="4"/>
        <v>A</v>
      </c>
      <c r="D177">
        <v>107</v>
      </c>
      <c r="E177">
        <v>112.73290067089199</v>
      </c>
      <c r="F177"/>
    </row>
    <row r="178" spans="1:6" x14ac:dyDescent="0.25">
      <c r="A178" s="21">
        <f t="shared" si="5"/>
        <v>0.17713379683421904</v>
      </c>
      <c r="C178" s="21" t="str">
        <f t="shared" si="4"/>
        <v>A</v>
      </c>
      <c r="D178">
        <v>105</v>
      </c>
      <c r="E178">
        <v>123.599048667593</v>
      </c>
      <c r="F178"/>
    </row>
    <row r="179" spans="1:6" x14ac:dyDescent="0.25">
      <c r="A179" s="21">
        <f t="shared" si="5"/>
        <v>0.16234342966217308</v>
      </c>
      <c r="C179" s="21" t="str">
        <f t="shared" si="4"/>
        <v>A</v>
      </c>
      <c r="D179">
        <v>82</v>
      </c>
      <c r="E179">
        <v>95.312161232298195</v>
      </c>
      <c r="F179"/>
    </row>
    <row r="180" spans="1:6" x14ac:dyDescent="0.25">
      <c r="A180" s="21">
        <f t="shared" si="5"/>
        <v>-0.16825753656125997</v>
      </c>
      <c r="C180" s="21" t="str">
        <f t="shared" si="4"/>
        <v>A</v>
      </c>
      <c r="D180">
        <v>150</v>
      </c>
      <c r="E180">
        <v>124.761369515811</v>
      </c>
      <c r="F180"/>
    </row>
    <row r="181" spans="1:6" x14ac:dyDescent="0.25">
      <c r="A181" s="21">
        <f t="shared" si="5"/>
        <v>0.13367984597882532</v>
      </c>
      <c r="C181" s="21" t="str">
        <f t="shared" si="4"/>
        <v>A</v>
      </c>
      <c r="D181">
        <v>126</v>
      </c>
      <c r="E181">
        <v>142.843660593332</v>
      </c>
      <c r="F181"/>
    </row>
    <row r="182" spans="1:6" x14ac:dyDescent="0.25">
      <c r="A182" s="21">
        <f t="shared" si="5"/>
        <v>0.32703594192354268</v>
      </c>
      <c r="C182" s="21" t="str">
        <f t="shared" si="4"/>
        <v>B</v>
      </c>
      <c r="D182">
        <v>94</v>
      </c>
      <c r="E182">
        <v>124.741378540813</v>
      </c>
      <c r="F182"/>
    </row>
    <row r="183" spans="1:6" x14ac:dyDescent="0.25">
      <c r="A183" s="21">
        <f t="shared" si="5"/>
        <v>0.32334705021803489</v>
      </c>
      <c r="C183" s="21" t="str">
        <f t="shared" si="4"/>
        <v>B</v>
      </c>
      <c r="D183">
        <v>86</v>
      </c>
      <c r="E183">
        <v>113.807846318751</v>
      </c>
      <c r="F183"/>
    </row>
    <row r="184" spans="1:6" x14ac:dyDescent="0.25">
      <c r="A184" s="21">
        <f t="shared" si="5"/>
        <v>-7.9938857191525603E-2</v>
      </c>
      <c r="C184" s="21" t="str">
        <f t="shared" si="4"/>
        <v>A</v>
      </c>
      <c r="D184">
        <v>137</v>
      </c>
      <c r="E184">
        <v>126.048376564761</v>
      </c>
      <c r="F184"/>
    </row>
    <row r="185" spans="1:6" x14ac:dyDescent="0.25">
      <c r="A185" s="21">
        <f t="shared" si="5"/>
        <v>5.2471259007120352E-2</v>
      </c>
      <c r="C185" s="21" t="str">
        <f t="shared" si="4"/>
        <v>A</v>
      </c>
      <c r="D185">
        <v>108</v>
      </c>
      <c r="E185">
        <v>113.666895972769</v>
      </c>
      <c r="F185"/>
    </row>
    <row r="186" spans="1:6" x14ac:dyDescent="0.25">
      <c r="A186" s="21">
        <f t="shared" si="5"/>
        <v>0.23141935637100008</v>
      </c>
      <c r="C186" s="21" t="str">
        <f t="shared" si="4"/>
        <v>B</v>
      </c>
      <c r="D186">
        <v>104</v>
      </c>
      <c r="E186">
        <v>128.067613062584</v>
      </c>
      <c r="F186"/>
    </row>
    <row r="187" spans="1:6" x14ac:dyDescent="0.25">
      <c r="A187" s="21">
        <f t="shared" si="5"/>
        <v>0.27200598169717494</v>
      </c>
      <c r="C187" s="21" t="str">
        <f t="shared" si="4"/>
        <v>B</v>
      </c>
      <c r="D187">
        <v>80</v>
      </c>
      <c r="E187">
        <v>101.760478535774</v>
      </c>
      <c r="F187"/>
    </row>
    <row r="188" spans="1:6" x14ac:dyDescent="0.25">
      <c r="A188" s="21">
        <f t="shared" si="5"/>
        <v>-0.27353653635048669</v>
      </c>
      <c r="C188" s="21" t="str">
        <f t="shared" si="4"/>
        <v>B</v>
      </c>
      <c r="D188">
        <v>150</v>
      </c>
      <c r="E188">
        <v>108.969519547427</v>
      </c>
      <c r="F188"/>
    </row>
    <row r="189" spans="1:6" x14ac:dyDescent="0.25">
      <c r="A189" s="21">
        <f t="shared" si="5"/>
        <v>0.57063707596741819</v>
      </c>
      <c r="C189" s="21" t="str">
        <f t="shared" si="4"/>
        <v>B</v>
      </c>
      <c r="D189">
        <v>110</v>
      </c>
      <c r="E189">
        <v>172.77007835641601</v>
      </c>
      <c r="F189"/>
    </row>
    <row r="190" spans="1:6" x14ac:dyDescent="0.25">
      <c r="A190" s="21">
        <f t="shared" si="5"/>
        <v>0.19860859400242381</v>
      </c>
      <c r="C190" s="21" t="str">
        <f t="shared" si="4"/>
        <v>A</v>
      </c>
      <c r="D190">
        <v>92</v>
      </c>
      <c r="E190">
        <v>110.271990648223</v>
      </c>
      <c r="F190"/>
    </row>
    <row r="191" spans="1:6" x14ac:dyDescent="0.25">
      <c r="A191" s="21">
        <f t="shared" si="5"/>
        <v>0.26641295215021432</v>
      </c>
      <c r="C191" s="21" t="str">
        <f t="shared" si="4"/>
        <v>B</v>
      </c>
      <c r="D191">
        <v>84</v>
      </c>
      <c r="E191">
        <v>106.378687980618</v>
      </c>
      <c r="F191"/>
    </row>
    <row r="192" spans="1:6" x14ac:dyDescent="0.25">
      <c r="A192" s="21">
        <f t="shared" si="5"/>
        <v>6.6431816262338073E-2</v>
      </c>
      <c r="C192" s="21" t="str">
        <f t="shared" si="4"/>
        <v>A</v>
      </c>
      <c r="D192">
        <v>145</v>
      </c>
      <c r="E192">
        <v>154.63261335803901</v>
      </c>
      <c r="F192"/>
    </row>
    <row r="193" spans="1:6" x14ac:dyDescent="0.25">
      <c r="A193" s="21">
        <f t="shared" si="5"/>
        <v>0.1716056646949673</v>
      </c>
      <c r="C193" s="21" t="str">
        <f t="shared" si="4"/>
        <v>A</v>
      </c>
      <c r="D193">
        <v>123</v>
      </c>
      <c r="E193">
        <v>144.10749675748099</v>
      </c>
      <c r="F193"/>
    </row>
    <row r="194" spans="1:6" x14ac:dyDescent="0.25">
      <c r="A194" s="21">
        <f t="shared" si="5"/>
        <v>0.10487593689584007</v>
      </c>
      <c r="C194" s="21" t="str">
        <f t="shared" si="4"/>
        <v>A</v>
      </c>
      <c r="D194">
        <v>100</v>
      </c>
      <c r="E194">
        <v>110.487593689584</v>
      </c>
      <c r="F194"/>
    </row>
    <row r="195" spans="1:6" x14ac:dyDescent="0.25">
      <c r="A195" s="21">
        <f t="shared" si="5"/>
        <v>0.14789488050730104</v>
      </c>
      <c r="C195" s="21" t="str">
        <f t="shared" si="4"/>
        <v>A</v>
      </c>
      <c r="D195">
        <v>87</v>
      </c>
      <c r="E195">
        <v>99.866854604135199</v>
      </c>
      <c r="F195"/>
    </row>
    <row r="196" spans="1:6" x14ac:dyDescent="0.25">
      <c r="A196" s="21">
        <f t="shared" si="5"/>
        <v>0.24008932897891855</v>
      </c>
      <c r="C196" s="21" t="str">
        <f t="shared" si="4"/>
        <v>B</v>
      </c>
      <c r="D196">
        <v>86</v>
      </c>
      <c r="E196">
        <v>106.647682292187</v>
      </c>
      <c r="F196"/>
    </row>
    <row r="197" spans="1:6" x14ac:dyDescent="0.25">
      <c r="A197" s="21">
        <f t="shared" si="5"/>
        <v>-0.12928146201703172</v>
      </c>
      <c r="C197" s="21" t="str">
        <f t="shared" si="4"/>
        <v>A</v>
      </c>
      <c r="D197">
        <v>126</v>
      </c>
      <c r="E197">
        <v>109.71053578585401</v>
      </c>
      <c r="F197"/>
    </row>
    <row r="198" spans="1:6" x14ac:dyDescent="0.25">
      <c r="A198" s="21">
        <f t="shared" si="5"/>
        <v>-3.2410398854972655E-2</v>
      </c>
      <c r="C198" s="21" t="str">
        <f t="shared" si="4"/>
        <v>A</v>
      </c>
      <c r="D198">
        <v>110</v>
      </c>
      <c r="E198">
        <v>106.434856125953</v>
      </c>
      <c r="F198"/>
    </row>
    <row r="199" spans="1:6" x14ac:dyDescent="0.25">
      <c r="A199" s="21">
        <f t="shared" si="5"/>
        <v>0.12635420724317892</v>
      </c>
      <c r="C199" s="21" t="str">
        <f t="shared" si="4"/>
        <v>A</v>
      </c>
      <c r="D199">
        <v>95</v>
      </c>
      <c r="E199">
        <v>107.003649688102</v>
      </c>
      <c r="F199"/>
    </row>
    <row r="200" spans="1:6" x14ac:dyDescent="0.25">
      <c r="A200" s="21">
        <f t="shared" si="5"/>
        <v>0.23005661296694324</v>
      </c>
      <c r="C200" s="21" t="str">
        <f t="shared" si="4"/>
        <v>B</v>
      </c>
      <c r="D200">
        <v>88</v>
      </c>
      <c r="E200">
        <v>108.244981941091</v>
      </c>
      <c r="F200"/>
    </row>
    <row r="201" spans="1:6" x14ac:dyDescent="0.25">
      <c r="A201" s="21">
        <f t="shared" si="5"/>
        <v>-6.5826039476369225E-2</v>
      </c>
      <c r="C201" s="21" t="str">
        <f t="shared" si="4"/>
        <v>A</v>
      </c>
      <c r="D201">
        <v>149</v>
      </c>
      <c r="E201">
        <v>139.19192011802099</v>
      </c>
      <c r="F201"/>
    </row>
    <row r="202" spans="1:6" x14ac:dyDescent="0.25">
      <c r="A202" s="21">
        <f t="shared" si="5"/>
        <v>-0.11754768541276928</v>
      </c>
      <c r="C202" s="21" t="str">
        <f t="shared" si="4"/>
        <v>A</v>
      </c>
      <c r="D202">
        <v>143</v>
      </c>
      <c r="E202">
        <v>126.190680985974</v>
      </c>
      <c r="F202"/>
    </row>
    <row r="203" spans="1:6" x14ac:dyDescent="0.25">
      <c r="A203" s="21">
        <f t="shared" si="5"/>
        <v>-0.18465237759472175</v>
      </c>
      <c r="C203" s="21" t="str">
        <f t="shared" si="4"/>
        <v>A</v>
      </c>
      <c r="D203">
        <v>133</v>
      </c>
      <c r="E203">
        <v>108.44123377990201</v>
      </c>
      <c r="F203"/>
    </row>
    <row r="204" spans="1:6" x14ac:dyDescent="0.25">
      <c r="A204" s="21">
        <f t="shared" si="5"/>
        <v>0.11467663304815789</v>
      </c>
      <c r="C204" s="21" t="str">
        <f t="shared" si="4"/>
        <v>A</v>
      </c>
      <c r="D204">
        <v>88</v>
      </c>
      <c r="E204">
        <v>98.091543708237893</v>
      </c>
      <c r="F204"/>
    </row>
    <row r="205" spans="1:6" x14ac:dyDescent="0.25">
      <c r="A205" s="21">
        <f t="shared" si="5"/>
        <v>0.21454474865766282</v>
      </c>
      <c r="C205" s="21" t="str">
        <f t="shared" si="4"/>
        <v>B</v>
      </c>
      <c r="D205">
        <v>83</v>
      </c>
      <c r="E205">
        <v>100.807214138586</v>
      </c>
      <c r="F205"/>
    </row>
    <row r="206" spans="1:6" x14ac:dyDescent="0.25">
      <c r="A206" s="21">
        <f t="shared" si="5"/>
        <v>-0.1841022493622867</v>
      </c>
      <c r="C206" s="21" t="str">
        <f t="shared" si="4"/>
        <v>A</v>
      </c>
      <c r="D206">
        <v>143</v>
      </c>
      <c r="E206">
        <v>116.673378341193</v>
      </c>
      <c r="F206"/>
    </row>
    <row r="207" spans="1:6" x14ac:dyDescent="0.25">
      <c r="A207" s="21">
        <f t="shared" si="5"/>
        <v>0.42609397929564019</v>
      </c>
      <c r="C207" s="21" t="str">
        <f t="shared" si="4"/>
        <v>B</v>
      </c>
      <c r="D207">
        <v>114</v>
      </c>
      <c r="E207">
        <v>162.57471363970299</v>
      </c>
      <c r="F207"/>
    </row>
    <row r="208" spans="1:6" x14ac:dyDescent="0.25">
      <c r="A208" s="21">
        <f t="shared" si="5"/>
        <v>-6.2342319718685202E-2</v>
      </c>
      <c r="C208" s="21" t="str">
        <f t="shared" si="4"/>
        <v>A</v>
      </c>
      <c r="D208">
        <v>108</v>
      </c>
      <c r="E208">
        <v>101.267029470382</v>
      </c>
      <c r="F208"/>
    </row>
    <row r="209" spans="1:6" x14ac:dyDescent="0.25">
      <c r="A209" s="21">
        <f t="shared" si="5"/>
        <v>0.56616377967760778</v>
      </c>
      <c r="C209" s="21" t="str">
        <f t="shared" si="4"/>
        <v>B</v>
      </c>
      <c r="D209">
        <v>79</v>
      </c>
      <c r="E209">
        <v>123.72693859453101</v>
      </c>
      <c r="F209"/>
    </row>
    <row r="210" spans="1:6" x14ac:dyDescent="0.25">
      <c r="A210" s="21">
        <f t="shared" si="5"/>
        <v>2.8506527037318374E-2</v>
      </c>
      <c r="C210" s="21" t="str">
        <f t="shared" si="4"/>
        <v>A</v>
      </c>
      <c r="D210">
        <v>135</v>
      </c>
      <c r="E210">
        <v>138.84838115003799</v>
      </c>
      <c r="F210"/>
    </row>
    <row r="211" spans="1:6" x14ac:dyDescent="0.25">
      <c r="A211" s="21">
        <f t="shared" si="5"/>
        <v>0.31685707539947883</v>
      </c>
      <c r="C211" s="21" t="str">
        <f t="shared" si="4"/>
        <v>B</v>
      </c>
      <c r="D211">
        <v>119</v>
      </c>
      <c r="E211">
        <v>156.70599197253799</v>
      </c>
      <c r="F211"/>
    </row>
    <row r="212" spans="1:6" x14ac:dyDescent="0.25">
      <c r="A212" s="21">
        <f t="shared" si="5"/>
        <v>0.20899555542999071</v>
      </c>
      <c r="C212" s="21" t="str">
        <f t="shared" si="4"/>
        <v>B</v>
      </c>
      <c r="D212">
        <v>107</v>
      </c>
      <c r="E212">
        <v>129.36252443100901</v>
      </c>
      <c r="F212"/>
    </row>
    <row r="213" spans="1:6" x14ac:dyDescent="0.25">
      <c r="A213" s="21">
        <f t="shared" si="5"/>
        <v>-1.5656620032493129E-2</v>
      </c>
      <c r="C213" s="21" t="str">
        <f t="shared" si="4"/>
        <v>A</v>
      </c>
      <c r="D213">
        <v>146</v>
      </c>
      <c r="E213">
        <v>143.71413347525601</v>
      </c>
      <c r="F213"/>
    </row>
    <row r="214" spans="1:6" x14ac:dyDescent="0.25">
      <c r="A214" s="21">
        <f t="shared" si="5"/>
        <v>0.15546985198467778</v>
      </c>
      <c r="C214" s="21" t="str">
        <f t="shared" si="4"/>
        <v>A</v>
      </c>
      <c r="D214">
        <v>121</v>
      </c>
      <c r="E214">
        <v>139.811852090146</v>
      </c>
      <c r="F214"/>
    </row>
    <row r="215" spans="1:6" x14ac:dyDescent="0.25">
      <c r="A215" s="21">
        <f t="shared" si="5"/>
        <v>0.19176472562783342</v>
      </c>
      <c r="C215" s="21" t="str">
        <f t="shared" si="4"/>
        <v>A</v>
      </c>
      <c r="D215">
        <v>90</v>
      </c>
      <c r="E215">
        <v>107.258825306505</v>
      </c>
      <c r="F215"/>
    </row>
    <row r="216" spans="1:6" x14ac:dyDescent="0.25">
      <c r="A216" s="21">
        <f t="shared" si="5"/>
        <v>0.22014968325840711</v>
      </c>
      <c r="C216" s="21" t="str">
        <f t="shared" si="4"/>
        <v>B</v>
      </c>
      <c r="D216">
        <v>86</v>
      </c>
      <c r="E216">
        <v>104.93287276022301</v>
      </c>
      <c r="F216"/>
    </row>
    <row r="217" spans="1:6" x14ac:dyDescent="0.25">
      <c r="A217" s="21">
        <f t="shared" si="5"/>
        <v>-0.16140639570715154</v>
      </c>
      <c r="C217" s="21" t="str">
        <f t="shared" si="4"/>
        <v>A</v>
      </c>
      <c r="D217">
        <v>132</v>
      </c>
      <c r="E217">
        <v>110.694355766656</v>
      </c>
      <c r="F217"/>
    </row>
    <row r="218" spans="1:6" x14ac:dyDescent="0.25">
      <c r="A218" s="21">
        <f t="shared" si="5"/>
        <v>0.43147172470965134</v>
      </c>
      <c r="C218" s="21" t="str">
        <f t="shared" si="4"/>
        <v>B</v>
      </c>
      <c r="D218">
        <v>109</v>
      </c>
      <c r="E218">
        <v>156.03041799335199</v>
      </c>
      <c r="F218"/>
    </row>
    <row r="219" spans="1:6" x14ac:dyDescent="0.25">
      <c r="A219" s="21">
        <f t="shared" si="5"/>
        <v>0.22479078801341057</v>
      </c>
      <c r="C219" s="21" t="str">
        <f t="shared" si="4"/>
        <v>B</v>
      </c>
      <c r="D219">
        <v>95</v>
      </c>
      <c r="E219">
        <v>116.35512486127401</v>
      </c>
      <c r="F219"/>
    </row>
    <row r="220" spans="1:6" x14ac:dyDescent="0.25">
      <c r="A220" s="21">
        <f t="shared" si="5"/>
        <v>0.23269800483156167</v>
      </c>
      <c r="C220" s="21" t="str">
        <f t="shared" si="4"/>
        <v>B</v>
      </c>
      <c r="D220">
        <v>89</v>
      </c>
      <c r="E220">
        <v>109.71012243000899</v>
      </c>
      <c r="F220"/>
    </row>
    <row r="221" spans="1:6" x14ac:dyDescent="0.25">
      <c r="A221" s="21">
        <f t="shared" si="5"/>
        <v>0.31630351289950798</v>
      </c>
      <c r="C221" s="21" t="str">
        <f t="shared" si="4"/>
        <v>B</v>
      </c>
      <c r="D221">
        <v>126</v>
      </c>
      <c r="E221">
        <v>165.854242625338</v>
      </c>
      <c r="F221"/>
    </row>
    <row r="222" spans="1:6" x14ac:dyDescent="0.25">
      <c r="A222" s="21">
        <f t="shared" si="5"/>
        <v>0.14014076790836194</v>
      </c>
      <c r="C222" s="21" t="str">
        <f t="shared" si="4"/>
        <v>A</v>
      </c>
      <c r="D222">
        <v>116</v>
      </c>
      <c r="E222">
        <v>132.25632907737</v>
      </c>
      <c r="F222"/>
    </row>
    <row r="223" spans="1:6" x14ac:dyDescent="0.25">
      <c r="A223" s="21">
        <f t="shared" si="5"/>
        <v>6.9267438698907391E-2</v>
      </c>
      <c r="C223" s="21" t="str">
        <f t="shared" si="4"/>
        <v>A</v>
      </c>
      <c r="D223">
        <v>108</v>
      </c>
      <c r="E223">
        <v>115.48088337948199</v>
      </c>
      <c r="F223"/>
    </row>
    <row r="224" spans="1:6" x14ac:dyDescent="0.25">
      <c r="A224" s="21">
        <f t="shared" si="5"/>
        <v>0.15235530865557156</v>
      </c>
      <c r="C224" s="21" t="str">
        <f t="shared" si="4"/>
        <v>A</v>
      </c>
      <c r="D224">
        <v>112</v>
      </c>
      <c r="E224">
        <v>129.063794569424</v>
      </c>
      <c r="F224"/>
    </row>
    <row r="225" spans="1:6" x14ac:dyDescent="0.25">
      <c r="A225" s="21">
        <f t="shared" si="5"/>
        <v>0.3992360103505368</v>
      </c>
      <c r="C225" s="21" t="str">
        <f t="shared" si="4"/>
        <v>B</v>
      </c>
      <c r="D225">
        <v>95</v>
      </c>
      <c r="E225">
        <v>132.927420983301</v>
      </c>
      <c r="F225"/>
    </row>
    <row r="226" spans="1:6" x14ac:dyDescent="0.25">
      <c r="A226" s="21">
        <f t="shared" si="5"/>
        <v>0.26736407324345746</v>
      </c>
      <c r="C226" s="21" t="str">
        <f t="shared" si="4"/>
        <v>B</v>
      </c>
      <c r="D226">
        <v>94</v>
      </c>
      <c r="E226">
        <v>119.132222884885</v>
      </c>
      <c r="F226"/>
    </row>
    <row r="227" spans="1:6" x14ac:dyDescent="0.25">
      <c r="A227" s="21">
        <f t="shared" si="5"/>
        <v>0.1142632722452499</v>
      </c>
      <c r="C227" s="21" t="str">
        <f t="shared" si="4"/>
        <v>A</v>
      </c>
      <c r="D227">
        <v>92</v>
      </c>
      <c r="E227">
        <v>102.512221046563</v>
      </c>
      <c r="F227"/>
    </row>
    <row r="228" spans="1:6" x14ac:dyDescent="0.25">
      <c r="A228" s="21">
        <f t="shared" si="5"/>
        <v>-7.9897105001351165E-2</v>
      </c>
      <c r="C228" s="21" t="str">
        <f t="shared" si="4"/>
        <v>A</v>
      </c>
      <c r="D228">
        <v>131</v>
      </c>
      <c r="E228">
        <v>120.533479244823</v>
      </c>
      <c r="F228"/>
    </row>
    <row r="229" spans="1:6" x14ac:dyDescent="0.25">
      <c r="A229" s="21">
        <f t="shared" si="5"/>
        <v>1.806688701604009E-2</v>
      </c>
      <c r="C229" s="21" t="str">
        <f t="shared" si="4"/>
        <v>A</v>
      </c>
      <c r="D229">
        <v>125</v>
      </c>
      <c r="E229">
        <v>127.258360877005</v>
      </c>
      <c r="F229"/>
    </row>
    <row r="230" spans="1:6" x14ac:dyDescent="0.25">
      <c r="A230" s="21">
        <f t="shared" si="5"/>
        <v>0.4749621039849905</v>
      </c>
      <c r="C230" s="21" t="str">
        <f t="shared" si="4"/>
        <v>B</v>
      </c>
      <c r="D230">
        <v>105</v>
      </c>
      <c r="E230">
        <v>154.87102091842399</v>
      </c>
      <c r="F230"/>
    </row>
    <row r="231" spans="1:6" x14ac:dyDescent="0.25">
      <c r="A231" s="21">
        <f t="shared" si="5"/>
        <v>0.276663719429314</v>
      </c>
      <c r="C231" s="21" t="str">
        <f t="shared" ref="C231:C261" si="6">IF(OR(A231&gt;=20%,A231&lt;=-20%),"B","A")</f>
        <v>B</v>
      </c>
      <c r="D231">
        <v>86</v>
      </c>
      <c r="E231">
        <v>109.79307987092101</v>
      </c>
      <c r="F231"/>
    </row>
    <row r="232" spans="1:6" x14ac:dyDescent="0.25">
      <c r="A232" s="21">
        <f t="shared" ref="A232:A261" si="7">E232/D232-1</f>
        <v>0.16291081055765888</v>
      </c>
      <c r="C232" s="21" t="str">
        <f t="shared" si="6"/>
        <v>A</v>
      </c>
      <c r="D232">
        <v>126</v>
      </c>
      <c r="E232">
        <v>146.52676213026501</v>
      </c>
      <c r="F232"/>
    </row>
    <row r="233" spans="1:6" x14ac:dyDescent="0.25">
      <c r="A233" s="21">
        <f t="shared" si="7"/>
        <v>0.30468483311374994</v>
      </c>
      <c r="C233" s="21" t="str">
        <f t="shared" si="6"/>
        <v>B</v>
      </c>
      <c r="D233">
        <v>116</v>
      </c>
      <c r="E233">
        <v>151.343440641195</v>
      </c>
      <c r="F233"/>
    </row>
    <row r="234" spans="1:6" x14ac:dyDescent="0.25">
      <c r="A234" s="21">
        <f t="shared" si="7"/>
        <v>0.49032144948583789</v>
      </c>
      <c r="C234" s="21" t="str">
        <f t="shared" si="6"/>
        <v>B</v>
      </c>
      <c r="D234">
        <v>111</v>
      </c>
      <c r="E234">
        <v>165.425680892928</v>
      </c>
      <c r="F234"/>
    </row>
    <row r="235" spans="1:6" x14ac:dyDescent="0.25">
      <c r="A235" s="21">
        <f t="shared" si="7"/>
        <v>0.68401268828574446</v>
      </c>
      <c r="C235" s="21" t="str">
        <f t="shared" si="6"/>
        <v>B</v>
      </c>
      <c r="D235">
        <v>90</v>
      </c>
      <c r="E235">
        <v>151.561141945717</v>
      </c>
      <c r="F235"/>
    </row>
    <row r="236" spans="1:6" x14ac:dyDescent="0.25">
      <c r="A236" s="21">
        <f t="shared" si="7"/>
        <v>3.4218156332711969E-2</v>
      </c>
      <c r="C236" s="21" t="str">
        <f t="shared" si="6"/>
        <v>A</v>
      </c>
      <c r="D236">
        <v>125</v>
      </c>
      <c r="E236">
        <v>129.27726954158899</v>
      </c>
      <c r="F236"/>
    </row>
    <row r="237" spans="1:6" x14ac:dyDescent="0.25">
      <c r="A237" s="21">
        <f t="shared" si="7"/>
        <v>0.26432765979275774</v>
      </c>
      <c r="C237" s="21" t="str">
        <f t="shared" si="6"/>
        <v>B</v>
      </c>
      <c r="D237">
        <v>95</v>
      </c>
      <c r="E237">
        <v>120.11112768031199</v>
      </c>
      <c r="F237"/>
    </row>
    <row r="238" spans="1:6" x14ac:dyDescent="0.25">
      <c r="A238" s="21">
        <f t="shared" si="7"/>
        <v>0.19338189325575272</v>
      </c>
      <c r="C238" s="21" t="str">
        <f t="shared" si="6"/>
        <v>A</v>
      </c>
      <c r="D238">
        <v>93</v>
      </c>
      <c r="E238">
        <v>110.984516072785</v>
      </c>
      <c r="F238"/>
    </row>
    <row r="239" spans="1:6" x14ac:dyDescent="0.25">
      <c r="A239" s="21">
        <f t="shared" si="7"/>
        <v>0.29363570174060505</v>
      </c>
      <c r="C239" s="21" t="str">
        <f t="shared" si="6"/>
        <v>B</v>
      </c>
      <c r="D239">
        <v>81</v>
      </c>
      <c r="E239">
        <v>104.78449184098901</v>
      </c>
      <c r="F239"/>
    </row>
    <row r="240" spans="1:6" x14ac:dyDescent="0.25">
      <c r="A240" s="21">
        <f t="shared" si="7"/>
        <v>0.1074141430337392</v>
      </c>
      <c r="C240" s="21" t="str">
        <f t="shared" si="6"/>
        <v>A</v>
      </c>
      <c r="D240">
        <v>92</v>
      </c>
      <c r="E240">
        <v>101.882101159104</v>
      </c>
      <c r="F240"/>
    </row>
    <row r="241" spans="1:6" x14ac:dyDescent="0.25">
      <c r="A241" s="21">
        <f t="shared" si="7"/>
        <v>0.22673177224106977</v>
      </c>
      <c r="C241" s="21" t="str">
        <f t="shared" si="6"/>
        <v>B</v>
      </c>
      <c r="D241">
        <v>86</v>
      </c>
      <c r="E241">
        <v>105.498932412732</v>
      </c>
      <c r="F241"/>
    </row>
    <row r="242" spans="1:6" x14ac:dyDescent="0.25">
      <c r="A242" s="21">
        <f t="shared" si="7"/>
        <v>0.16077030140938309</v>
      </c>
      <c r="C242" s="21" t="str">
        <f t="shared" si="6"/>
        <v>A</v>
      </c>
      <c r="D242">
        <v>82</v>
      </c>
      <c r="E242">
        <v>95.183164715569404</v>
      </c>
      <c r="F242"/>
    </row>
    <row r="243" spans="1:6" x14ac:dyDescent="0.25">
      <c r="A243" s="21">
        <f t="shared" si="7"/>
        <v>-0.24768435100562358</v>
      </c>
      <c r="C243" s="21" t="str">
        <f t="shared" si="6"/>
        <v>B</v>
      </c>
      <c r="D243">
        <v>127</v>
      </c>
      <c r="E243">
        <v>95.544087422285799</v>
      </c>
      <c r="F243"/>
    </row>
    <row r="244" spans="1:6" x14ac:dyDescent="0.25">
      <c r="A244" s="21">
        <f t="shared" si="7"/>
        <v>2.184199108380569E-2</v>
      </c>
      <c r="C244" s="21" t="str">
        <f t="shared" si="6"/>
        <v>A</v>
      </c>
      <c r="D244">
        <v>103</v>
      </c>
      <c r="E244">
        <v>105.24972508163199</v>
      </c>
      <c r="F244"/>
    </row>
    <row r="245" spans="1:6" x14ac:dyDescent="0.25">
      <c r="A245" s="21">
        <f t="shared" si="7"/>
        <v>0.24291335203420927</v>
      </c>
      <c r="C245" s="21" t="str">
        <f t="shared" si="6"/>
        <v>B</v>
      </c>
      <c r="D245">
        <v>86</v>
      </c>
      <c r="E245">
        <v>106.89054827494201</v>
      </c>
      <c r="F245"/>
    </row>
    <row r="246" spans="1:6" x14ac:dyDescent="0.25">
      <c r="A246" s="21">
        <f t="shared" si="7"/>
        <v>0.34556963162893672</v>
      </c>
      <c r="C246" s="21" t="str">
        <f t="shared" si="6"/>
        <v>B</v>
      </c>
      <c r="D246">
        <v>79</v>
      </c>
      <c r="E246">
        <v>106.30000089868599</v>
      </c>
      <c r="F246"/>
    </row>
    <row r="247" spans="1:6" x14ac:dyDescent="0.25">
      <c r="A247" s="21">
        <f t="shared" si="7"/>
        <v>-0.15245097259041862</v>
      </c>
      <c r="C247" s="21" t="str">
        <f t="shared" si="6"/>
        <v>A</v>
      </c>
      <c r="D247">
        <v>160</v>
      </c>
      <c r="E247">
        <v>135.60784438553301</v>
      </c>
      <c r="F247"/>
    </row>
    <row r="248" spans="1:6" x14ac:dyDescent="0.25">
      <c r="A248" s="21">
        <f t="shared" si="7"/>
        <v>-0.1172559556763777</v>
      </c>
      <c r="C248" s="21" t="str">
        <f t="shared" si="6"/>
        <v>A</v>
      </c>
      <c r="D248">
        <v>135</v>
      </c>
      <c r="E248">
        <v>119.17044598368901</v>
      </c>
      <c r="F248"/>
    </row>
    <row r="249" spans="1:6" x14ac:dyDescent="0.25">
      <c r="A249" s="21">
        <f t="shared" si="7"/>
        <v>-7.0123603070266993E-2</v>
      </c>
      <c r="C249" s="21" t="str">
        <f t="shared" si="6"/>
        <v>A</v>
      </c>
      <c r="D249">
        <v>106</v>
      </c>
      <c r="E249">
        <v>98.566898074551702</v>
      </c>
      <c r="F249"/>
    </row>
    <row r="250" spans="1:6" x14ac:dyDescent="0.25">
      <c r="A250" s="21">
        <f t="shared" si="7"/>
        <v>0.29110682013760014</v>
      </c>
      <c r="C250" s="21" t="str">
        <f t="shared" si="6"/>
        <v>B</v>
      </c>
      <c r="D250">
        <v>80</v>
      </c>
      <c r="E250">
        <v>103.288545611008</v>
      </c>
    </row>
    <row r="251" spans="1:6" x14ac:dyDescent="0.25">
      <c r="A251" s="21">
        <f t="shared" si="7"/>
        <v>5.7983472282252535E-5</v>
      </c>
      <c r="C251" s="21" t="str">
        <f t="shared" si="6"/>
        <v>A</v>
      </c>
      <c r="D251">
        <v>124</v>
      </c>
      <c r="E251">
        <v>124.007189950563</v>
      </c>
      <c r="F251"/>
    </row>
    <row r="252" spans="1:6" x14ac:dyDescent="0.25">
      <c r="A252" s="21">
        <f t="shared" si="7"/>
        <v>9.4973991352366172E-2</v>
      </c>
      <c r="C252" s="21" t="str">
        <f t="shared" si="6"/>
        <v>A</v>
      </c>
      <c r="D252">
        <v>112</v>
      </c>
      <c r="E252">
        <v>122.637087031465</v>
      </c>
      <c r="F252"/>
    </row>
    <row r="253" spans="1:6" x14ac:dyDescent="0.25">
      <c r="A253" s="21">
        <f t="shared" si="7"/>
        <v>0.16303609279607278</v>
      </c>
      <c r="C253" s="21" t="str">
        <f t="shared" si="6"/>
        <v>A</v>
      </c>
      <c r="D253">
        <v>96</v>
      </c>
      <c r="E253">
        <v>111.65146490842299</v>
      </c>
      <c r="F253"/>
    </row>
    <row r="254" spans="1:6" x14ac:dyDescent="0.25">
      <c r="A254" s="21">
        <f t="shared" si="7"/>
        <v>0.35513930324741549</v>
      </c>
      <c r="C254" s="21" t="str">
        <f t="shared" si="6"/>
        <v>B</v>
      </c>
      <c r="D254">
        <v>77</v>
      </c>
      <c r="E254">
        <v>104.345726350051</v>
      </c>
      <c r="F254"/>
    </row>
    <row r="255" spans="1:6" x14ac:dyDescent="0.25">
      <c r="A255" s="21">
        <f t="shared" si="7"/>
        <v>-0.15181187883968605</v>
      </c>
      <c r="C255" s="21" t="str">
        <f t="shared" si="6"/>
        <v>A</v>
      </c>
      <c r="D255">
        <v>137</v>
      </c>
      <c r="E255">
        <v>116.201772598963</v>
      </c>
      <c r="F255"/>
    </row>
    <row r="256" spans="1:6" x14ac:dyDescent="0.25">
      <c r="A256" s="21">
        <f t="shared" si="7"/>
        <v>0.16919169719667693</v>
      </c>
      <c r="C256" s="21" t="str">
        <f t="shared" si="6"/>
        <v>A</v>
      </c>
      <c r="D256">
        <v>130</v>
      </c>
      <c r="E256">
        <v>151.99492063556801</v>
      </c>
      <c r="F256"/>
    </row>
    <row r="257" spans="1:6" x14ac:dyDescent="0.25">
      <c r="A257" s="21">
        <f t="shared" si="7"/>
        <v>-0.14181505901681002</v>
      </c>
      <c r="C257" s="21" t="str">
        <f t="shared" si="6"/>
        <v>A</v>
      </c>
      <c r="D257">
        <v>121</v>
      </c>
      <c r="E257">
        <v>103.84037785896599</v>
      </c>
      <c r="F257"/>
    </row>
    <row r="258" spans="1:6" x14ac:dyDescent="0.25">
      <c r="A258" s="21">
        <f t="shared" si="7"/>
        <v>5.2192405493836302E-2</v>
      </c>
      <c r="C258" s="21" t="str">
        <f t="shared" si="6"/>
        <v>A</v>
      </c>
      <c r="D258">
        <v>91</v>
      </c>
      <c r="E258">
        <v>95.749508899939102</v>
      </c>
      <c r="F258"/>
    </row>
    <row r="259" spans="1:6" x14ac:dyDescent="0.25">
      <c r="A259" s="21">
        <f t="shared" si="7"/>
        <v>0.1137896587741678</v>
      </c>
      <c r="C259" s="21" t="str">
        <f t="shared" si="6"/>
        <v>A</v>
      </c>
      <c r="D259">
        <v>137</v>
      </c>
      <c r="E259">
        <v>152.58918325206099</v>
      </c>
      <c r="F259"/>
    </row>
    <row r="260" spans="1:6" x14ac:dyDescent="0.25">
      <c r="A260" s="21">
        <f t="shared" si="7"/>
        <v>6.9013540941184948E-2</v>
      </c>
      <c r="C260" s="21" t="str">
        <f t="shared" si="6"/>
        <v>A</v>
      </c>
      <c r="D260">
        <v>119</v>
      </c>
      <c r="E260">
        <v>127.21261137200101</v>
      </c>
      <c r="F260"/>
    </row>
    <row r="261" spans="1:6" x14ac:dyDescent="0.25">
      <c r="A261" s="21">
        <f t="shared" si="7"/>
        <v>5.1307261672262516E-2</v>
      </c>
      <c r="C261" s="21" t="str">
        <f t="shared" si="6"/>
        <v>A</v>
      </c>
      <c r="D261">
        <v>99</v>
      </c>
      <c r="E261">
        <v>104.07941890555399</v>
      </c>
      <c r="F261"/>
    </row>
    <row r="263" spans="1:6" x14ac:dyDescent="0.25">
      <c r="F263"/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3"/>
  <sheetViews>
    <sheetView topLeftCell="D31" zoomScale="80" zoomScaleNormal="80" workbookViewId="0">
      <selection activeCell="Q37" sqref="Q37:T39"/>
    </sheetView>
  </sheetViews>
  <sheetFormatPr defaultRowHeight="16.5" x14ac:dyDescent="0.25"/>
  <cols>
    <col min="1" max="1" width="9" style="1"/>
    <col min="2" max="2" width="8.5" style="1" customWidth="1"/>
    <col min="3" max="3" width="7" style="1" customWidth="1"/>
    <col min="4" max="4" width="9" style="1"/>
    <col min="5" max="8" width="12.125" style="1" customWidth="1"/>
    <col min="9" max="9" width="13.125" style="1" customWidth="1"/>
    <col min="10" max="10" width="14.125" style="1" customWidth="1"/>
    <col min="11" max="12" width="13.25" style="1" customWidth="1"/>
    <col min="13" max="13" width="12.375" style="1" customWidth="1"/>
    <col min="14" max="14" width="12.125" style="1" customWidth="1"/>
    <col min="15" max="15" width="11.5" style="1" customWidth="1"/>
    <col min="16" max="16" width="9" style="1"/>
    <col min="17" max="17" width="10.625" style="1" bestFit="1" customWidth="1"/>
    <col min="18" max="18" width="8.25" style="1" customWidth="1"/>
    <col min="19" max="16384" width="9" style="1"/>
  </cols>
  <sheetData>
    <row r="1" spans="4:16" x14ac:dyDescent="0.25">
      <c r="D1" s="1" t="s">
        <v>4</v>
      </c>
      <c r="H1" s="1" t="s">
        <v>5</v>
      </c>
    </row>
    <row r="2" spans="4:16" x14ac:dyDescent="0.25">
      <c r="D2" s="1" t="s">
        <v>6</v>
      </c>
      <c r="E2" s="1" t="s">
        <v>7</v>
      </c>
      <c r="F2" s="1" t="s">
        <v>8</v>
      </c>
      <c r="G2" s="1" t="s">
        <v>0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2</v>
      </c>
      <c r="P2" s="1" t="s">
        <v>0</v>
      </c>
    </row>
    <row r="3" spans="4:16" x14ac:dyDescent="0.25">
      <c r="D3" s="1">
        <v>0</v>
      </c>
      <c r="E3" s="1">
        <v>0</v>
      </c>
      <c r="H3" s="1">
        <v>50</v>
      </c>
    </row>
    <row r="4" spans="4:16" x14ac:dyDescent="0.25">
      <c r="D4" s="1">
        <v>30</v>
      </c>
      <c r="E4" s="1">
        <v>30</v>
      </c>
      <c r="H4" s="1">
        <v>50</v>
      </c>
    </row>
    <row r="5" spans="4:16" x14ac:dyDescent="0.25">
      <c r="D5" s="1">
        <v>140</v>
      </c>
      <c r="E5" s="1">
        <v>140</v>
      </c>
      <c r="H5" s="1">
        <v>170</v>
      </c>
    </row>
    <row r="6" spans="4:16" x14ac:dyDescent="0.25">
      <c r="D6" s="1">
        <v>280</v>
      </c>
      <c r="E6" s="1">
        <v>280</v>
      </c>
      <c r="H6" s="1">
        <v>380</v>
      </c>
    </row>
    <row r="7" spans="4:16" x14ac:dyDescent="0.25">
      <c r="D7" s="1">
        <v>860</v>
      </c>
      <c r="E7" s="1">
        <v>430</v>
      </c>
      <c r="H7" s="1">
        <v>1100</v>
      </c>
    </row>
    <row r="8" spans="4:16" x14ac:dyDescent="0.25">
      <c r="D8" s="1">
        <v>120</v>
      </c>
      <c r="E8" s="1">
        <v>120</v>
      </c>
      <c r="K8" s="1">
        <v>0</v>
      </c>
    </row>
    <row r="9" spans="4:16" x14ac:dyDescent="0.25">
      <c r="D9" s="1">
        <v>120</v>
      </c>
      <c r="E9" s="1">
        <v>120</v>
      </c>
      <c r="K9" s="1">
        <v>30</v>
      </c>
    </row>
    <row r="10" spans="4:16" x14ac:dyDescent="0.25">
      <c r="D10" s="1">
        <v>260</v>
      </c>
      <c r="E10" s="1">
        <v>260</v>
      </c>
      <c r="K10" s="1">
        <v>130</v>
      </c>
    </row>
    <row r="11" spans="4:16" x14ac:dyDescent="0.25">
      <c r="D11" s="1">
        <v>550</v>
      </c>
      <c r="E11" s="1">
        <v>550</v>
      </c>
      <c r="K11" s="1">
        <v>250</v>
      </c>
    </row>
    <row r="12" spans="4:16" x14ac:dyDescent="0.25">
      <c r="D12" s="1">
        <v>50</v>
      </c>
      <c r="I12" s="1">
        <v>0</v>
      </c>
    </row>
    <row r="13" spans="4:16" x14ac:dyDescent="0.25">
      <c r="D13" s="1">
        <v>50</v>
      </c>
      <c r="I13" s="1">
        <v>30</v>
      </c>
    </row>
    <row r="14" spans="4:16" x14ac:dyDescent="0.25">
      <c r="D14" s="1">
        <v>170</v>
      </c>
      <c r="I14" s="1">
        <v>145</v>
      </c>
    </row>
    <row r="15" spans="4:16" x14ac:dyDescent="0.25">
      <c r="D15" s="1">
        <v>385</v>
      </c>
      <c r="I15" s="1">
        <v>300</v>
      </c>
    </row>
    <row r="16" spans="4:16" x14ac:dyDescent="0.25">
      <c r="D16" s="1">
        <v>550</v>
      </c>
      <c r="I16" s="1">
        <v>450</v>
      </c>
    </row>
    <row r="17" spans="4:14" x14ac:dyDescent="0.25">
      <c r="D17" s="1">
        <v>0</v>
      </c>
      <c r="J17" s="1">
        <v>60</v>
      </c>
    </row>
    <row r="18" spans="4:14" x14ac:dyDescent="0.25">
      <c r="D18" s="1">
        <v>30</v>
      </c>
      <c r="J18" s="1">
        <v>60</v>
      </c>
    </row>
    <row r="19" spans="4:14" x14ac:dyDescent="0.25">
      <c r="D19" s="1">
        <v>50</v>
      </c>
      <c r="J19" s="1">
        <v>80</v>
      </c>
    </row>
    <row r="20" spans="4:14" x14ac:dyDescent="0.25">
      <c r="D20" s="1">
        <v>70</v>
      </c>
      <c r="J20" s="1">
        <v>110</v>
      </c>
    </row>
    <row r="21" spans="4:14" x14ac:dyDescent="0.25">
      <c r="D21" s="1">
        <v>520</v>
      </c>
      <c r="J21" s="1">
        <v>1100</v>
      </c>
    </row>
    <row r="22" spans="4:14" x14ac:dyDescent="0.25">
      <c r="D22" s="1">
        <v>250</v>
      </c>
      <c r="M22" s="1">
        <v>0</v>
      </c>
    </row>
    <row r="23" spans="4:14" x14ac:dyDescent="0.25">
      <c r="D23" s="1">
        <v>250</v>
      </c>
      <c r="M23" s="1">
        <v>40</v>
      </c>
    </row>
    <row r="24" spans="4:14" x14ac:dyDescent="0.25">
      <c r="D24" s="1">
        <v>550</v>
      </c>
      <c r="M24" s="1">
        <v>150</v>
      </c>
    </row>
    <row r="25" spans="4:14" x14ac:dyDescent="0.25">
      <c r="D25" s="1">
        <v>0</v>
      </c>
      <c r="L25" s="1">
        <v>100</v>
      </c>
    </row>
    <row r="26" spans="4:14" x14ac:dyDescent="0.25">
      <c r="D26" s="1">
        <v>25</v>
      </c>
      <c r="L26" s="1">
        <v>100</v>
      </c>
    </row>
    <row r="27" spans="4:14" x14ac:dyDescent="0.25">
      <c r="D27" s="1">
        <v>50</v>
      </c>
      <c r="L27" s="1">
        <v>125</v>
      </c>
    </row>
    <row r="28" spans="4:14" x14ac:dyDescent="0.25">
      <c r="D28" s="1">
        <v>80</v>
      </c>
      <c r="L28" s="1">
        <v>215</v>
      </c>
    </row>
    <row r="29" spans="4:14" x14ac:dyDescent="0.25">
      <c r="D29" s="1">
        <v>250</v>
      </c>
      <c r="L29" s="1">
        <v>1100</v>
      </c>
    </row>
    <row r="30" spans="4:14" x14ac:dyDescent="0.25">
      <c r="D30" s="1">
        <v>0</v>
      </c>
      <c r="N30" s="1">
        <v>150</v>
      </c>
    </row>
    <row r="31" spans="4:14" x14ac:dyDescent="0.25">
      <c r="D31" s="1">
        <v>35</v>
      </c>
      <c r="N31" s="1">
        <v>155</v>
      </c>
    </row>
    <row r="32" spans="4:14" x14ac:dyDescent="0.25">
      <c r="D32" s="1">
        <v>100</v>
      </c>
      <c r="N32" s="1">
        <v>1100</v>
      </c>
    </row>
    <row r="33" spans="1:20" x14ac:dyDescent="0.25">
      <c r="D33" s="1">
        <v>0</v>
      </c>
      <c r="O33" s="1">
        <v>0</v>
      </c>
    </row>
    <row r="34" spans="1:20" x14ac:dyDescent="0.25">
      <c r="D34" s="1">
        <v>550</v>
      </c>
      <c r="O34" s="1">
        <v>550</v>
      </c>
    </row>
    <row r="36" spans="1:20" ht="17.25" thickBot="1" x14ac:dyDescent="0.3"/>
    <row r="37" spans="1:20" ht="17.25" x14ac:dyDescent="0.25">
      <c r="D37" s="2" t="s">
        <v>18</v>
      </c>
      <c r="E37" s="15" t="s">
        <v>42</v>
      </c>
      <c r="F37" s="15" t="s">
        <v>34</v>
      </c>
      <c r="G37" s="15" t="s">
        <v>35</v>
      </c>
      <c r="H37" s="15" t="s">
        <v>54</v>
      </c>
      <c r="I37" s="15" t="s">
        <v>55</v>
      </c>
      <c r="J37" s="15" t="s">
        <v>56</v>
      </c>
      <c r="K37" s="15" t="s">
        <v>57</v>
      </c>
      <c r="L37" s="15" t="s">
        <v>58</v>
      </c>
      <c r="M37" s="15" t="s">
        <v>59</v>
      </c>
      <c r="N37" s="15" t="s">
        <v>60</v>
      </c>
      <c r="O37" s="15" t="s">
        <v>61</v>
      </c>
      <c r="P37" s="22" t="s">
        <v>62</v>
      </c>
      <c r="Q37" s="24"/>
      <c r="R37" s="25" t="s">
        <v>64</v>
      </c>
      <c r="S37" s="25" t="s">
        <v>65</v>
      </c>
      <c r="T37" s="26" t="s">
        <v>66</v>
      </c>
    </row>
    <row r="38" spans="1:20" ht="17.25" x14ac:dyDescent="0.25">
      <c r="A38" s="21">
        <f>E38/D38-1</f>
        <v>0.44419462601205306</v>
      </c>
      <c r="B38" t="s">
        <v>36</v>
      </c>
      <c r="C38" s="21" t="str">
        <f>IF(OR(A38&gt;=20%,A38&lt;=-20%),"B","A")</f>
        <v>B</v>
      </c>
      <c r="D38">
        <v>94</v>
      </c>
      <c r="E38">
        <v>135.75429484513299</v>
      </c>
      <c r="F38"/>
      <c r="G38" s="5"/>
      <c r="Q38" s="28" t="s">
        <v>67</v>
      </c>
      <c r="R38" s="23">
        <f>COUNTIF(C38:C261,"A")</f>
        <v>125</v>
      </c>
      <c r="S38" s="23">
        <f>COUNTIF(C38:C261,"B")</f>
        <v>95</v>
      </c>
      <c r="T38" s="27">
        <v>224</v>
      </c>
    </row>
    <row r="39" spans="1:20" ht="18" thickBot="1" x14ac:dyDescent="0.3">
      <c r="A39" s="21">
        <f t="shared" ref="A39:A102" si="0">E39/D39-1</f>
        <v>-0.20085345247548458</v>
      </c>
      <c r="B39" t="s">
        <v>36</v>
      </c>
      <c r="C39" s="21" t="str">
        <f t="shared" ref="C39:C102" si="1">IF(OR(A39&gt;=20%,A39&lt;=-20%),"B","A")</f>
        <v>B</v>
      </c>
      <c r="D39">
        <v>194</v>
      </c>
      <c r="E39">
        <v>155.03443021975599</v>
      </c>
      <c r="F39"/>
      <c r="G39" s="5"/>
      <c r="Q39" s="29" t="s">
        <v>68</v>
      </c>
      <c r="R39" s="31">
        <f>R38/T38</f>
        <v>0.5580357142857143</v>
      </c>
      <c r="S39" s="31">
        <f>S38/T38</f>
        <v>0.42410714285714285</v>
      </c>
      <c r="T39" s="30">
        <f>R39+S39</f>
        <v>0.98214285714285721</v>
      </c>
    </row>
    <row r="40" spans="1:20" ht="17.25" x14ac:dyDescent="0.25">
      <c r="A40" s="21">
        <f t="shared" si="0"/>
        <v>-4.1310763520291505E-2</v>
      </c>
      <c r="B40" t="s">
        <v>36</v>
      </c>
      <c r="C40" s="21" t="str">
        <f t="shared" si="1"/>
        <v>A</v>
      </c>
      <c r="D40">
        <v>151</v>
      </c>
      <c r="E40">
        <v>144.76207470843599</v>
      </c>
      <c r="F40"/>
      <c r="G40" s="5"/>
      <c r="Q40" s="21"/>
      <c r="R40" s="21"/>
    </row>
    <row r="41" spans="1:20" ht="17.25" x14ac:dyDescent="0.25">
      <c r="A41" s="21">
        <f t="shared" si="0"/>
        <v>0.45838993660278127</v>
      </c>
      <c r="B41" t="s">
        <v>36</v>
      </c>
      <c r="C41" s="21" t="str">
        <f t="shared" si="1"/>
        <v>B</v>
      </c>
      <c r="D41">
        <v>96</v>
      </c>
      <c r="E41">
        <v>140.00543391386699</v>
      </c>
      <c r="F41"/>
      <c r="G41" s="5"/>
      <c r="Q41" s="21"/>
      <c r="R41" s="21"/>
    </row>
    <row r="42" spans="1:20" ht="17.25" x14ac:dyDescent="0.25">
      <c r="A42" s="21">
        <f t="shared" si="0"/>
        <v>8.8319102989310672E-2</v>
      </c>
      <c r="B42" t="s">
        <v>36</v>
      </c>
      <c r="C42" s="21" t="str">
        <f t="shared" si="1"/>
        <v>A</v>
      </c>
      <c r="D42">
        <v>132</v>
      </c>
      <c r="E42">
        <v>143.65812159458901</v>
      </c>
      <c r="F42"/>
      <c r="G42" s="5"/>
      <c r="Q42" s="21"/>
      <c r="R42" s="21"/>
    </row>
    <row r="43" spans="1:20" ht="17.25" x14ac:dyDescent="0.25">
      <c r="A43" s="21">
        <f t="shared" si="0"/>
        <v>0.33205400837386101</v>
      </c>
      <c r="B43" t="s">
        <v>36</v>
      </c>
      <c r="C43" s="21" t="str">
        <f t="shared" si="1"/>
        <v>B</v>
      </c>
      <c r="D43">
        <v>115</v>
      </c>
      <c r="E43">
        <v>153.18621096299401</v>
      </c>
      <c r="F43"/>
      <c r="G43" s="5"/>
      <c r="Q43" s="21"/>
      <c r="R43" s="21"/>
    </row>
    <row r="44" spans="1:20" ht="17.25" x14ac:dyDescent="0.25">
      <c r="A44" s="21">
        <f t="shared" si="0"/>
        <v>0.3683641306722556</v>
      </c>
      <c r="B44" t="s">
        <v>36</v>
      </c>
      <c r="C44" s="21" t="str">
        <f t="shared" si="1"/>
        <v>B</v>
      </c>
      <c r="D44">
        <v>90</v>
      </c>
      <c r="E44">
        <v>123.152771760503</v>
      </c>
      <c r="F44"/>
      <c r="G44" s="5"/>
      <c r="Q44" s="21"/>
      <c r="R44" s="21"/>
    </row>
    <row r="45" spans="1:20" ht="17.25" x14ac:dyDescent="0.25">
      <c r="A45" s="21">
        <f t="shared" si="0"/>
        <v>-0.1826605865370754</v>
      </c>
      <c r="B45" t="s">
        <v>36</v>
      </c>
      <c r="C45" s="21" t="str">
        <f t="shared" si="1"/>
        <v>A</v>
      </c>
      <c r="D45">
        <v>199</v>
      </c>
      <c r="E45">
        <v>162.65054327912199</v>
      </c>
      <c r="F45"/>
      <c r="G45" s="5"/>
      <c r="Q45" s="21"/>
      <c r="R45" s="21"/>
    </row>
    <row r="46" spans="1:20" ht="17.25" x14ac:dyDescent="0.25">
      <c r="A46" s="21">
        <f t="shared" si="0"/>
        <v>-0.18893304993639082</v>
      </c>
      <c r="B46" t="s">
        <v>36</v>
      </c>
      <c r="C46" s="21" t="str">
        <f t="shared" si="1"/>
        <v>A</v>
      </c>
      <c r="D46">
        <v>197</v>
      </c>
      <c r="E46">
        <v>159.780189162531</v>
      </c>
      <c r="F46"/>
      <c r="G46" s="5"/>
      <c r="Q46" s="21"/>
      <c r="R46" s="21"/>
    </row>
    <row r="47" spans="1:20" ht="17.25" x14ac:dyDescent="0.25">
      <c r="A47" s="21">
        <f t="shared" si="0"/>
        <v>0.73436232336594576</v>
      </c>
      <c r="B47" t="s">
        <v>43</v>
      </c>
      <c r="C47" s="21" t="s">
        <v>69</v>
      </c>
      <c r="D47">
        <v>92</v>
      </c>
      <c r="E47">
        <v>159.561333749667</v>
      </c>
      <c r="F47">
        <v>159.561333749667</v>
      </c>
      <c r="G47" s="5"/>
      <c r="Q47" s="21"/>
      <c r="R47" s="21"/>
    </row>
    <row r="48" spans="1:20" ht="17.25" x14ac:dyDescent="0.25">
      <c r="A48" s="21">
        <f t="shared" si="0"/>
        <v>0.50055022405794691</v>
      </c>
      <c r="B48" t="s">
        <v>43</v>
      </c>
      <c r="C48" s="21" t="str">
        <f t="shared" si="1"/>
        <v>B</v>
      </c>
      <c r="D48">
        <v>94</v>
      </c>
      <c r="E48">
        <v>141.05172106144701</v>
      </c>
      <c r="F48"/>
      <c r="G48" s="5"/>
      <c r="Q48" s="21"/>
      <c r="R48" s="21"/>
    </row>
    <row r="49" spans="1:18" ht="17.25" x14ac:dyDescent="0.25">
      <c r="A49" s="21">
        <f t="shared" si="0"/>
        <v>0.22814490520300001</v>
      </c>
      <c r="B49" t="s">
        <v>43</v>
      </c>
      <c r="C49" s="21" t="str">
        <f t="shared" si="1"/>
        <v>B</v>
      </c>
      <c r="D49">
        <v>101</v>
      </c>
      <c r="E49">
        <v>124.04263542550299</v>
      </c>
      <c r="F49"/>
      <c r="G49" s="5"/>
      <c r="Q49" s="21"/>
      <c r="R49" s="21"/>
    </row>
    <row r="50" spans="1:18" ht="17.25" x14ac:dyDescent="0.25">
      <c r="A50" s="21">
        <f t="shared" si="0"/>
        <v>0.2941439809842501</v>
      </c>
      <c r="B50" t="s">
        <v>43</v>
      </c>
      <c r="C50" s="21" t="str">
        <f t="shared" si="1"/>
        <v>B</v>
      </c>
      <c r="D50">
        <v>96</v>
      </c>
      <c r="E50">
        <v>124.237822174488</v>
      </c>
      <c r="F50"/>
      <c r="G50" s="5"/>
      <c r="Q50" s="21"/>
      <c r="R50" s="21"/>
    </row>
    <row r="51" spans="1:18" ht="17.25" x14ac:dyDescent="0.25">
      <c r="A51" s="21">
        <f t="shared" si="0"/>
        <v>0.36594137417704964</v>
      </c>
      <c r="B51" t="s">
        <v>43</v>
      </c>
      <c r="C51" s="21" t="str">
        <f t="shared" si="1"/>
        <v>B</v>
      </c>
      <c r="D51">
        <v>101</v>
      </c>
      <c r="E51">
        <v>137.96007879188201</v>
      </c>
      <c r="F51"/>
      <c r="G51" s="5"/>
      <c r="Q51" s="21"/>
      <c r="R51" s="21"/>
    </row>
    <row r="52" spans="1:18" ht="17.25" x14ac:dyDescent="0.25">
      <c r="A52" s="21">
        <f t="shared" si="0"/>
        <v>0.3466473749591521</v>
      </c>
      <c r="B52" t="s">
        <v>43</v>
      </c>
      <c r="C52" s="21" t="str">
        <f t="shared" si="1"/>
        <v>B</v>
      </c>
      <c r="D52">
        <v>92</v>
      </c>
      <c r="E52">
        <v>123.891558496242</v>
      </c>
      <c r="F52"/>
      <c r="G52" s="5"/>
      <c r="Q52" s="21"/>
      <c r="R52" s="21"/>
    </row>
    <row r="53" spans="1:18" ht="17.25" x14ac:dyDescent="0.25">
      <c r="A53" s="21">
        <f t="shared" si="0"/>
        <v>0.1164540608386635</v>
      </c>
      <c r="B53" t="s">
        <v>43</v>
      </c>
      <c r="C53" s="21" t="str">
        <f t="shared" si="1"/>
        <v>A</v>
      </c>
      <c r="D53">
        <v>104</v>
      </c>
      <c r="E53">
        <v>116.111222327221</v>
      </c>
      <c r="F53"/>
      <c r="G53" s="5"/>
      <c r="Q53" s="21"/>
      <c r="R53" s="21"/>
    </row>
    <row r="54" spans="1:18" ht="17.25" x14ac:dyDescent="0.25">
      <c r="A54" s="21">
        <f t="shared" si="0"/>
        <v>0.11487107681415964</v>
      </c>
      <c r="B54" t="s">
        <v>43</v>
      </c>
      <c r="C54" s="21" t="str">
        <f t="shared" si="1"/>
        <v>A</v>
      </c>
      <c r="D54">
        <v>94</v>
      </c>
      <c r="E54">
        <v>104.797881220531</v>
      </c>
      <c r="F54"/>
      <c r="G54" s="5"/>
      <c r="Q54" s="21"/>
      <c r="R54" s="21"/>
    </row>
    <row r="55" spans="1:18" ht="17.25" x14ac:dyDescent="0.25">
      <c r="A55" s="21">
        <f t="shared" si="0"/>
        <v>0.14820265580723446</v>
      </c>
      <c r="B55" t="s">
        <v>43</v>
      </c>
      <c r="C55" s="21" t="str">
        <f t="shared" si="1"/>
        <v>A</v>
      </c>
      <c r="D55">
        <v>145</v>
      </c>
      <c r="E55">
        <v>166.48938509204899</v>
      </c>
      <c r="F55"/>
      <c r="G55" s="5"/>
      <c r="Q55" s="21"/>
      <c r="R55" s="21"/>
    </row>
    <row r="56" spans="1:18" ht="17.25" x14ac:dyDescent="0.25">
      <c r="A56" s="21">
        <f t="shared" si="0"/>
        <v>3.8714580954589906E-2</v>
      </c>
      <c r="B56" t="s">
        <v>43</v>
      </c>
      <c r="C56" s="21" t="str">
        <f t="shared" si="1"/>
        <v>A</v>
      </c>
      <c r="D56">
        <v>139</v>
      </c>
      <c r="E56">
        <v>144.38132675268801</v>
      </c>
      <c r="F56"/>
      <c r="G56" s="5"/>
      <c r="Q56" s="21"/>
      <c r="R56" s="21"/>
    </row>
    <row r="57" spans="1:18" ht="17.25" x14ac:dyDescent="0.25">
      <c r="A57" s="21">
        <f t="shared" si="0"/>
        <v>0.15468589401686073</v>
      </c>
      <c r="B57" t="s">
        <v>43</v>
      </c>
      <c r="C57" s="21" t="str">
        <f t="shared" si="1"/>
        <v>A</v>
      </c>
      <c r="D57">
        <v>115</v>
      </c>
      <c r="E57">
        <v>132.78887781193899</v>
      </c>
      <c r="F57"/>
      <c r="G57" s="5"/>
      <c r="Q57" s="21"/>
      <c r="R57" s="21"/>
    </row>
    <row r="58" spans="1:18" x14ac:dyDescent="0.25">
      <c r="A58" s="21">
        <f t="shared" si="0"/>
        <v>0.1217025819962112</v>
      </c>
      <c r="B58" t="s">
        <v>44</v>
      </c>
      <c r="C58" s="21" t="str">
        <f t="shared" si="1"/>
        <v>A</v>
      </c>
      <c r="D58">
        <v>90</v>
      </c>
      <c r="E58">
        <v>100.953232379659</v>
      </c>
      <c r="F58"/>
      <c r="G58"/>
      <c r="Q58" s="21"/>
      <c r="R58" s="21"/>
    </row>
    <row r="59" spans="1:18" x14ac:dyDescent="0.25">
      <c r="A59" s="21">
        <f t="shared" si="0"/>
        <v>-7.8018902089905473E-2</v>
      </c>
      <c r="B59" t="s">
        <v>44</v>
      </c>
      <c r="C59" s="21" t="str">
        <f t="shared" si="1"/>
        <v>A</v>
      </c>
      <c r="D59">
        <v>137.5</v>
      </c>
      <c r="E59">
        <v>126.772400962638</v>
      </c>
      <c r="F59"/>
      <c r="G59"/>
      <c r="Q59" s="21"/>
      <c r="R59" s="21"/>
    </row>
    <row r="60" spans="1:18" x14ac:dyDescent="0.25">
      <c r="A60" s="21">
        <f t="shared" si="0"/>
        <v>2.6843361910893204E-3</v>
      </c>
      <c r="B60" t="s">
        <v>44</v>
      </c>
      <c r="C60" s="21" t="str">
        <f t="shared" si="1"/>
        <v>A</v>
      </c>
      <c r="D60">
        <v>106.5</v>
      </c>
      <c r="E60">
        <v>106.78588180435101</v>
      </c>
      <c r="F60"/>
      <c r="G60"/>
      <c r="Q60" s="21"/>
      <c r="R60" s="21"/>
    </row>
    <row r="61" spans="1:18" x14ac:dyDescent="0.25">
      <c r="A61" s="21">
        <f t="shared" si="0"/>
        <v>9.0767037016485252E-2</v>
      </c>
      <c r="B61" t="s">
        <v>44</v>
      </c>
      <c r="C61" s="21" t="str">
        <f t="shared" si="1"/>
        <v>A</v>
      </c>
      <c r="D61">
        <v>101</v>
      </c>
      <c r="E61">
        <v>110.167470738665</v>
      </c>
      <c r="F61"/>
      <c r="G61"/>
      <c r="Q61" s="21"/>
      <c r="R61" s="21"/>
    </row>
    <row r="62" spans="1:18" ht="17.25" x14ac:dyDescent="0.25">
      <c r="A62" s="21">
        <f t="shared" si="0"/>
        <v>-6.0186548568103793E-2</v>
      </c>
      <c r="B62" t="s">
        <v>45</v>
      </c>
      <c r="C62" s="21" t="str">
        <f t="shared" si="1"/>
        <v>A</v>
      </c>
      <c r="D62">
        <v>212</v>
      </c>
      <c r="E62">
        <v>199.240451703562</v>
      </c>
      <c r="F62"/>
      <c r="G62" s="5"/>
      <c r="H62"/>
      <c r="Q62" s="21"/>
      <c r="R62" s="21"/>
    </row>
    <row r="63" spans="1:18" ht="17.25" x14ac:dyDescent="0.25">
      <c r="A63" s="21">
        <f t="shared" si="0"/>
        <v>-0.14711942203342243</v>
      </c>
      <c r="B63" t="s">
        <v>45</v>
      </c>
      <c r="C63" s="21" t="str">
        <f t="shared" si="1"/>
        <v>A</v>
      </c>
      <c r="D63">
        <v>258</v>
      </c>
      <c r="E63">
        <v>220.043189115377</v>
      </c>
      <c r="F63"/>
      <c r="G63" s="5"/>
      <c r="H63"/>
      <c r="Q63" s="21"/>
      <c r="R63" s="21"/>
    </row>
    <row r="64" spans="1:18" ht="17.25" x14ac:dyDescent="0.25">
      <c r="A64" s="21">
        <f t="shared" si="0"/>
        <v>-0.25511186464873015</v>
      </c>
      <c r="B64" t="s">
        <v>45</v>
      </c>
      <c r="C64" s="21" t="str">
        <f t="shared" si="1"/>
        <v>B</v>
      </c>
      <c r="D64">
        <v>257.5</v>
      </c>
      <c r="E64">
        <v>191.80869485295199</v>
      </c>
      <c r="F64"/>
      <c r="G64" s="5"/>
      <c r="H64"/>
      <c r="Q64" s="21"/>
      <c r="R64" s="21"/>
    </row>
    <row r="65" spans="1:18" ht="17.25" x14ac:dyDescent="0.25">
      <c r="A65" s="21">
        <f t="shared" si="0"/>
        <v>5.6130448349158923E-2</v>
      </c>
      <c r="B65" t="s">
        <v>45</v>
      </c>
      <c r="C65" s="21" t="str">
        <f t="shared" si="1"/>
        <v>A</v>
      </c>
      <c r="D65">
        <v>204.5</v>
      </c>
      <c r="E65">
        <v>215.97867668740301</v>
      </c>
      <c r="F65"/>
      <c r="G65" s="5"/>
      <c r="H65"/>
      <c r="Q65" s="21"/>
      <c r="R65" s="21"/>
    </row>
    <row r="66" spans="1:18" ht="17.25" x14ac:dyDescent="0.25">
      <c r="A66" s="21">
        <f t="shared" si="0"/>
        <v>5.6458503942720561E-2</v>
      </c>
      <c r="B66" t="s">
        <v>45</v>
      </c>
      <c r="C66" s="21" t="str">
        <f t="shared" si="1"/>
        <v>A</v>
      </c>
      <c r="D66">
        <v>383</v>
      </c>
      <c r="E66">
        <v>404.62360701006202</v>
      </c>
      <c r="F66"/>
      <c r="G66" s="5"/>
      <c r="H66"/>
      <c r="Q66" s="21"/>
      <c r="R66" s="21"/>
    </row>
    <row r="67" spans="1:18" ht="17.25" x14ac:dyDescent="0.25">
      <c r="A67" s="21">
        <f t="shared" si="0"/>
        <v>5.4111987560673702E-2</v>
      </c>
      <c r="B67" t="s">
        <v>46</v>
      </c>
      <c r="C67" s="21" t="str">
        <f t="shared" si="1"/>
        <v>A</v>
      </c>
      <c r="D67">
        <v>96.5</v>
      </c>
      <c r="E67">
        <v>101.72180679960501</v>
      </c>
      <c r="F67"/>
      <c r="G67" s="5"/>
      <c r="I67"/>
      <c r="Q67" s="21"/>
      <c r="R67" s="21"/>
    </row>
    <row r="68" spans="1:18" ht="17.25" x14ac:dyDescent="0.25">
      <c r="A68" s="21">
        <f t="shared" si="0"/>
        <v>3.4967555182019439E-2</v>
      </c>
      <c r="B68" t="s">
        <v>46</v>
      </c>
      <c r="C68" s="21" t="str">
        <f t="shared" si="1"/>
        <v>A</v>
      </c>
      <c r="D68">
        <v>153.5</v>
      </c>
      <c r="E68">
        <v>158.86751972043999</v>
      </c>
      <c r="F68"/>
      <c r="G68" s="5"/>
      <c r="I68"/>
      <c r="Q68" s="21"/>
      <c r="R68" s="21"/>
    </row>
    <row r="69" spans="1:18" ht="17.25" x14ac:dyDescent="0.25">
      <c r="A69" s="21">
        <f t="shared" si="0"/>
        <v>4.5161898444628257E-2</v>
      </c>
      <c r="B69" t="s">
        <v>46</v>
      </c>
      <c r="C69" s="21" t="str">
        <f t="shared" si="1"/>
        <v>A</v>
      </c>
      <c r="D69">
        <v>130.5</v>
      </c>
      <c r="E69">
        <v>136.393627747024</v>
      </c>
      <c r="F69"/>
      <c r="G69" s="5"/>
      <c r="I69"/>
      <c r="Q69" s="21"/>
      <c r="R69" s="21"/>
    </row>
    <row r="70" spans="1:18" ht="17.25" x14ac:dyDescent="0.25">
      <c r="A70" s="21">
        <f t="shared" si="0"/>
        <v>-3.9687900848749402E-3</v>
      </c>
      <c r="B70" t="s">
        <v>46</v>
      </c>
      <c r="C70" s="21" t="str">
        <f t="shared" si="1"/>
        <v>A</v>
      </c>
      <c r="D70">
        <v>136</v>
      </c>
      <c r="E70">
        <v>135.46024454845701</v>
      </c>
      <c r="F70"/>
      <c r="G70" s="5"/>
      <c r="I70"/>
      <c r="Q70" s="21"/>
      <c r="R70" s="21"/>
    </row>
    <row r="71" spans="1:18" ht="17.25" x14ac:dyDescent="0.25">
      <c r="A71" s="21">
        <f t="shared" si="0"/>
        <v>2.9482998969126095E-2</v>
      </c>
      <c r="B71" t="s">
        <v>46</v>
      </c>
      <c r="C71" s="21" t="str">
        <f t="shared" si="1"/>
        <v>A</v>
      </c>
      <c r="D71">
        <v>111</v>
      </c>
      <c r="E71">
        <v>114.272612885573</v>
      </c>
      <c r="F71"/>
      <c r="G71" s="5"/>
      <c r="I71"/>
      <c r="Q71" s="21"/>
      <c r="R71" s="21"/>
    </row>
    <row r="72" spans="1:18" ht="17.25" x14ac:dyDescent="0.25">
      <c r="A72" s="21">
        <f t="shared" si="0"/>
        <v>2.120966507815969E-2</v>
      </c>
      <c r="B72" t="s">
        <v>46</v>
      </c>
      <c r="C72" s="21" t="str">
        <f t="shared" si="1"/>
        <v>A</v>
      </c>
      <c r="D72">
        <v>156.5</v>
      </c>
      <c r="E72">
        <v>159.81931258473199</v>
      </c>
      <c r="F72"/>
      <c r="G72" s="5"/>
      <c r="I72"/>
      <c r="Q72" s="21"/>
      <c r="R72" s="21"/>
    </row>
    <row r="73" spans="1:18" ht="17.25" x14ac:dyDescent="0.25">
      <c r="A73" s="21">
        <f t="shared" si="0"/>
        <v>0.60116574362462383</v>
      </c>
      <c r="B73" t="s">
        <v>46</v>
      </c>
      <c r="C73" s="21" t="str">
        <f t="shared" si="1"/>
        <v>B</v>
      </c>
      <c r="D73">
        <v>109</v>
      </c>
      <c r="E73">
        <v>174.52706605508399</v>
      </c>
      <c r="F73"/>
      <c r="G73" s="5"/>
      <c r="I73"/>
      <c r="Q73" s="21"/>
      <c r="R73" s="21"/>
    </row>
    <row r="74" spans="1:18" ht="17.25" x14ac:dyDescent="0.25">
      <c r="A74" s="21">
        <f t="shared" si="0"/>
        <v>0.17761545235310705</v>
      </c>
      <c r="B74" t="s">
        <v>46</v>
      </c>
      <c r="C74" s="21" t="str">
        <f t="shared" si="1"/>
        <v>A</v>
      </c>
      <c r="D74">
        <v>112</v>
      </c>
      <c r="E74">
        <v>131.89293066354799</v>
      </c>
      <c r="F74"/>
      <c r="G74" s="5"/>
      <c r="I74"/>
      <c r="Q74" s="21"/>
      <c r="R74" s="21"/>
    </row>
    <row r="75" spans="1:18" ht="17.25" x14ac:dyDescent="0.25">
      <c r="A75" s="21">
        <f t="shared" si="0"/>
        <v>0.22786885307441929</v>
      </c>
      <c r="B75" t="s">
        <v>46</v>
      </c>
      <c r="C75" s="21" t="str">
        <f t="shared" si="1"/>
        <v>B</v>
      </c>
      <c r="D75">
        <v>93</v>
      </c>
      <c r="E75">
        <v>114.19180333592099</v>
      </c>
      <c r="F75"/>
      <c r="G75" s="5"/>
      <c r="I75"/>
      <c r="Q75" s="21"/>
      <c r="R75" s="21"/>
    </row>
    <row r="76" spans="1:18" ht="17.25" x14ac:dyDescent="0.25">
      <c r="A76" s="21">
        <f t="shared" si="0"/>
        <v>-5.5271953686654385E-2</v>
      </c>
      <c r="B76" t="s">
        <v>46</v>
      </c>
      <c r="C76" s="21" t="str">
        <f t="shared" si="1"/>
        <v>A</v>
      </c>
      <c r="D76">
        <v>163.5</v>
      </c>
      <c r="E76">
        <v>154.463035572232</v>
      </c>
      <c r="F76"/>
      <c r="G76" s="5"/>
      <c r="I76"/>
      <c r="Q76" s="21"/>
      <c r="R76" s="21"/>
    </row>
    <row r="77" spans="1:18" ht="17.25" x14ac:dyDescent="0.25">
      <c r="A77" s="21">
        <f t="shared" si="0"/>
        <v>0.2487482478001839</v>
      </c>
      <c r="B77" t="s">
        <v>46</v>
      </c>
      <c r="C77" s="21" t="str">
        <f t="shared" si="1"/>
        <v>B</v>
      </c>
      <c r="D77">
        <v>136</v>
      </c>
      <c r="E77">
        <v>169.829761700825</v>
      </c>
      <c r="F77"/>
      <c r="G77" s="5"/>
      <c r="I77"/>
      <c r="Q77" s="21"/>
      <c r="R77" s="21"/>
    </row>
    <row r="78" spans="1:18" ht="17.25" x14ac:dyDescent="0.25">
      <c r="A78" s="21">
        <f t="shared" si="0"/>
        <v>0.4761847286178833</v>
      </c>
      <c r="B78" t="s">
        <v>46</v>
      </c>
      <c r="C78" s="21" t="str">
        <f t="shared" si="1"/>
        <v>B</v>
      </c>
      <c r="D78">
        <v>120</v>
      </c>
      <c r="E78">
        <v>177.14216743414599</v>
      </c>
      <c r="F78"/>
      <c r="G78" s="5"/>
      <c r="I78"/>
      <c r="Q78" s="21"/>
      <c r="R78" s="21"/>
    </row>
    <row r="79" spans="1:18" ht="17.25" x14ac:dyDescent="0.25">
      <c r="A79" s="21">
        <f t="shared" si="0"/>
        <v>0.22629324595237943</v>
      </c>
      <c r="B79" t="s">
        <v>47</v>
      </c>
      <c r="C79" s="21" t="str">
        <f t="shared" si="1"/>
        <v>B</v>
      </c>
      <c r="D79">
        <v>184.5</v>
      </c>
      <c r="E79">
        <v>226.251103878214</v>
      </c>
      <c r="F79"/>
      <c r="G79" s="5"/>
      <c r="J79"/>
      <c r="Q79" s="21"/>
      <c r="R79" s="21"/>
    </row>
    <row r="80" spans="1:18" ht="17.25" x14ac:dyDescent="0.25">
      <c r="A80" s="21">
        <f t="shared" si="0"/>
        <v>5.4412346760051244E-2</v>
      </c>
      <c r="B80" t="s">
        <v>47</v>
      </c>
      <c r="C80" s="21" t="str">
        <f t="shared" si="1"/>
        <v>A</v>
      </c>
      <c r="D80">
        <v>195</v>
      </c>
      <c r="E80">
        <v>205.61040761820999</v>
      </c>
      <c r="F80"/>
      <c r="G80" s="5"/>
      <c r="J80"/>
      <c r="Q80" s="21"/>
      <c r="R80" s="21"/>
    </row>
    <row r="81" spans="1:18" ht="17.25" x14ac:dyDescent="0.25">
      <c r="A81" s="21">
        <f t="shared" si="0"/>
        <v>-1.9839348980705274E-2</v>
      </c>
      <c r="B81" t="s">
        <v>47</v>
      </c>
      <c r="C81" s="21" t="str">
        <f t="shared" si="1"/>
        <v>A</v>
      </c>
      <c r="D81">
        <v>224</v>
      </c>
      <c r="E81">
        <v>219.55598582832201</v>
      </c>
      <c r="F81"/>
      <c r="G81" s="5"/>
      <c r="J81"/>
      <c r="Q81" s="21"/>
      <c r="R81" s="21"/>
    </row>
    <row r="82" spans="1:18" ht="17.25" x14ac:dyDescent="0.25">
      <c r="A82" s="21">
        <f t="shared" si="0"/>
        <v>-3.2365929253761139E-2</v>
      </c>
      <c r="B82" t="s">
        <v>47</v>
      </c>
      <c r="C82" s="21" t="str">
        <f t="shared" si="1"/>
        <v>A</v>
      </c>
      <c r="D82">
        <v>247</v>
      </c>
      <c r="E82">
        <v>239.00561547432099</v>
      </c>
      <c r="F82"/>
      <c r="G82" s="5"/>
      <c r="J82"/>
      <c r="Q82" s="21"/>
      <c r="R82" s="21"/>
    </row>
    <row r="83" spans="1:18" ht="17.25" x14ac:dyDescent="0.25">
      <c r="A83" s="21">
        <f t="shared" si="0"/>
        <v>0.29131045308358905</v>
      </c>
      <c r="B83" t="s">
        <v>47</v>
      </c>
      <c r="C83" s="21" t="str">
        <f t="shared" si="1"/>
        <v>B</v>
      </c>
      <c r="D83">
        <v>146</v>
      </c>
      <c r="E83">
        <v>188.53132615020399</v>
      </c>
      <c r="F83"/>
      <c r="G83" s="5"/>
      <c r="J83"/>
      <c r="Q83" s="21"/>
      <c r="R83" s="21"/>
    </row>
    <row r="84" spans="1:18" ht="17.25" x14ac:dyDescent="0.25">
      <c r="A84" s="21">
        <f t="shared" si="0"/>
        <v>0.2871165437503771</v>
      </c>
      <c r="B84" t="s">
        <v>47</v>
      </c>
      <c r="C84" s="21" t="str">
        <f t="shared" si="1"/>
        <v>B</v>
      </c>
      <c r="D84">
        <v>183</v>
      </c>
      <c r="E84">
        <v>235.542327506319</v>
      </c>
      <c r="F84"/>
      <c r="G84" s="5"/>
      <c r="J84"/>
      <c r="Q84" s="21"/>
      <c r="R84" s="21"/>
    </row>
    <row r="85" spans="1:18" ht="17.25" x14ac:dyDescent="0.25">
      <c r="A85" s="21">
        <f t="shared" si="0"/>
        <v>0.48319932272452215</v>
      </c>
      <c r="B85" t="s">
        <v>47</v>
      </c>
      <c r="C85" s="21" t="str">
        <f t="shared" si="1"/>
        <v>B</v>
      </c>
      <c r="D85">
        <v>159</v>
      </c>
      <c r="E85">
        <v>235.82869231319901</v>
      </c>
      <c r="F85"/>
      <c r="G85" s="5"/>
      <c r="J85"/>
      <c r="Q85" s="21"/>
      <c r="R85" s="21"/>
    </row>
    <row r="86" spans="1:18" ht="17.25" x14ac:dyDescent="0.25">
      <c r="A86" s="21">
        <f t="shared" si="0"/>
        <v>-4.2539863269330347E-2</v>
      </c>
      <c r="B86" t="s">
        <v>48</v>
      </c>
      <c r="C86" s="21" t="str">
        <f t="shared" si="1"/>
        <v>A</v>
      </c>
      <c r="D86">
        <v>99</v>
      </c>
      <c r="E86">
        <v>94.788553536336295</v>
      </c>
      <c r="F86"/>
      <c r="G86" s="5"/>
      <c r="K86"/>
      <c r="Q86" s="21"/>
      <c r="R86" s="21"/>
    </row>
    <row r="87" spans="1:18" ht="17.25" x14ac:dyDescent="0.25">
      <c r="A87" s="21">
        <f t="shared" si="0"/>
        <v>7.7149430006928643E-2</v>
      </c>
      <c r="B87" t="s">
        <v>48</v>
      </c>
      <c r="C87" s="21" t="str">
        <f t="shared" si="1"/>
        <v>A</v>
      </c>
      <c r="D87">
        <v>140</v>
      </c>
      <c r="E87">
        <v>150.80092020097001</v>
      </c>
      <c r="F87"/>
      <c r="G87" s="5"/>
      <c r="K87"/>
      <c r="Q87" s="21"/>
      <c r="R87" s="21"/>
    </row>
    <row r="88" spans="1:18" ht="17.25" x14ac:dyDescent="0.25">
      <c r="A88" s="21">
        <f t="shared" si="0"/>
        <v>0.20120564331528135</v>
      </c>
      <c r="B88" t="s">
        <v>48</v>
      </c>
      <c r="C88" s="21" t="str">
        <f t="shared" si="1"/>
        <v>B</v>
      </c>
      <c r="D88">
        <v>135</v>
      </c>
      <c r="E88">
        <v>162.16276184756299</v>
      </c>
      <c r="F88"/>
      <c r="G88" s="5"/>
      <c r="K88"/>
      <c r="Q88" s="21"/>
      <c r="R88" s="21"/>
    </row>
    <row r="89" spans="1:18" ht="17.25" x14ac:dyDescent="0.25">
      <c r="A89" s="21">
        <f t="shared" si="0"/>
        <v>0.2205931120639999</v>
      </c>
      <c r="B89" t="s">
        <v>48</v>
      </c>
      <c r="C89" s="21" t="str">
        <f t="shared" si="1"/>
        <v>B</v>
      </c>
      <c r="D89">
        <v>98</v>
      </c>
      <c r="E89">
        <v>119.61812498227199</v>
      </c>
      <c r="F89"/>
      <c r="G89" s="5"/>
      <c r="K89"/>
      <c r="Q89" s="21"/>
      <c r="R89" s="21"/>
    </row>
    <row r="90" spans="1:18" ht="17.25" x14ac:dyDescent="0.25">
      <c r="A90" s="21">
        <f t="shared" si="0"/>
        <v>2.2362743075510672E-2</v>
      </c>
      <c r="B90" t="s">
        <v>48</v>
      </c>
      <c r="C90" s="21" t="str">
        <f t="shared" si="1"/>
        <v>A</v>
      </c>
      <c r="D90">
        <v>93</v>
      </c>
      <c r="E90">
        <v>95.079735106022497</v>
      </c>
      <c r="F90"/>
      <c r="G90" s="5"/>
      <c r="K90"/>
      <c r="Q90" s="21"/>
      <c r="R90" s="21"/>
    </row>
    <row r="91" spans="1:18" ht="17.25" x14ac:dyDescent="0.25">
      <c r="A91" s="21">
        <f t="shared" si="0"/>
        <v>2.6923868811298046E-2</v>
      </c>
      <c r="B91" t="s">
        <v>48</v>
      </c>
      <c r="C91" s="21" t="str">
        <f t="shared" si="1"/>
        <v>A</v>
      </c>
      <c r="D91">
        <v>151</v>
      </c>
      <c r="E91">
        <v>155.065504190506</v>
      </c>
      <c r="F91"/>
      <c r="G91" s="5"/>
      <c r="K91"/>
      <c r="Q91" s="21"/>
      <c r="R91" s="21"/>
    </row>
    <row r="92" spans="1:18" ht="17.25" x14ac:dyDescent="0.25">
      <c r="A92" s="21">
        <f t="shared" si="0"/>
        <v>-3.0148517519573259E-2</v>
      </c>
      <c r="B92" t="s">
        <v>48</v>
      </c>
      <c r="C92" s="21" t="str">
        <f t="shared" si="1"/>
        <v>A</v>
      </c>
      <c r="D92">
        <v>164</v>
      </c>
      <c r="E92">
        <v>159.05564312678999</v>
      </c>
      <c r="F92"/>
      <c r="G92" s="5"/>
      <c r="K92"/>
      <c r="Q92" s="21"/>
      <c r="R92" s="21"/>
    </row>
    <row r="93" spans="1:18" ht="17.25" x14ac:dyDescent="0.25">
      <c r="A93" s="21">
        <f t="shared" si="0"/>
        <v>-8.6425612551250031E-2</v>
      </c>
      <c r="B93" t="s">
        <v>48</v>
      </c>
      <c r="C93" s="21" t="str">
        <f t="shared" si="1"/>
        <v>A</v>
      </c>
      <c r="D93">
        <v>128</v>
      </c>
      <c r="E93">
        <v>116.93752159344</v>
      </c>
      <c r="F93"/>
      <c r="G93" s="5"/>
      <c r="K93"/>
      <c r="Q93" s="21"/>
      <c r="R93" s="21"/>
    </row>
    <row r="94" spans="1:18" ht="17.25" x14ac:dyDescent="0.25">
      <c r="A94" s="21">
        <f t="shared" si="0"/>
        <v>0.58920811317768829</v>
      </c>
      <c r="B94" t="s">
        <v>49</v>
      </c>
      <c r="C94" s="21" t="str">
        <f t="shared" si="1"/>
        <v>B</v>
      </c>
      <c r="D94">
        <v>77</v>
      </c>
      <c r="E94">
        <v>122.369024714682</v>
      </c>
      <c r="F94"/>
      <c r="G94" s="5"/>
      <c r="L94"/>
      <c r="Q94" s="21"/>
      <c r="R94" s="21"/>
    </row>
    <row r="95" spans="1:18" ht="17.25" x14ac:dyDescent="0.25">
      <c r="A95" s="21">
        <f t="shared" si="0"/>
        <v>-3.9801710492120335E-2</v>
      </c>
      <c r="B95" t="s">
        <v>49</v>
      </c>
      <c r="C95" s="21" t="str">
        <f t="shared" si="1"/>
        <v>A</v>
      </c>
      <c r="D95">
        <v>133</v>
      </c>
      <c r="E95">
        <v>127.706372504548</v>
      </c>
      <c r="F95"/>
      <c r="G95" s="5"/>
      <c r="L95"/>
      <c r="Q95" s="21"/>
      <c r="R95" s="21"/>
    </row>
    <row r="96" spans="1:18" ht="17.25" x14ac:dyDescent="0.25">
      <c r="A96" s="21">
        <f t="shared" si="0"/>
        <v>0.28670651040806372</v>
      </c>
      <c r="B96" t="s">
        <v>49</v>
      </c>
      <c r="C96" s="21" t="str">
        <f t="shared" si="1"/>
        <v>B</v>
      </c>
      <c r="D96">
        <v>110</v>
      </c>
      <c r="E96">
        <v>141.53771614488701</v>
      </c>
      <c r="F96"/>
      <c r="G96" s="5"/>
      <c r="L96"/>
      <c r="Q96" s="21"/>
      <c r="R96" s="21"/>
    </row>
    <row r="97" spans="1:18" ht="17.25" x14ac:dyDescent="0.25">
      <c r="A97" s="21">
        <f t="shared" si="0"/>
        <v>0.34844772171071581</v>
      </c>
      <c r="B97" t="s">
        <v>49</v>
      </c>
      <c r="C97" s="21" t="str">
        <f t="shared" si="1"/>
        <v>B</v>
      </c>
      <c r="D97">
        <v>102</v>
      </c>
      <c r="E97">
        <v>137.54166761449301</v>
      </c>
      <c r="F97"/>
      <c r="G97" s="5"/>
      <c r="L97"/>
      <c r="Q97" s="21"/>
      <c r="R97" s="21"/>
    </row>
    <row r="98" spans="1:18" ht="17.25" x14ac:dyDescent="0.25">
      <c r="A98" s="21">
        <f t="shared" si="0"/>
        <v>0.54186424130560762</v>
      </c>
      <c r="B98" t="s">
        <v>49</v>
      </c>
      <c r="C98" s="21" t="str">
        <f t="shared" si="1"/>
        <v>B</v>
      </c>
      <c r="D98">
        <v>79</v>
      </c>
      <c r="E98">
        <v>121.807275063143</v>
      </c>
      <c r="F98"/>
      <c r="G98" s="5"/>
      <c r="L98"/>
      <c r="Q98" s="21"/>
      <c r="R98" s="21"/>
    </row>
    <row r="99" spans="1:18" ht="17.25" x14ac:dyDescent="0.25">
      <c r="A99" s="21">
        <f t="shared" si="0"/>
        <v>-0.16989827792356782</v>
      </c>
      <c r="B99" t="s">
        <v>49</v>
      </c>
      <c r="C99" s="21" t="str">
        <f t="shared" si="1"/>
        <v>A</v>
      </c>
      <c r="D99">
        <v>155</v>
      </c>
      <c r="E99">
        <v>128.66576692184699</v>
      </c>
      <c r="F99"/>
      <c r="G99" s="5"/>
      <c r="L99"/>
      <c r="Q99" s="21"/>
      <c r="R99" s="21"/>
    </row>
    <row r="100" spans="1:18" ht="17.25" x14ac:dyDescent="0.25">
      <c r="A100" s="21">
        <f t="shared" si="0"/>
        <v>-8.8956355096974971E-2</v>
      </c>
      <c r="B100" t="s">
        <v>49</v>
      </c>
      <c r="C100" s="21" t="str">
        <f t="shared" si="1"/>
        <v>A</v>
      </c>
      <c r="D100">
        <v>159</v>
      </c>
      <c r="E100">
        <v>144.85593953958099</v>
      </c>
      <c r="F100"/>
      <c r="G100" s="5"/>
      <c r="L100"/>
      <c r="Q100" s="21"/>
      <c r="R100" s="21"/>
    </row>
    <row r="101" spans="1:18" ht="17.25" x14ac:dyDescent="0.25">
      <c r="A101" s="21">
        <f t="shared" si="0"/>
        <v>0.24400474921949988</v>
      </c>
      <c r="B101" t="s">
        <v>49</v>
      </c>
      <c r="C101" s="21" t="str">
        <f t="shared" si="1"/>
        <v>B</v>
      </c>
      <c r="D101">
        <v>114</v>
      </c>
      <c r="E101">
        <v>141.816541411023</v>
      </c>
      <c r="F101"/>
      <c r="G101" s="5"/>
      <c r="L101"/>
      <c r="Q101" s="21"/>
      <c r="R101" s="21"/>
    </row>
    <row r="102" spans="1:18" ht="17.25" x14ac:dyDescent="0.25">
      <c r="A102" s="21">
        <f t="shared" si="0"/>
        <v>0.42887878096756626</v>
      </c>
      <c r="B102" t="s">
        <v>49</v>
      </c>
      <c r="C102" s="21" t="str">
        <f t="shared" si="1"/>
        <v>B</v>
      </c>
      <c r="D102">
        <v>136</v>
      </c>
      <c r="E102">
        <v>194.327514211589</v>
      </c>
      <c r="F102"/>
      <c r="G102" s="5"/>
      <c r="L102"/>
      <c r="Q102" s="21"/>
      <c r="R102" s="21"/>
    </row>
    <row r="103" spans="1:18" ht="17.25" x14ac:dyDescent="0.25">
      <c r="A103" s="21">
        <f t="shared" ref="A103:A167" si="2">E103/D103-1</f>
        <v>0.87200295818551998</v>
      </c>
      <c r="B103" t="s">
        <v>49</v>
      </c>
      <c r="C103" s="21" t="s">
        <v>69</v>
      </c>
      <c r="D103">
        <v>125</v>
      </c>
      <c r="E103">
        <v>234.00036977318999</v>
      </c>
      <c r="F103">
        <v>234.00036977318999</v>
      </c>
      <c r="G103" s="5"/>
      <c r="L103"/>
      <c r="Q103" s="21"/>
      <c r="R103" s="21"/>
    </row>
    <row r="104" spans="1:18" ht="17.25" x14ac:dyDescent="0.25">
      <c r="A104" s="21">
        <f t="shared" si="2"/>
        <v>0.12506192081072021</v>
      </c>
      <c r="B104" t="s">
        <v>49</v>
      </c>
      <c r="C104" s="21" t="str">
        <f t="shared" ref="C103:C166" si="3">IF(OR(A104&gt;=20%,A104&lt;=-20%),"B","A")</f>
        <v>A</v>
      </c>
      <c r="D104">
        <v>168</v>
      </c>
      <c r="E104">
        <v>189.010402696201</v>
      </c>
      <c r="F104"/>
      <c r="G104" s="5"/>
      <c r="L104"/>
      <c r="Q104" s="21"/>
      <c r="R104" s="21"/>
    </row>
    <row r="105" spans="1:18" ht="17.25" x14ac:dyDescent="0.25">
      <c r="A105" s="21">
        <f t="shared" si="2"/>
        <v>0.43997399247985802</v>
      </c>
      <c r="B105" t="s">
        <v>49</v>
      </c>
      <c r="C105" s="21" t="str">
        <f t="shared" si="3"/>
        <v>B</v>
      </c>
      <c r="D105">
        <v>148</v>
      </c>
      <c r="E105">
        <v>213.11615088701899</v>
      </c>
      <c r="F105"/>
      <c r="G105" s="5"/>
      <c r="L105"/>
      <c r="Q105" s="21"/>
      <c r="R105" s="21"/>
    </row>
    <row r="106" spans="1:18" ht="17.25" x14ac:dyDescent="0.25">
      <c r="A106" s="21">
        <f t="shared" si="2"/>
        <v>2.730641566558889E-2</v>
      </c>
      <c r="B106" t="s">
        <v>49</v>
      </c>
      <c r="C106" s="21" t="str">
        <f t="shared" si="3"/>
        <v>A</v>
      </c>
      <c r="D106">
        <v>214</v>
      </c>
      <c r="E106">
        <v>219.84357295243601</v>
      </c>
      <c r="F106"/>
      <c r="G106" s="5"/>
      <c r="L106"/>
      <c r="Q106" s="21"/>
      <c r="R106" s="21"/>
    </row>
    <row r="107" spans="1:18" ht="17.25" x14ac:dyDescent="0.25">
      <c r="A107" s="21">
        <f t="shared" si="2"/>
        <v>1.6599064563040722E-2</v>
      </c>
      <c r="B107" t="s">
        <v>49</v>
      </c>
      <c r="C107" s="21" t="str">
        <f t="shared" si="3"/>
        <v>A</v>
      </c>
      <c r="D107">
        <v>196</v>
      </c>
      <c r="E107">
        <v>199.25341665435599</v>
      </c>
      <c r="F107"/>
      <c r="G107" s="5"/>
      <c r="L107"/>
      <c r="Q107" s="21"/>
      <c r="R107" s="21"/>
    </row>
    <row r="108" spans="1:18" ht="17.25" x14ac:dyDescent="0.25">
      <c r="A108" s="21">
        <f t="shared" si="2"/>
        <v>8.9411743127167487E-2</v>
      </c>
      <c r="B108" t="s">
        <v>49</v>
      </c>
      <c r="C108" s="21" t="str">
        <f t="shared" si="3"/>
        <v>A</v>
      </c>
      <c r="D108">
        <v>203</v>
      </c>
      <c r="E108">
        <v>221.15058385481501</v>
      </c>
      <c r="F108"/>
      <c r="G108" s="5"/>
      <c r="L108"/>
      <c r="Q108" s="21"/>
      <c r="R108" s="21"/>
    </row>
    <row r="109" spans="1:18" ht="17.25" x14ac:dyDescent="0.25">
      <c r="A109" s="21">
        <f t="shared" si="2"/>
        <v>-0.1851662319555899</v>
      </c>
      <c r="B109" t="s">
        <v>49</v>
      </c>
      <c r="C109" s="21" t="str">
        <f t="shared" si="3"/>
        <v>A</v>
      </c>
      <c r="D109">
        <v>278</v>
      </c>
      <c r="E109">
        <v>226.523787516346</v>
      </c>
      <c r="F109"/>
      <c r="G109" s="5"/>
      <c r="L109"/>
      <c r="Q109" s="21"/>
      <c r="R109" s="21"/>
    </row>
    <row r="110" spans="1:18" ht="17.25" x14ac:dyDescent="0.25">
      <c r="A110" s="21">
        <f t="shared" si="2"/>
        <v>-4.1059767167254457E-2</v>
      </c>
      <c r="B110" t="s">
        <v>49</v>
      </c>
      <c r="C110" s="21" t="str">
        <f t="shared" si="3"/>
        <v>A</v>
      </c>
      <c r="D110">
        <v>228</v>
      </c>
      <c r="E110">
        <v>218.63837308586599</v>
      </c>
      <c r="F110"/>
      <c r="G110" s="5"/>
      <c r="L110"/>
      <c r="Q110" s="21"/>
      <c r="R110" s="21"/>
    </row>
    <row r="111" spans="1:18" ht="17.25" x14ac:dyDescent="0.25">
      <c r="A111" s="21">
        <f t="shared" si="2"/>
        <v>5.9572744002230671E-2</v>
      </c>
      <c r="B111" t="s">
        <v>49</v>
      </c>
      <c r="C111" s="21" t="str">
        <f t="shared" si="3"/>
        <v>A</v>
      </c>
      <c r="D111">
        <v>195</v>
      </c>
      <c r="E111">
        <v>206.61668508043499</v>
      </c>
      <c r="F111"/>
      <c r="G111" s="5"/>
      <c r="L111"/>
      <c r="Q111" s="21"/>
      <c r="R111" s="21"/>
    </row>
    <row r="112" spans="1:18" ht="17.25" x14ac:dyDescent="0.25">
      <c r="A112" s="21">
        <f t="shared" si="2"/>
        <v>-0.21410264465040629</v>
      </c>
      <c r="B112" t="s">
        <v>49</v>
      </c>
      <c r="C112" s="21" t="str">
        <f t="shared" si="3"/>
        <v>B</v>
      </c>
      <c r="D112">
        <v>253.5</v>
      </c>
      <c r="E112">
        <v>199.224979581122</v>
      </c>
      <c r="F112"/>
      <c r="G112" s="5"/>
      <c r="L112"/>
      <c r="Q112" s="21"/>
      <c r="R112" s="21"/>
    </row>
    <row r="113" spans="1:18" ht="17.25" x14ac:dyDescent="0.25">
      <c r="A113" s="21">
        <f t="shared" si="2"/>
        <v>-0.11483238362453607</v>
      </c>
      <c r="B113" t="s">
        <v>49</v>
      </c>
      <c r="C113" s="21" t="str">
        <f t="shared" si="3"/>
        <v>A</v>
      </c>
      <c r="D113">
        <v>242.5</v>
      </c>
      <c r="E113">
        <v>214.65314697105001</v>
      </c>
      <c r="F113"/>
      <c r="G113" s="5"/>
      <c r="L113"/>
      <c r="Q113" s="21"/>
      <c r="R113" s="21"/>
    </row>
    <row r="114" spans="1:18" ht="17.25" x14ac:dyDescent="0.25">
      <c r="A114" s="21">
        <f t="shared" si="2"/>
        <v>-0.22251928379456398</v>
      </c>
      <c r="B114" t="s">
        <v>49</v>
      </c>
      <c r="C114" s="21" t="str">
        <f t="shared" si="3"/>
        <v>B</v>
      </c>
      <c r="D114">
        <v>266</v>
      </c>
      <c r="E114">
        <v>206.80987051064599</v>
      </c>
      <c r="F114"/>
      <c r="G114" s="5"/>
      <c r="L114"/>
      <c r="Q114" s="21"/>
      <c r="R114" s="21"/>
    </row>
    <row r="115" spans="1:18" ht="17.25" x14ac:dyDescent="0.25">
      <c r="A115" s="21">
        <f t="shared" si="2"/>
        <v>-0.2514204575946698</v>
      </c>
      <c r="B115" t="s">
        <v>49</v>
      </c>
      <c r="C115" s="21" t="str">
        <f t="shared" si="3"/>
        <v>B</v>
      </c>
      <c r="D115">
        <v>215</v>
      </c>
      <c r="E115">
        <v>160.94460161714599</v>
      </c>
      <c r="F115"/>
      <c r="G115" s="5"/>
      <c r="L115"/>
      <c r="Q115" s="21"/>
      <c r="R115" s="21"/>
    </row>
    <row r="116" spans="1:18" ht="17.25" x14ac:dyDescent="0.25">
      <c r="A116" s="21">
        <f t="shared" si="2"/>
        <v>0.28205319853176336</v>
      </c>
      <c r="B116" t="s">
        <v>49</v>
      </c>
      <c r="C116" s="21" t="str">
        <f t="shared" si="3"/>
        <v>B</v>
      </c>
      <c r="D116">
        <v>139.5</v>
      </c>
      <c r="E116">
        <v>178.84642119518099</v>
      </c>
      <c r="F116"/>
      <c r="G116" s="5"/>
      <c r="L116"/>
      <c r="Q116" s="21"/>
      <c r="R116" s="21"/>
    </row>
    <row r="117" spans="1:18" ht="17.25" x14ac:dyDescent="0.25">
      <c r="A117" s="21">
        <f t="shared" si="2"/>
        <v>0.22269979622770064</v>
      </c>
      <c r="B117" t="s">
        <v>49</v>
      </c>
      <c r="C117" s="21" t="str">
        <f t="shared" si="3"/>
        <v>B</v>
      </c>
      <c r="D117">
        <v>187</v>
      </c>
      <c r="E117">
        <v>228.64486189458</v>
      </c>
      <c r="F117"/>
      <c r="G117" s="5"/>
      <c r="L117"/>
      <c r="Q117" s="21"/>
      <c r="R117" s="21"/>
    </row>
    <row r="118" spans="1:18" ht="17.25" x14ac:dyDescent="0.25">
      <c r="A118" s="21">
        <f t="shared" si="2"/>
        <v>-1.479608775550878E-2</v>
      </c>
      <c r="B118" t="s">
        <v>49</v>
      </c>
      <c r="C118" s="21" t="str">
        <f t="shared" si="3"/>
        <v>A</v>
      </c>
      <c r="D118">
        <v>281</v>
      </c>
      <c r="E118">
        <v>276.84229934070203</v>
      </c>
      <c r="F118"/>
      <c r="G118" s="5"/>
      <c r="L118"/>
      <c r="Q118" s="21"/>
      <c r="R118" s="21"/>
    </row>
    <row r="119" spans="1:18" ht="17.25" x14ac:dyDescent="0.25">
      <c r="A119" s="21">
        <f t="shared" si="2"/>
        <v>4.2995173697744971E-2</v>
      </c>
      <c r="B119" t="s">
        <v>49</v>
      </c>
      <c r="C119" s="21" t="str">
        <f t="shared" si="3"/>
        <v>A</v>
      </c>
      <c r="D119">
        <v>306</v>
      </c>
      <c r="E119">
        <v>319.15652315150999</v>
      </c>
      <c r="F119"/>
      <c r="G119" s="5"/>
      <c r="L119"/>
      <c r="Q119" s="21"/>
      <c r="R119" s="21"/>
    </row>
    <row r="120" spans="1:18" ht="17.25" x14ac:dyDescent="0.25">
      <c r="A120" s="21">
        <f t="shared" si="2"/>
        <v>-6.8139778871922463E-2</v>
      </c>
      <c r="B120" t="s">
        <v>49</v>
      </c>
      <c r="C120" s="21" t="str">
        <f t="shared" si="3"/>
        <v>A</v>
      </c>
      <c r="D120">
        <v>258</v>
      </c>
      <c r="E120">
        <v>240.419937051044</v>
      </c>
      <c r="F120"/>
      <c r="G120" s="5"/>
      <c r="L120"/>
      <c r="Q120" s="21"/>
      <c r="R120" s="21"/>
    </row>
    <row r="121" spans="1:18" ht="17.25" x14ac:dyDescent="0.25">
      <c r="A121" s="21">
        <f t="shared" si="2"/>
        <v>0.13637409570765091</v>
      </c>
      <c r="B121" t="s">
        <v>49</v>
      </c>
      <c r="C121" s="21" t="str">
        <f t="shared" si="3"/>
        <v>A</v>
      </c>
      <c r="D121">
        <v>212</v>
      </c>
      <c r="E121">
        <v>240.91130829002199</v>
      </c>
      <c r="F121"/>
      <c r="G121" s="5"/>
      <c r="L121"/>
      <c r="Q121" s="21"/>
      <c r="R121" s="21"/>
    </row>
    <row r="122" spans="1:18" ht="17.25" x14ac:dyDescent="0.25">
      <c r="A122" s="21">
        <f t="shared" si="2"/>
        <v>0.28131363201530091</v>
      </c>
      <c r="B122" t="s">
        <v>49</v>
      </c>
      <c r="C122" s="21" t="str">
        <f t="shared" si="3"/>
        <v>B</v>
      </c>
      <c r="D122">
        <v>186</v>
      </c>
      <c r="E122">
        <v>238.32433555484599</v>
      </c>
      <c r="F122"/>
      <c r="G122" s="5"/>
      <c r="L122"/>
      <c r="Q122" s="21"/>
      <c r="R122" s="21"/>
    </row>
    <row r="123" spans="1:18" ht="17.25" x14ac:dyDescent="0.25">
      <c r="A123" s="21">
        <f t="shared" si="2"/>
        <v>0.70734726050285524</v>
      </c>
      <c r="B123" t="s">
        <v>49</v>
      </c>
      <c r="C123" s="21" t="s">
        <v>69</v>
      </c>
      <c r="D123">
        <v>76</v>
      </c>
      <c r="E123">
        <v>129.75839179821699</v>
      </c>
      <c r="F123">
        <v>129.75839179821699</v>
      </c>
      <c r="G123" s="5"/>
      <c r="L123"/>
      <c r="Q123" s="21"/>
      <c r="R123" s="21"/>
    </row>
    <row r="124" spans="1:18" ht="17.25" x14ac:dyDescent="0.25">
      <c r="A124" s="21">
        <f t="shared" si="2"/>
        <v>0.16807156400192036</v>
      </c>
      <c r="B124" t="s">
        <v>49</v>
      </c>
      <c r="C124" s="21" t="str">
        <f t="shared" si="3"/>
        <v>A</v>
      </c>
      <c r="D124">
        <v>113</v>
      </c>
      <c r="E124">
        <v>131.99208673221699</v>
      </c>
      <c r="F124"/>
      <c r="G124" s="5"/>
      <c r="L124"/>
      <c r="Q124" s="21"/>
      <c r="R124" s="21"/>
    </row>
    <row r="125" spans="1:18" ht="17.25" x14ac:dyDescent="0.25">
      <c r="A125" s="21">
        <f t="shared" si="2"/>
        <v>0.3274250736213562</v>
      </c>
      <c r="B125" t="s">
        <v>49</v>
      </c>
      <c r="C125" s="21" t="str">
        <f t="shared" si="3"/>
        <v>B</v>
      </c>
      <c r="D125">
        <v>87</v>
      </c>
      <c r="E125">
        <v>115.485981405058</v>
      </c>
      <c r="F125"/>
      <c r="G125" s="5"/>
      <c r="L125"/>
      <c r="Q125" s="21"/>
      <c r="R125" s="21"/>
    </row>
    <row r="126" spans="1:18" ht="17.25" x14ac:dyDescent="0.25">
      <c r="A126" s="21">
        <f t="shared" si="2"/>
        <v>0.40610441252024709</v>
      </c>
      <c r="B126" t="s">
        <v>50</v>
      </c>
      <c r="C126" s="21" t="str">
        <f t="shared" si="3"/>
        <v>B</v>
      </c>
      <c r="D126">
        <v>81</v>
      </c>
      <c r="E126">
        <v>113.89445741414001</v>
      </c>
      <c r="F126"/>
      <c r="G126" s="5"/>
      <c r="M126"/>
      <c r="Q126" s="21"/>
      <c r="R126" s="21"/>
    </row>
    <row r="127" spans="1:18" x14ac:dyDescent="0.25">
      <c r="A127" s="21">
        <f t="shared" si="2"/>
        <v>0.56204530872145453</v>
      </c>
      <c r="B127" t="s">
        <v>50</v>
      </c>
      <c r="C127" s="21" t="str">
        <f t="shared" si="3"/>
        <v>B</v>
      </c>
      <c r="D127">
        <v>110</v>
      </c>
      <c r="E127">
        <v>171.82498395936</v>
      </c>
      <c r="F127"/>
      <c r="M127"/>
      <c r="Q127" s="21"/>
      <c r="R127" s="21"/>
    </row>
    <row r="128" spans="1:18" x14ac:dyDescent="0.25">
      <c r="A128" s="21">
        <f t="shared" si="2"/>
        <v>0.28611733795527927</v>
      </c>
      <c r="B128" t="s">
        <v>50</v>
      </c>
      <c r="C128" s="21" t="str">
        <f t="shared" si="3"/>
        <v>B</v>
      </c>
      <c r="D128">
        <v>111</v>
      </c>
      <c r="E128">
        <v>142.759024513036</v>
      </c>
      <c r="F128"/>
      <c r="M128"/>
      <c r="Q128" s="21"/>
      <c r="R128" s="21"/>
    </row>
    <row r="129" spans="1:18" x14ac:dyDescent="0.25">
      <c r="A129" s="21">
        <f t="shared" si="2"/>
        <v>0.63371704297170961</v>
      </c>
      <c r="B129" t="s">
        <v>50</v>
      </c>
      <c r="C129" s="21" t="str">
        <f t="shared" si="3"/>
        <v>B</v>
      </c>
      <c r="D129">
        <v>93</v>
      </c>
      <c r="E129">
        <v>151.93568499636899</v>
      </c>
      <c r="F129"/>
      <c r="M129"/>
      <c r="Q129" s="21"/>
      <c r="R129" s="21"/>
    </row>
    <row r="130" spans="1:18" x14ac:dyDescent="0.25">
      <c r="A130" s="21">
        <f t="shared" si="2"/>
        <v>4.9724261405805548E-2</v>
      </c>
      <c r="B130" t="s">
        <v>50</v>
      </c>
      <c r="C130" s="21" t="str">
        <f t="shared" si="3"/>
        <v>A</v>
      </c>
      <c r="D130">
        <v>221</v>
      </c>
      <c r="E130">
        <v>231.98906177068301</v>
      </c>
      <c r="F130"/>
      <c r="M130"/>
      <c r="Q130" s="21"/>
      <c r="R130" s="21"/>
    </row>
    <row r="131" spans="1:18" x14ac:dyDescent="0.25">
      <c r="A131" s="21">
        <f t="shared" si="2"/>
        <v>-0.23374241326484702</v>
      </c>
      <c r="B131" t="s">
        <v>50</v>
      </c>
      <c r="C131" s="21" t="str">
        <f t="shared" si="3"/>
        <v>B</v>
      </c>
      <c r="D131">
        <v>281</v>
      </c>
      <c r="E131">
        <v>215.31838187257799</v>
      </c>
      <c r="F131"/>
      <c r="M131"/>
      <c r="Q131" s="21"/>
      <c r="R131" s="21"/>
    </row>
    <row r="132" spans="1:18" x14ac:dyDescent="0.25">
      <c r="A132" s="21">
        <f t="shared" si="2"/>
        <v>-0.23796108038040775</v>
      </c>
      <c r="B132" t="s">
        <v>50</v>
      </c>
      <c r="C132" s="21" t="str">
        <f t="shared" si="3"/>
        <v>B</v>
      </c>
      <c r="D132">
        <v>287</v>
      </c>
      <c r="E132">
        <v>218.70516993082299</v>
      </c>
      <c r="F132"/>
      <c r="M132"/>
      <c r="Q132" s="21"/>
      <c r="R132" s="21"/>
    </row>
    <row r="133" spans="1:18" x14ac:dyDescent="0.25">
      <c r="A133" s="21">
        <f t="shared" si="2"/>
        <v>-9.3370230987934622E-2</v>
      </c>
      <c r="B133" t="s">
        <v>50</v>
      </c>
      <c r="C133" s="21" t="str">
        <f t="shared" si="3"/>
        <v>A</v>
      </c>
      <c r="D133">
        <v>260</v>
      </c>
      <c r="E133">
        <v>235.72373994313699</v>
      </c>
      <c r="F133"/>
      <c r="M133"/>
      <c r="Q133" s="21"/>
      <c r="R133" s="21"/>
    </row>
    <row r="134" spans="1:18" x14ac:dyDescent="0.25">
      <c r="A134" s="21">
        <f t="shared" si="2"/>
        <v>-0.11518195455436886</v>
      </c>
      <c r="B134" t="s">
        <v>51</v>
      </c>
      <c r="C134" s="21" t="str">
        <f t="shared" si="3"/>
        <v>A</v>
      </c>
      <c r="D134">
        <v>263</v>
      </c>
      <c r="E134">
        <v>232.70714595220099</v>
      </c>
      <c r="F134"/>
      <c r="N134"/>
      <c r="Q134" s="21"/>
      <c r="R134" s="21"/>
    </row>
    <row r="135" spans="1:18" x14ac:dyDescent="0.25">
      <c r="A135" s="21">
        <f t="shared" si="2"/>
        <v>-0.26964601266291643</v>
      </c>
      <c r="B135" t="s">
        <v>51</v>
      </c>
      <c r="C135" s="21" t="str">
        <f t="shared" si="3"/>
        <v>B</v>
      </c>
      <c r="D135">
        <v>323</v>
      </c>
      <c r="E135">
        <v>235.904337909878</v>
      </c>
      <c r="F135"/>
      <c r="N135"/>
      <c r="Q135" s="21"/>
      <c r="R135" s="21"/>
    </row>
    <row r="136" spans="1:18" x14ac:dyDescent="0.25">
      <c r="A136" s="21">
        <f t="shared" si="2"/>
        <v>-0.13808861810086659</v>
      </c>
      <c r="B136" t="s">
        <v>51</v>
      </c>
      <c r="C136" s="21" t="str">
        <f t="shared" si="3"/>
        <v>A</v>
      </c>
      <c r="D136">
        <v>150</v>
      </c>
      <c r="E136">
        <v>129.28670728487</v>
      </c>
      <c r="F136"/>
      <c r="N136"/>
      <c r="Q136" s="21"/>
      <c r="R136" s="21"/>
    </row>
    <row r="137" spans="1:18" x14ac:dyDescent="0.25">
      <c r="A137" s="21">
        <f t="shared" si="2"/>
        <v>0.3626710304602061</v>
      </c>
      <c r="B137" t="s">
        <v>51</v>
      </c>
      <c r="C137" s="21" t="str">
        <f t="shared" si="3"/>
        <v>B</v>
      </c>
      <c r="D137">
        <v>131</v>
      </c>
      <c r="E137">
        <v>178.509904990287</v>
      </c>
      <c r="F137"/>
      <c r="N137"/>
      <c r="Q137" s="21"/>
      <c r="R137" s="21"/>
    </row>
    <row r="138" spans="1:18" x14ac:dyDescent="0.25">
      <c r="A138" s="21">
        <f t="shared" si="2"/>
        <v>-2.351689873853291E-2</v>
      </c>
      <c r="B138" t="s">
        <v>51</v>
      </c>
      <c r="C138" s="21" t="str">
        <f t="shared" si="3"/>
        <v>A</v>
      </c>
      <c r="D138">
        <v>152</v>
      </c>
      <c r="E138">
        <v>148.42543139174299</v>
      </c>
      <c r="F138"/>
      <c r="N138"/>
      <c r="Q138" s="21"/>
      <c r="R138" s="21"/>
    </row>
    <row r="139" spans="1:18" x14ac:dyDescent="0.25">
      <c r="A139" s="21">
        <f t="shared" si="2"/>
        <v>-6.9060439350352554E-2</v>
      </c>
      <c r="B139" t="s">
        <v>51</v>
      </c>
      <c r="C139" s="21" t="str">
        <f t="shared" si="3"/>
        <v>A</v>
      </c>
      <c r="D139">
        <v>156</v>
      </c>
      <c r="E139">
        <v>145.226571461345</v>
      </c>
      <c r="F139"/>
      <c r="N139"/>
      <c r="Q139" s="21"/>
      <c r="R139" s="21"/>
    </row>
    <row r="140" spans="1:18" x14ac:dyDescent="0.25">
      <c r="A140" s="21">
        <f t="shared" si="2"/>
        <v>0.27951706194726889</v>
      </c>
      <c r="B140" t="s">
        <v>51</v>
      </c>
      <c r="C140" s="21" t="str">
        <f t="shared" si="3"/>
        <v>B</v>
      </c>
      <c r="D140">
        <v>93</v>
      </c>
      <c r="E140">
        <v>118.995086761096</v>
      </c>
      <c r="F140"/>
      <c r="N140"/>
      <c r="Q140" s="21"/>
      <c r="R140" s="21"/>
    </row>
    <row r="141" spans="1:18" x14ac:dyDescent="0.25">
      <c r="A141" s="21">
        <f t="shared" si="2"/>
        <v>-5.3720869794580572E-2</v>
      </c>
      <c r="B141" t="s">
        <v>51</v>
      </c>
      <c r="C141" s="21" t="str">
        <f t="shared" si="3"/>
        <v>A</v>
      </c>
      <c r="D141">
        <v>155</v>
      </c>
      <c r="E141">
        <v>146.67326518184001</v>
      </c>
      <c r="F141"/>
      <c r="N141"/>
      <c r="Q141" s="21"/>
      <c r="R141" s="21"/>
    </row>
    <row r="142" spans="1:18" x14ac:dyDescent="0.25">
      <c r="A142" s="21">
        <f t="shared" si="2"/>
        <v>-5.9739899883449077E-2</v>
      </c>
      <c r="B142" t="s">
        <v>52</v>
      </c>
      <c r="C142" s="21" t="str">
        <f t="shared" si="3"/>
        <v>A</v>
      </c>
      <c r="D142">
        <v>147</v>
      </c>
      <c r="E142">
        <v>138.21823471713299</v>
      </c>
      <c r="F142"/>
      <c r="O142"/>
      <c r="Q142" s="21"/>
      <c r="R142" s="21"/>
    </row>
    <row r="143" spans="1:18" x14ac:dyDescent="0.25">
      <c r="A143" s="21">
        <f t="shared" si="2"/>
        <v>5.2200540783705396E-2</v>
      </c>
      <c r="B143" t="s">
        <v>52</v>
      </c>
      <c r="C143" s="21" t="str">
        <f t="shared" si="3"/>
        <v>A</v>
      </c>
      <c r="D143">
        <v>112</v>
      </c>
      <c r="E143">
        <v>117.846460567775</v>
      </c>
      <c r="F143"/>
      <c r="O143"/>
      <c r="Q143" s="21"/>
      <c r="R143" s="21"/>
    </row>
    <row r="144" spans="1:18" x14ac:dyDescent="0.25">
      <c r="A144" s="21">
        <f t="shared" si="2"/>
        <v>0.38341067682291086</v>
      </c>
      <c r="B144" t="s">
        <v>52</v>
      </c>
      <c r="C144" s="21" t="str">
        <f t="shared" si="3"/>
        <v>B</v>
      </c>
      <c r="D144">
        <v>101</v>
      </c>
      <c r="E144">
        <v>139.72447835911399</v>
      </c>
      <c r="F144"/>
      <c r="O144"/>
      <c r="Q144" s="21"/>
      <c r="R144" s="21"/>
    </row>
    <row r="145" spans="1:18" x14ac:dyDescent="0.25">
      <c r="A145" s="21">
        <f t="shared" si="2"/>
        <v>-9.7639591682040394E-2</v>
      </c>
      <c r="B145" t="s">
        <v>52</v>
      </c>
      <c r="C145" s="21" t="str">
        <f t="shared" si="3"/>
        <v>A</v>
      </c>
      <c r="D145">
        <v>173.5</v>
      </c>
      <c r="E145">
        <v>156.55953084316599</v>
      </c>
      <c r="F145"/>
      <c r="O145"/>
      <c r="Q145" s="21"/>
      <c r="R145" s="21"/>
    </row>
    <row r="146" spans="1:18" x14ac:dyDescent="0.25">
      <c r="A146" s="21">
        <f t="shared" si="2"/>
        <v>0.12791014562904968</v>
      </c>
      <c r="B146" t="s">
        <v>52</v>
      </c>
      <c r="C146" s="21" t="str">
        <f t="shared" si="3"/>
        <v>A</v>
      </c>
      <c r="D146">
        <v>141</v>
      </c>
      <c r="E146">
        <v>159.035330533696</v>
      </c>
      <c r="F146"/>
      <c r="O146"/>
      <c r="Q146" s="21"/>
      <c r="R146" s="21"/>
    </row>
    <row r="147" spans="1:18" x14ac:dyDescent="0.25">
      <c r="A147" s="21">
        <f t="shared" si="2"/>
        <v>1.4255142455223968E-3</v>
      </c>
      <c r="B147" t="s">
        <v>53</v>
      </c>
      <c r="C147" s="21" t="str">
        <f t="shared" si="3"/>
        <v>A</v>
      </c>
      <c r="D147">
        <v>157</v>
      </c>
      <c r="E147">
        <v>157.22380573654701</v>
      </c>
      <c r="F147"/>
      <c r="O147"/>
      <c r="Q147" s="21"/>
      <c r="R147" s="21"/>
    </row>
    <row r="148" spans="1:18" x14ac:dyDescent="0.25">
      <c r="A148" s="21">
        <f t="shared" si="2"/>
        <v>0.39395029411492222</v>
      </c>
      <c r="B148" t="s">
        <v>53</v>
      </c>
      <c r="C148" s="21" t="str">
        <f t="shared" si="3"/>
        <v>B</v>
      </c>
      <c r="D148">
        <v>138.25</v>
      </c>
      <c r="E148">
        <v>192.71362816138799</v>
      </c>
      <c r="F148"/>
      <c r="O148"/>
      <c r="Q148" s="21"/>
      <c r="R148" s="21"/>
    </row>
    <row r="149" spans="1:18" x14ac:dyDescent="0.25">
      <c r="A149" s="21">
        <f t="shared" si="2"/>
        <v>0.70875792891449541</v>
      </c>
      <c r="B149" t="s">
        <v>53</v>
      </c>
      <c r="C149" s="21" t="s">
        <v>71</v>
      </c>
      <c r="D149">
        <v>111</v>
      </c>
      <c r="E149">
        <v>189.672130109509</v>
      </c>
      <c r="F149">
        <v>189.672130109509</v>
      </c>
      <c r="O149"/>
      <c r="Q149" s="21"/>
      <c r="R149" s="21"/>
    </row>
    <row r="150" spans="1:18" x14ac:dyDescent="0.25">
      <c r="A150" s="21">
        <f t="shared" si="2"/>
        <v>0.48598248253347753</v>
      </c>
      <c r="B150" t="s">
        <v>53</v>
      </c>
      <c r="C150" s="21" t="str">
        <f t="shared" si="3"/>
        <v>B</v>
      </c>
      <c r="D150">
        <v>111</v>
      </c>
      <c r="E150">
        <v>164.944055561216</v>
      </c>
      <c r="F150"/>
      <c r="O150"/>
      <c r="Q150" s="21"/>
      <c r="R150" s="21"/>
    </row>
    <row r="151" spans="1:18" x14ac:dyDescent="0.25">
      <c r="A151" s="21">
        <f t="shared" si="2"/>
        <v>0.3321629433132316</v>
      </c>
      <c r="B151" t="s">
        <v>53</v>
      </c>
      <c r="C151" s="21" t="str">
        <f t="shared" si="3"/>
        <v>B</v>
      </c>
      <c r="D151">
        <v>95</v>
      </c>
      <c r="E151">
        <v>126.555479614757</v>
      </c>
      <c r="F151"/>
      <c r="O151"/>
      <c r="Q151" s="21"/>
      <c r="R151" s="21"/>
    </row>
    <row r="152" spans="1:18" x14ac:dyDescent="0.25">
      <c r="A152" s="21">
        <f t="shared" si="2"/>
        <v>6.7408613891277946E-2</v>
      </c>
      <c r="C152" s="21" t="str">
        <f t="shared" si="3"/>
        <v>A</v>
      </c>
      <c r="D152">
        <v>156.5</v>
      </c>
      <c r="E152">
        <v>167.04944807398499</v>
      </c>
      <c r="F152"/>
      <c r="Q152" s="21"/>
      <c r="R152" s="21"/>
    </row>
    <row r="153" spans="1:18" x14ac:dyDescent="0.25">
      <c r="A153" s="21">
        <f t="shared" si="2"/>
        <v>0.48269500002142252</v>
      </c>
      <c r="C153" s="21" t="str">
        <f t="shared" si="3"/>
        <v>B</v>
      </c>
      <c r="D153">
        <v>116</v>
      </c>
      <c r="E153">
        <v>171.99262000248501</v>
      </c>
      <c r="F153"/>
      <c r="Q153" s="21"/>
      <c r="R153" s="21"/>
    </row>
    <row r="154" spans="1:18" x14ac:dyDescent="0.25">
      <c r="A154" s="21">
        <f t="shared" si="2"/>
        <v>0.25354605764786764</v>
      </c>
      <c r="C154" s="21" t="str">
        <f t="shared" si="3"/>
        <v>B</v>
      </c>
      <c r="D154">
        <v>121</v>
      </c>
      <c r="E154">
        <v>151.67907297539199</v>
      </c>
      <c r="F154"/>
      <c r="Q154" s="21"/>
      <c r="R154" s="21"/>
    </row>
    <row r="155" spans="1:18" x14ac:dyDescent="0.25">
      <c r="A155" s="21">
        <f t="shared" si="2"/>
        <v>4.0436657875465354E-2</v>
      </c>
      <c r="C155" s="21" t="str">
        <f t="shared" si="3"/>
        <v>A</v>
      </c>
      <c r="D155">
        <v>108.5</v>
      </c>
      <c r="E155">
        <v>112.887377379488</v>
      </c>
      <c r="F155"/>
      <c r="Q155" s="21"/>
      <c r="R155" s="21"/>
    </row>
    <row r="156" spans="1:18" x14ac:dyDescent="0.25">
      <c r="A156" s="21">
        <f t="shared" si="2"/>
        <v>-0.29933655055744968</v>
      </c>
      <c r="C156" s="21" t="str">
        <f t="shared" si="3"/>
        <v>B</v>
      </c>
      <c r="D156">
        <v>203.5</v>
      </c>
      <c r="E156">
        <v>142.58501196155899</v>
      </c>
      <c r="F156"/>
      <c r="Q156" s="21"/>
      <c r="R156" s="21"/>
    </row>
    <row r="157" spans="1:18" x14ac:dyDescent="0.25">
      <c r="A157" s="21">
        <f t="shared" si="2"/>
        <v>-0.41398401139442964</v>
      </c>
      <c r="C157" s="21" t="str">
        <f t="shared" si="3"/>
        <v>B</v>
      </c>
      <c r="D157">
        <v>159</v>
      </c>
      <c r="E157">
        <v>93.176542188285694</v>
      </c>
      <c r="F157"/>
      <c r="Q157" s="21"/>
      <c r="R157" s="21"/>
    </row>
    <row r="158" spans="1:18" x14ac:dyDescent="0.25">
      <c r="A158" s="21">
        <f t="shared" si="2"/>
        <v>-7.0386624548037235E-2</v>
      </c>
      <c r="C158" s="21" t="str">
        <f t="shared" si="3"/>
        <v>A</v>
      </c>
      <c r="D158">
        <v>91</v>
      </c>
      <c r="E158">
        <v>84.594817166128607</v>
      </c>
      <c r="F158"/>
      <c r="Q158" s="21"/>
      <c r="R158" s="21"/>
    </row>
    <row r="159" spans="1:18" x14ac:dyDescent="0.25">
      <c r="A159" s="21">
        <f t="shared" si="2"/>
        <v>8.7967503657112145E-2</v>
      </c>
      <c r="C159" s="21" t="str">
        <f t="shared" si="3"/>
        <v>A</v>
      </c>
      <c r="D159">
        <v>87.5</v>
      </c>
      <c r="E159">
        <v>95.197156569997304</v>
      </c>
      <c r="F159"/>
      <c r="Q159" s="21"/>
      <c r="R159" s="21"/>
    </row>
    <row r="160" spans="1:18" x14ac:dyDescent="0.25">
      <c r="A160" s="21">
        <f t="shared" si="2"/>
        <v>-0.30885068420394657</v>
      </c>
      <c r="C160" s="21" t="str">
        <f t="shared" si="3"/>
        <v>B</v>
      </c>
      <c r="D160">
        <v>131</v>
      </c>
      <c r="E160">
        <v>90.540560369283</v>
      </c>
      <c r="F160"/>
      <c r="Q160" s="21"/>
      <c r="R160" s="21"/>
    </row>
    <row r="161" spans="1:18" x14ac:dyDescent="0.25">
      <c r="A161" s="21">
        <f t="shared" si="2"/>
        <v>5.2535679695795867E-2</v>
      </c>
      <c r="C161" s="21" t="str">
        <f t="shared" si="3"/>
        <v>A</v>
      </c>
      <c r="D161">
        <v>117.5</v>
      </c>
      <c r="E161">
        <v>123.672942364256</v>
      </c>
      <c r="F161"/>
      <c r="Q161" s="21"/>
      <c r="R161" s="21"/>
    </row>
    <row r="162" spans="1:18" x14ac:dyDescent="0.25">
      <c r="A162" s="21">
        <f t="shared" si="2"/>
        <v>0.33922253936123803</v>
      </c>
      <c r="C162" s="21" t="str">
        <f t="shared" si="3"/>
        <v>B</v>
      </c>
      <c r="D162">
        <v>105</v>
      </c>
      <c r="E162">
        <v>140.61836663292999</v>
      </c>
      <c r="F162"/>
      <c r="Q162" s="21"/>
      <c r="R162" s="21"/>
    </row>
    <row r="163" spans="1:18" x14ac:dyDescent="0.25">
      <c r="A163" s="21">
        <f t="shared" si="2"/>
        <v>0.11593295277391613</v>
      </c>
      <c r="C163" s="21" t="str">
        <f t="shared" si="3"/>
        <v>A</v>
      </c>
      <c r="D163">
        <v>95.5</v>
      </c>
      <c r="E163">
        <v>106.571596989909</v>
      </c>
      <c r="F163"/>
      <c r="Q163" s="21"/>
      <c r="R163" s="21"/>
    </row>
    <row r="164" spans="1:18" x14ac:dyDescent="0.25">
      <c r="A164" s="21">
        <f t="shared" si="2"/>
        <v>-0.28209745396473518</v>
      </c>
      <c r="C164" s="21" t="str">
        <f t="shared" si="3"/>
        <v>B</v>
      </c>
      <c r="D164">
        <v>219</v>
      </c>
      <c r="E164">
        <v>157.220657581723</v>
      </c>
      <c r="F164"/>
      <c r="Q164" s="21"/>
      <c r="R164" s="21"/>
    </row>
    <row r="165" spans="1:18" x14ac:dyDescent="0.25">
      <c r="A165" s="21">
        <f t="shared" si="2"/>
        <v>-0.23266040610079697</v>
      </c>
      <c r="C165" s="21" t="str">
        <f t="shared" si="3"/>
        <v>B</v>
      </c>
      <c r="D165">
        <v>197</v>
      </c>
      <c r="E165">
        <v>151.165899998143</v>
      </c>
      <c r="F165"/>
      <c r="Q165" s="21"/>
      <c r="R165" s="21"/>
    </row>
    <row r="166" spans="1:18" x14ac:dyDescent="0.25">
      <c r="A166" s="21">
        <f t="shared" si="2"/>
        <v>2.5451385331467513E-2</v>
      </c>
      <c r="C166" s="21" t="str">
        <f t="shared" si="3"/>
        <v>A</v>
      </c>
      <c r="D166">
        <v>154</v>
      </c>
      <c r="E166">
        <v>157.91951334104601</v>
      </c>
      <c r="F166"/>
      <c r="Q166" s="21"/>
      <c r="R166" s="21"/>
    </row>
    <row r="167" spans="1:18" x14ac:dyDescent="0.25">
      <c r="A167" s="21">
        <f t="shared" si="2"/>
        <v>0.43497753345713797</v>
      </c>
      <c r="C167" s="21" t="str">
        <f t="shared" ref="C167:C230" si="4">IF(OR(A167&gt;=20%,A167&lt;=-20%),"B","A")</f>
        <v>B</v>
      </c>
      <c r="D167">
        <v>87</v>
      </c>
      <c r="E167">
        <v>124.843045410771</v>
      </c>
      <c r="F167"/>
    </row>
    <row r="168" spans="1:18" x14ac:dyDescent="0.25">
      <c r="A168" s="21">
        <f t="shared" ref="A168:A231" si="5">E168/D168-1</f>
        <v>-5.2075114888948337E-2</v>
      </c>
      <c r="C168" s="21" t="str">
        <f t="shared" si="4"/>
        <v>A</v>
      </c>
      <c r="D168">
        <v>155</v>
      </c>
      <c r="E168">
        <v>146.92835719221301</v>
      </c>
      <c r="F168"/>
    </row>
    <row r="169" spans="1:18" x14ac:dyDescent="0.25">
      <c r="A169" s="21">
        <f t="shared" si="5"/>
        <v>0.12850799983969097</v>
      </c>
      <c r="C169" s="21" t="str">
        <f t="shared" si="4"/>
        <v>A</v>
      </c>
      <c r="D169">
        <v>110</v>
      </c>
      <c r="E169">
        <v>124.13587998236601</v>
      </c>
      <c r="F169"/>
    </row>
    <row r="170" spans="1:18" x14ac:dyDescent="0.25">
      <c r="A170" s="21">
        <f t="shared" si="5"/>
        <v>0.48484384945487369</v>
      </c>
      <c r="C170" s="21" t="str">
        <f t="shared" si="4"/>
        <v>B</v>
      </c>
      <c r="D170">
        <v>87</v>
      </c>
      <c r="E170">
        <v>129.18141490257401</v>
      </c>
    </row>
    <row r="171" spans="1:18" x14ac:dyDescent="0.25">
      <c r="A171" s="21">
        <f t="shared" si="5"/>
        <v>0.16297516961940905</v>
      </c>
      <c r="C171" s="21" t="str">
        <f t="shared" si="4"/>
        <v>A</v>
      </c>
      <c r="D171">
        <v>110</v>
      </c>
      <c r="E171">
        <v>127.92726865813501</v>
      </c>
      <c r="F171"/>
    </row>
    <row r="172" spans="1:18" x14ac:dyDescent="0.25">
      <c r="A172" s="21">
        <f t="shared" si="5"/>
        <v>0.20713746627806717</v>
      </c>
      <c r="C172" s="21" t="str">
        <f t="shared" si="4"/>
        <v>B</v>
      </c>
      <c r="D172">
        <v>104</v>
      </c>
      <c r="E172">
        <v>125.54229649291899</v>
      </c>
      <c r="F172"/>
    </row>
    <row r="173" spans="1:18" x14ac:dyDescent="0.25">
      <c r="A173" s="21">
        <f t="shared" si="5"/>
        <v>0.13485451629184086</v>
      </c>
      <c r="C173" s="21" t="str">
        <f t="shared" si="4"/>
        <v>A</v>
      </c>
      <c r="D173">
        <v>113</v>
      </c>
      <c r="E173">
        <v>128.23856034097801</v>
      </c>
      <c r="F173"/>
    </row>
    <row r="174" spans="1:18" x14ac:dyDescent="0.25">
      <c r="A174" s="21">
        <f t="shared" si="5"/>
        <v>-0.1269466186582584</v>
      </c>
      <c r="C174" s="21" t="str">
        <f t="shared" si="4"/>
        <v>A</v>
      </c>
      <c r="D174">
        <v>120</v>
      </c>
      <c r="E174">
        <v>104.766405761009</v>
      </c>
      <c r="F174"/>
    </row>
    <row r="175" spans="1:18" x14ac:dyDescent="0.25">
      <c r="A175" s="21">
        <f t="shared" si="5"/>
        <v>0.22428163509931243</v>
      </c>
      <c r="C175" s="21" t="str">
        <f t="shared" si="4"/>
        <v>B</v>
      </c>
      <c r="D175">
        <v>96</v>
      </c>
      <c r="E175">
        <v>117.531036969534</v>
      </c>
      <c r="F175"/>
    </row>
    <row r="176" spans="1:18" x14ac:dyDescent="0.25">
      <c r="A176" s="21">
        <f t="shared" si="5"/>
        <v>0.22445407961026187</v>
      </c>
      <c r="C176" s="21" t="str">
        <f t="shared" si="4"/>
        <v>B</v>
      </c>
      <c r="D176">
        <v>84</v>
      </c>
      <c r="E176">
        <v>102.854142687262</v>
      </c>
      <c r="F176"/>
    </row>
    <row r="177" spans="1:6" x14ac:dyDescent="0.25">
      <c r="A177" s="21">
        <f t="shared" si="5"/>
        <v>5.357851094291588E-2</v>
      </c>
      <c r="C177" s="21" t="str">
        <f t="shared" si="4"/>
        <v>A</v>
      </c>
      <c r="D177">
        <v>107</v>
      </c>
      <c r="E177">
        <v>112.73290067089199</v>
      </c>
      <c r="F177"/>
    </row>
    <row r="178" spans="1:6" x14ac:dyDescent="0.25">
      <c r="A178" s="21">
        <f t="shared" si="5"/>
        <v>0.17713379683421904</v>
      </c>
      <c r="C178" s="21" t="str">
        <f t="shared" si="4"/>
        <v>A</v>
      </c>
      <c r="D178">
        <v>105</v>
      </c>
      <c r="E178">
        <v>123.599048667593</v>
      </c>
      <c r="F178"/>
    </row>
    <row r="179" spans="1:6" x14ac:dyDescent="0.25">
      <c r="A179" s="21">
        <f t="shared" si="5"/>
        <v>0.16234342966217308</v>
      </c>
      <c r="C179" s="21" t="str">
        <f t="shared" si="4"/>
        <v>A</v>
      </c>
      <c r="D179">
        <v>82</v>
      </c>
      <c r="E179">
        <v>95.312161232298195</v>
      </c>
      <c r="F179"/>
    </row>
    <row r="180" spans="1:6" x14ac:dyDescent="0.25">
      <c r="A180" s="21">
        <f t="shared" si="5"/>
        <v>-0.16825753656125997</v>
      </c>
      <c r="C180" s="21" t="str">
        <f t="shared" si="4"/>
        <v>A</v>
      </c>
      <c r="D180">
        <v>150</v>
      </c>
      <c r="E180">
        <v>124.761369515811</v>
      </c>
      <c r="F180"/>
    </row>
    <row r="181" spans="1:6" x14ac:dyDescent="0.25">
      <c r="A181" s="21">
        <f t="shared" si="5"/>
        <v>0.13367984597882532</v>
      </c>
      <c r="C181" s="21" t="str">
        <f t="shared" si="4"/>
        <v>A</v>
      </c>
      <c r="D181">
        <v>126</v>
      </c>
      <c r="E181">
        <v>142.843660593332</v>
      </c>
      <c r="F181"/>
    </row>
    <row r="182" spans="1:6" x14ac:dyDescent="0.25">
      <c r="A182" s="21">
        <f t="shared" si="5"/>
        <v>0.32703594192354268</v>
      </c>
      <c r="C182" s="21" t="str">
        <f t="shared" si="4"/>
        <v>B</v>
      </c>
      <c r="D182">
        <v>94</v>
      </c>
      <c r="E182">
        <v>124.741378540813</v>
      </c>
      <c r="F182"/>
    </row>
    <row r="183" spans="1:6" x14ac:dyDescent="0.25">
      <c r="A183" s="21">
        <f t="shared" si="5"/>
        <v>0.32334705021803489</v>
      </c>
      <c r="C183" s="21" t="str">
        <f t="shared" si="4"/>
        <v>B</v>
      </c>
      <c r="D183">
        <v>86</v>
      </c>
      <c r="E183">
        <v>113.807846318751</v>
      </c>
      <c r="F183"/>
    </row>
    <row r="184" spans="1:6" x14ac:dyDescent="0.25">
      <c r="A184" s="21">
        <f t="shared" si="5"/>
        <v>-7.9938857191525603E-2</v>
      </c>
      <c r="C184" s="21" t="str">
        <f t="shared" si="4"/>
        <v>A</v>
      </c>
      <c r="D184">
        <v>137</v>
      </c>
      <c r="E184">
        <v>126.048376564761</v>
      </c>
      <c r="F184"/>
    </row>
    <row r="185" spans="1:6" x14ac:dyDescent="0.25">
      <c r="A185" s="21">
        <f t="shared" si="5"/>
        <v>5.2471259007120352E-2</v>
      </c>
      <c r="C185" s="21" t="str">
        <f t="shared" si="4"/>
        <v>A</v>
      </c>
      <c r="D185">
        <v>108</v>
      </c>
      <c r="E185">
        <v>113.666895972769</v>
      </c>
      <c r="F185"/>
    </row>
    <row r="186" spans="1:6" x14ac:dyDescent="0.25">
      <c r="A186" s="21">
        <f t="shared" si="5"/>
        <v>0.23141935637100008</v>
      </c>
      <c r="C186" s="21" t="str">
        <f t="shared" si="4"/>
        <v>B</v>
      </c>
      <c r="D186">
        <v>104</v>
      </c>
      <c r="E186">
        <v>128.067613062584</v>
      </c>
      <c r="F186"/>
    </row>
    <row r="187" spans="1:6" x14ac:dyDescent="0.25">
      <c r="A187" s="21">
        <f t="shared" si="5"/>
        <v>0.27200598169717494</v>
      </c>
      <c r="C187" s="21" t="str">
        <f t="shared" si="4"/>
        <v>B</v>
      </c>
      <c r="D187">
        <v>80</v>
      </c>
      <c r="E187">
        <v>101.760478535774</v>
      </c>
      <c r="F187"/>
    </row>
    <row r="188" spans="1:6" x14ac:dyDescent="0.25">
      <c r="A188" s="21">
        <f t="shared" si="5"/>
        <v>-0.27353653635048669</v>
      </c>
      <c r="C188" s="21" t="str">
        <f t="shared" si="4"/>
        <v>B</v>
      </c>
      <c r="D188">
        <v>150</v>
      </c>
      <c r="E188">
        <v>108.969519547427</v>
      </c>
      <c r="F188"/>
    </row>
    <row r="189" spans="1:6" x14ac:dyDescent="0.25">
      <c r="A189" s="21">
        <f t="shared" si="5"/>
        <v>0.57063707596741819</v>
      </c>
      <c r="C189" s="21" t="str">
        <f t="shared" si="4"/>
        <v>B</v>
      </c>
      <c r="D189">
        <v>110</v>
      </c>
      <c r="E189">
        <v>172.77007835641601</v>
      </c>
      <c r="F189"/>
    </row>
    <row r="190" spans="1:6" x14ac:dyDescent="0.25">
      <c r="A190" s="21">
        <f t="shared" si="5"/>
        <v>0.19860859400242381</v>
      </c>
      <c r="C190" s="21" t="str">
        <f t="shared" si="4"/>
        <v>A</v>
      </c>
      <c r="D190">
        <v>92</v>
      </c>
      <c r="E190">
        <v>110.271990648223</v>
      </c>
      <c r="F190"/>
    </row>
    <row r="191" spans="1:6" x14ac:dyDescent="0.25">
      <c r="A191" s="21">
        <f t="shared" si="5"/>
        <v>0.26641295215021432</v>
      </c>
      <c r="C191" s="21" t="str">
        <f t="shared" si="4"/>
        <v>B</v>
      </c>
      <c r="D191">
        <v>84</v>
      </c>
      <c r="E191">
        <v>106.378687980618</v>
      </c>
      <c r="F191"/>
    </row>
    <row r="192" spans="1:6" x14ac:dyDescent="0.25">
      <c r="A192" s="21">
        <f t="shared" si="5"/>
        <v>6.6431816262338073E-2</v>
      </c>
      <c r="C192" s="21" t="str">
        <f t="shared" si="4"/>
        <v>A</v>
      </c>
      <c r="D192">
        <v>145</v>
      </c>
      <c r="E192">
        <v>154.63261335803901</v>
      </c>
      <c r="F192"/>
    </row>
    <row r="193" spans="1:6" x14ac:dyDescent="0.25">
      <c r="A193" s="21">
        <f t="shared" si="5"/>
        <v>0.1716056646949673</v>
      </c>
      <c r="C193" s="21" t="str">
        <f t="shared" si="4"/>
        <v>A</v>
      </c>
      <c r="D193">
        <v>123</v>
      </c>
      <c r="E193">
        <v>144.10749675748099</v>
      </c>
      <c r="F193"/>
    </row>
    <row r="194" spans="1:6" x14ac:dyDescent="0.25">
      <c r="A194" s="21">
        <f t="shared" si="5"/>
        <v>0.10487593689584007</v>
      </c>
      <c r="C194" s="21" t="str">
        <f t="shared" si="4"/>
        <v>A</v>
      </c>
      <c r="D194">
        <v>100</v>
      </c>
      <c r="E194">
        <v>110.487593689584</v>
      </c>
      <c r="F194"/>
    </row>
    <row r="195" spans="1:6" x14ac:dyDescent="0.25">
      <c r="A195" s="21">
        <f t="shared" si="5"/>
        <v>0.14789488050730104</v>
      </c>
      <c r="C195" s="21" t="str">
        <f t="shared" si="4"/>
        <v>A</v>
      </c>
      <c r="D195">
        <v>87</v>
      </c>
      <c r="E195">
        <v>99.866854604135199</v>
      </c>
      <c r="F195"/>
    </row>
    <row r="196" spans="1:6" x14ac:dyDescent="0.25">
      <c r="A196" s="21">
        <f t="shared" si="5"/>
        <v>0.24008932897891855</v>
      </c>
      <c r="C196" s="21" t="str">
        <f t="shared" si="4"/>
        <v>B</v>
      </c>
      <c r="D196">
        <v>86</v>
      </c>
      <c r="E196">
        <v>106.647682292187</v>
      </c>
      <c r="F196"/>
    </row>
    <row r="197" spans="1:6" x14ac:dyDescent="0.25">
      <c r="A197" s="21">
        <f t="shared" si="5"/>
        <v>-0.12928146201703172</v>
      </c>
      <c r="C197" s="21" t="str">
        <f t="shared" si="4"/>
        <v>A</v>
      </c>
      <c r="D197">
        <v>126</v>
      </c>
      <c r="E197">
        <v>109.71053578585401</v>
      </c>
      <c r="F197"/>
    </row>
    <row r="198" spans="1:6" x14ac:dyDescent="0.25">
      <c r="A198" s="21">
        <f t="shared" si="5"/>
        <v>-3.2410398854972655E-2</v>
      </c>
      <c r="C198" s="21" t="str">
        <f t="shared" si="4"/>
        <v>A</v>
      </c>
      <c r="D198">
        <v>110</v>
      </c>
      <c r="E198">
        <v>106.434856125953</v>
      </c>
      <c r="F198"/>
    </row>
    <row r="199" spans="1:6" x14ac:dyDescent="0.25">
      <c r="A199" s="21">
        <f t="shared" si="5"/>
        <v>0.12635420724317892</v>
      </c>
      <c r="C199" s="21" t="str">
        <f t="shared" si="4"/>
        <v>A</v>
      </c>
      <c r="D199">
        <v>95</v>
      </c>
      <c r="E199">
        <v>107.003649688102</v>
      </c>
      <c r="F199"/>
    </row>
    <row r="200" spans="1:6" x14ac:dyDescent="0.25">
      <c r="A200" s="21">
        <f t="shared" si="5"/>
        <v>0.23005661296694324</v>
      </c>
      <c r="C200" s="21" t="str">
        <f t="shared" si="4"/>
        <v>B</v>
      </c>
      <c r="D200">
        <v>88</v>
      </c>
      <c r="E200">
        <v>108.244981941091</v>
      </c>
      <c r="F200"/>
    </row>
    <row r="201" spans="1:6" x14ac:dyDescent="0.25">
      <c r="A201" s="21">
        <f t="shared" si="5"/>
        <v>-6.5826039476369225E-2</v>
      </c>
      <c r="C201" s="21" t="str">
        <f t="shared" si="4"/>
        <v>A</v>
      </c>
      <c r="D201">
        <v>149</v>
      </c>
      <c r="E201">
        <v>139.19192011802099</v>
      </c>
      <c r="F201"/>
    </row>
    <row r="202" spans="1:6" x14ac:dyDescent="0.25">
      <c r="A202" s="21">
        <f t="shared" si="5"/>
        <v>-0.11754768541276928</v>
      </c>
      <c r="C202" s="21" t="str">
        <f t="shared" si="4"/>
        <v>A</v>
      </c>
      <c r="D202">
        <v>143</v>
      </c>
      <c r="E202">
        <v>126.190680985974</v>
      </c>
      <c r="F202"/>
    </row>
    <row r="203" spans="1:6" x14ac:dyDescent="0.25">
      <c r="A203" s="21">
        <f t="shared" si="5"/>
        <v>-0.18465237759472175</v>
      </c>
      <c r="C203" s="21" t="str">
        <f t="shared" si="4"/>
        <v>A</v>
      </c>
      <c r="D203">
        <v>133</v>
      </c>
      <c r="E203">
        <v>108.44123377990201</v>
      </c>
      <c r="F203"/>
    </row>
    <row r="204" spans="1:6" x14ac:dyDescent="0.25">
      <c r="A204" s="21">
        <f t="shared" si="5"/>
        <v>0.11467663304815789</v>
      </c>
      <c r="C204" s="21" t="str">
        <f t="shared" si="4"/>
        <v>A</v>
      </c>
      <c r="D204">
        <v>88</v>
      </c>
      <c r="E204">
        <v>98.091543708237893</v>
      </c>
      <c r="F204"/>
    </row>
    <row r="205" spans="1:6" x14ac:dyDescent="0.25">
      <c r="A205" s="21">
        <f t="shared" si="5"/>
        <v>0.21454474865766282</v>
      </c>
      <c r="C205" s="21" t="str">
        <f t="shared" si="4"/>
        <v>B</v>
      </c>
      <c r="D205">
        <v>83</v>
      </c>
      <c r="E205">
        <v>100.807214138586</v>
      </c>
      <c r="F205"/>
    </row>
    <row r="206" spans="1:6" x14ac:dyDescent="0.25">
      <c r="A206" s="21">
        <f t="shared" si="5"/>
        <v>-0.1841022493622867</v>
      </c>
      <c r="C206" s="21" t="str">
        <f t="shared" si="4"/>
        <v>A</v>
      </c>
      <c r="D206">
        <v>143</v>
      </c>
      <c r="E206">
        <v>116.673378341193</v>
      </c>
      <c r="F206"/>
    </row>
    <row r="207" spans="1:6" x14ac:dyDescent="0.25">
      <c r="A207" s="21">
        <f t="shared" si="5"/>
        <v>0.42609397929564019</v>
      </c>
      <c r="C207" s="21" t="str">
        <f t="shared" si="4"/>
        <v>B</v>
      </c>
      <c r="D207">
        <v>114</v>
      </c>
      <c r="E207">
        <v>162.57471363970299</v>
      </c>
      <c r="F207"/>
    </row>
    <row r="208" spans="1:6" x14ac:dyDescent="0.25">
      <c r="A208" s="21">
        <f t="shared" si="5"/>
        <v>-6.2342319718685202E-2</v>
      </c>
      <c r="C208" s="21" t="str">
        <f t="shared" si="4"/>
        <v>A</v>
      </c>
      <c r="D208">
        <v>108</v>
      </c>
      <c r="E208">
        <v>101.267029470382</v>
      </c>
      <c r="F208"/>
    </row>
    <row r="209" spans="1:6" x14ac:dyDescent="0.25">
      <c r="A209" s="21">
        <f t="shared" si="5"/>
        <v>0.56616377967760778</v>
      </c>
      <c r="C209" s="21" t="str">
        <f t="shared" si="4"/>
        <v>B</v>
      </c>
      <c r="D209">
        <v>79</v>
      </c>
      <c r="E209">
        <v>123.72693859453101</v>
      </c>
      <c r="F209"/>
    </row>
    <row r="210" spans="1:6" x14ac:dyDescent="0.25">
      <c r="A210" s="21">
        <f t="shared" si="5"/>
        <v>2.8506527037318374E-2</v>
      </c>
      <c r="C210" s="21" t="str">
        <f t="shared" si="4"/>
        <v>A</v>
      </c>
      <c r="D210">
        <v>135</v>
      </c>
      <c r="E210">
        <v>138.84838115003799</v>
      </c>
      <c r="F210"/>
    </row>
    <row r="211" spans="1:6" x14ac:dyDescent="0.25">
      <c r="A211" s="21">
        <f t="shared" si="5"/>
        <v>0.31685707539947883</v>
      </c>
      <c r="C211" s="21" t="str">
        <f t="shared" si="4"/>
        <v>B</v>
      </c>
      <c r="D211">
        <v>119</v>
      </c>
      <c r="E211">
        <v>156.70599197253799</v>
      </c>
      <c r="F211"/>
    </row>
    <row r="212" spans="1:6" x14ac:dyDescent="0.25">
      <c r="A212" s="21">
        <f t="shared" si="5"/>
        <v>0.20899555542999071</v>
      </c>
      <c r="C212" s="21" t="str">
        <f t="shared" si="4"/>
        <v>B</v>
      </c>
      <c r="D212">
        <v>107</v>
      </c>
      <c r="E212">
        <v>129.36252443100901</v>
      </c>
      <c r="F212"/>
    </row>
    <row r="213" spans="1:6" x14ac:dyDescent="0.25">
      <c r="A213" s="21">
        <f t="shared" si="5"/>
        <v>-1.5656620032493129E-2</v>
      </c>
      <c r="C213" s="21" t="str">
        <f t="shared" si="4"/>
        <v>A</v>
      </c>
      <c r="D213">
        <v>146</v>
      </c>
      <c r="E213">
        <v>143.71413347525601</v>
      </c>
      <c r="F213"/>
    </row>
    <row r="214" spans="1:6" x14ac:dyDescent="0.25">
      <c r="A214" s="21">
        <f t="shared" si="5"/>
        <v>0.15546985198467778</v>
      </c>
      <c r="C214" s="21" t="str">
        <f t="shared" si="4"/>
        <v>A</v>
      </c>
      <c r="D214">
        <v>121</v>
      </c>
      <c r="E214">
        <v>139.811852090146</v>
      </c>
      <c r="F214"/>
    </row>
    <row r="215" spans="1:6" x14ac:dyDescent="0.25">
      <c r="A215" s="21">
        <f t="shared" si="5"/>
        <v>0.19176472562783342</v>
      </c>
      <c r="C215" s="21" t="str">
        <f t="shared" si="4"/>
        <v>A</v>
      </c>
      <c r="D215">
        <v>90</v>
      </c>
      <c r="E215">
        <v>107.258825306505</v>
      </c>
      <c r="F215"/>
    </row>
    <row r="216" spans="1:6" x14ac:dyDescent="0.25">
      <c r="A216" s="21">
        <f t="shared" si="5"/>
        <v>0.22014968325840711</v>
      </c>
      <c r="C216" s="21" t="str">
        <f t="shared" si="4"/>
        <v>B</v>
      </c>
      <c r="D216">
        <v>86</v>
      </c>
      <c r="E216">
        <v>104.93287276022301</v>
      </c>
      <c r="F216"/>
    </row>
    <row r="217" spans="1:6" x14ac:dyDescent="0.25">
      <c r="A217" s="21">
        <f t="shared" si="5"/>
        <v>-0.16140639570715154</v>
      </c>
      <c r="C217" s="21" t="str">
        <f t="shared" si="4"/>
        <v>A</v>
      </c>
      <c r="D217">
        <v>132</v>
      </c>
      <c r="E217">
        <v>110.694355766656</v>
      </c>
      <c r="F217"/>
    </row>
    <row r="218" spans="1:6" x14ac:dyDescent="0.25">
      <c r="A218" s="21">
        <f t="shared" si="5"/>
        <v>0.43147172470965134</v>
      </c>
      <c r="C218" s="21" t="str">
        <f t="shared" si="4"/>
        <v>B</v>
      </c>
      <c r="D218">
        <v>109</v>
      </c>
      <c r="E218">
        <v>156.03041799335199</v>
      </c>
      <c r="F218"/>
    </row>
    <row r="219" spans="1:6" x14ac:dyDescent="0.25">
      <c r="A219" s="21">
        <f t="shared" si="5"/>
        <v>0.22479078801341057</v>
      </c>
      <c r="C219" s="21" t="str">
        <f t="shared" si="4"/>
        <v>B</v>
      </c>
      <c r="D219">
        <v>95</v>
      </c>
      <c r="E219">
        <v>116.35512486127401</v>
      </c>
      <c r="F219"/>
    </row>
    <row r="220" spans="1:6" x14ac:dyDescent="0.25">
      <c r="A220" s="21">
        <f t="shared" si="5"/>
        <v>0.23269800483156167</v>
      </c>
      <c r="C220" s="21" t="str">
        <f t="shared" si="4"/>
        <v>B</v>
      </c>
      <c r="D220">
        <v>89</v>
      </c>
      <c r="E220">
        <v>109.71012243000899</v>
      </c>
      <c r="F220"/>
    </row>
    <row r="221" spans="1:6" x14ac:dyDescent="0.25">
      <c r="A221" s="21">
        <f t="shared" si="5"/>
        <v>0.31630351289950798</v>
      </c>
      <c r="C221" s="21" t="str">
        <f t="shared" si="4"/>
        <v>B</v>
      </c>
      <c r="D221">
        <v>126</v>
      </c>
      <c r="E221">
        <v>165.854242625338</v>
      </c>
      <c r="F221"/>
    </row>
    <row r="222" spans="1:6" x14ac:dyDescent="0.25">
      <c r="A222" s="21">
        <f t="shared" si="5"/>
        <v>0.14014076790836194</v>
      </c>
      <c r="C222" s="21" t="str">
        <f t="shared" si="4"/>
        <v>A</v>
      </c>
      <c r="D222">
        <v>116</v>
      </c>
      <c r="E222">
        <v>132.25632907737</v>
      </c>
      <c r="F222"/>
    </row>
    <row r="223" spans="1:6" x14ac:dyDescent="0.25">
      <c r="A223" s="21">
        <f t="shared" si="5"/>
        <v>6.9267438698907391E-2</v>
      </c>
      <c r="C223" s="21" t="str">
        <f t="shared" si="4"/>
        <v>A</v>
      </c>
      <c r="D223">
        <v>108</v>
      </c>
      <c r="E223">
        <v>115.48088337948199</v>
      </c>
      <c r="F223"/>
    </row>
    <row r="224" spans="1:6" x14ac:dyDescent="0.25">
      <c r="A224" s="21">
        <f t="shared" si="5"/>
        <v>0.15235530865557156</v>
      </c>
      <c r="C224" s="21" t="str">
        <f t="shared" si="4"/>
        <v>A</v>
      </c>
      <c r="D224">
        <v>112</v>
      </c>
      <c r="E224">
        <v>129.063794569424</v>
      </c>
      <c r="F224"/>
    </row>
    <row r="225" spans="1:6" x14ac:dyDescent="0.25">
      <c r="A225" s="21">
        <f t="shared" si="5"/>
        <v>0.3992360103505368</v>
      </c>
      <c r="C225" s="21" t="str">
        <f t="shared" si="4"/>
        <v>B</v>
      </c>
      <c r="D225">
        <v>95</v>
      </c>
      <c r="E225">
        <v>132.927420983301</v>
      </c>
      <c r="F225"/>
    </row>
    <row r="226" spans="1:6" x14ac:dyDescent="0.25">
      <c r="A226" s="21">
        <f t="shared" si="5"/>
        <v>0.26736407324345746</v>
      </c>
      <c r="C226" s="21" t="str">
        <f t="shared" si="4"/>
        <v>B</v>
      </c>
      <c r="D226">
        <v>94</v>
      </c>
      <c r="E226">
        <v>119.132222884885</v>
      </c>
      <c r="F226"/>
    </row>
    <row r="227" spans="1:6" x14ac:dyDescent="0.25">
      <c r="A227" s="21">
        <f t="shared" si="5"/>
        <v>0.1142632722452499</v>
      </c>
      <c r="C227" s="21" t="str">
        <f t="shared" si="4"/>
        <v>A</v>
      </c>
      <c r="D227">
        <v>92</v>
      </c>
      <c r="E227">
        <v>102.512221046563</v>
      </c>
      <c r="F227"/>
    </row>
    <row r="228" spans="1:6" x14ac:dyDescent="0.25">
      <c r="A228" s="21">
        <f t="shared" si="5"/>
        <v>-7.9897105001351165E-2</v>
      </c>
      <c r="C228" s="21" t="str">
        <f t="shared" si="4"/>
        <v>A</v>
      </c>
      <c r="D228">
        <v>131</v>
      </c>
      <c r="E228">
        <v>120.533479244823</v>
      </c>
      <c r="F228"/>
    </row>
    <row r="229" spans="1:6" x14ac:dyDescent="0.25">
      <c r="A229" s="21">
        <f t="shared" si="5"/>
        <v>1.806688701604009E-2</v>
      </c>
      <c r="C229" s="21" t="str">
        <f t="shared" si="4"/>
        <v>A</v>
      </c>
      <c r="D229">
        <v>125</v>
      </c>
      <c r="E229">
        <v>127.258360877005</v>
      </c>
      <c r="F229"/>
    </row>
    <row r="230" spans="1:6" x14ac:dyDescent="0.25">
      <c r="A230" s="21">
        <f t="shared" si="5"/>
        <v>0.4749621039849905</v>
      </c>
      <c r="C230" s="21" t="str">
        <f t="shared" si="4"/>
        <v>B</v>
      </c>
      <c r="D230">
        <v>105</v>
      </c>
      <c r="E230">
        <v>154.87102091842399</v>
      </c>
      <c r="F230"/>
    </row>
    <row r="231" spans="1:6" x14ac:dyDescent="0.25">
      <c r="A231" s="21">
        <f t="shared" si="5"/>
        <v>0.276663719429314</v>
      </c>
      <c r="C231" s="21" t="str">
        <f t="shared" ref="C231:C261" si="6">IF(OR(A231&gt;=20%,A231&lt;=-20%),"B","A")</f>
        <v>B</v>
      </c>
      <c r="D231">
        <v>86</v>
      </c>
      <c r="E231">
        <v>109.79307987092101</v>
      </c>
      <c r="F231"/>
    </row>
    <row r="232" spans="1:6" x14ac:dyDescent="0.25">
      <c r="A232" s="21">
        <f t="shared" ref="A232:A261" si="7">E232/D232-1</f>
        <v>0.16291081055765888</v>
      </c>
      <c r="C232" s="21" t="str">
        <f t="shared" si="6"/>
        <v>A</v>
      </c>
      <c r="D232">
        <v>126</v>
      </c>
      <c r="E232">
        <v>146.52676213026501</v>
      </c>
      <c r="F232"/>
    </row>
    <row r="233" spans="1:6" x14ac:dyDescent="0.25">
      <c r="A233" s="21">
        <f t="shared" si="7"/>
        <v>0.30468483311374994</v>
      </c>
      <c r="C233" s="21" t="str">
        <f t="shared" si="6"/>
        <v>B</v>
      </c>
      <c r="D233">
        <v>116</v>
      </c>
      <c r="E233">
        <v>151.343440641195</v>
      </c>
      <c r="F233"/>
    </row>
    <row r="234" spans="1:6" x14ac:dyDescent="0.25">
      <c r="A234" s="21">
        <f t="shared" si="7"/>
        <v>0.49032144948583789</v>
      </c>
      <c r="C234" s="21" t="str">
        <f t="shared" si="6"/>
        <v>B</v>
      </c>
      <c r="D234">
        <v>111</v>
      </c>
      <c r="E234">
        <v>165.425680892928</v>
      </c>
      <c r="F234"/>
    </row>
    <row r="235" spans="1:6" x14ac:dyDescent="0.25">
      <c r="A235" s="21">
        <f t="shared" si="7"/>
        <v>0.68401268828574446</v>
      </c>
      <c r="C235" s="21" t="str">
        <f t="shared" si="6"/>
        <v>B</v>
      </c>
      <c r="D235">
        <v>90</v>
      </c>
      <c r="E235">
        <v>151.561141945717</v>
      </c>
      <c r="F235">
        <v>151.561141945717</v>
      </c>
    </row>
    <row r="236" spans="1:6" x14ac:dyDescent="0.25">
      <c r="A236" s="21">
        <f t="shared" si="7"/>
        <v>3.4218156332711969E-2</v>
      </c>
      <c r="C236" s="21" t="str">
        <f t="shared" si="6"/>
        <v>A</v>
      </c>
      <c r="D236">
        <v>125</v>
      </c>
      <c r="E236">
        <v>129.27726954158899</v>
      </c>
      <c r="F236"/>
    </row>
    <row r="237" spans="1:6" x14ac:dyDescent="0.25">
      <c r="A237" s="21">
        <f t="shared" si="7"/>
        <v>0.26432765979275774</v>
      </c>
      <c r="C237" s="21" t="str">
        <f t="shared" si="6"/>
        <v>B</v>
      </c>
      <c r="D237">
        <v>95</v>
      </c>
      <c r="E237">
        <v>120.11112768031199</v>
      </c>
      <c r="F237"/>
    </row>
    <row r="238" spans="1:6" x14ac:dyDescent="0.25">
      <c r="A238" s="21">
        <f t="shared" si="7"/>
        <v>0.19338189325575272</v>
      </c>
      <c r="C238" s="21" t="str">
        <f t="shared" si="6"/>
        <v>A</v>
      </c>
      <c r="D238">
        <v>93</v>
      </c>
      <c r="E238">
        <v>110.984516072785</v>
      </c>
      <c r="F238"/>
    </row>
    <row r="239" spans="1:6" x14ac:dyDescent="0.25">
      <c r="A239" s="21">
        <f t="shared" si="7"/>
        <v>0.29363570174060505</v>
      </c>
      <c r="C239" s="21" t="str">
        <f t="shared" si="6"/>
        <v>B</v>
      </c>
      <c r="D239">
        <v>81</v>
      </c>
      <c r="E239">
        <v>104.78449184098901</v>
      </c>
      <c r="F239"/>
    </row>
    <row r="240" spans="1:6" x14ac:dyDescent="0.25">
      <c r="A240" s="21">
        <f t="shared" si="7"/>
        <v>0.1074141430337392</v>
      </c>
      <c r="C240" s="21" t="str">
        <f t="shared" si="6"/>
        <v>A</v>
      </c>
      <c r="D240">
        <v>92</v>
      </c>
      <c r="E240">
        <v>101.882101159104</v>
      </c>
      <c r="F240"/>
    </row>
    <row r="241" spans="1:6" x14ac:dyDescent="0.25">
      <c r="A241" s="21">
        <f t="shared" si="7"/>
        <v>0.22673177224106977</v>
      </c>
      <c r="C241" s="21" t="str">
        <f t="shared" si="6"/>
        <v>B</v>
      </c>
      <c r="D241">
        <v>86</v>
      </c>
      <c r="E241">
        <v>105.498932412732</v>
      </c>
      <c r="F241"/>
    </row>
    <row r="242" spans="1:6" x14ac:dyDescent="0.25">
      <c r="A242" s="21">
        <f t="shared" si="7"/>
        <v>0.16077030140938309</v>
      </c>
      <c r="C242" s="21" t="str">
        <f t="shared" si="6"/>
        <v>A</v>
      </c>
      <c r="D242">
        <v>82</v>
      </c>
      <c r="E242">
        <v>95.183164715569404</v>
      </c>
      <c r="F242"/>
    </row>
    <row r="243" spans="1:6" x14ac:dyDescent="0.25">
      <c r="A243" s="21">
        <f t="shared" si="7"/>
        <v>-0.24768435100562358</v>
      </c>
      <c r="C243" s="21" t="str">
        <f t="shared" si="6"/>
        <v>B</v>
      </c>
      <c r="D243">
        <v>127</v>
      </c>
      <c r="E243">
        <v>95.544087422285799</v>
      </c>
      <c r="F243"/>
    </row>
    <row r="244" spans="1:6" x14ac:dyDescent="0.25">
      <c r="A244" s="21">
        <f t="shared" si="7"/>
        <v>2.184199108380569E-2</v>
      </c>
      <c r="C244" s="21" t="str">
        <f t="shared" si="6"/>
        <v>A</v>
      </c>
      <c r="D244">
        <v>103</v>
      </c>
      <c r="E244">
        <v>105.24972508163199</v>
      </c>
      <c r="F244"/>
    </row>
    <row r="245" spans="1:6" x14ac:dyDescent="0.25">
      <c r="A245" s="21">
        <f t="shared" si="7"/>
        <v>0.24291335203420927</v>
      </c>
      <c r="C245" s="21" t="str">
        <f t="shared" si="6"/>
        <v>B</v>
      </c>
      <c r="D245">
        <v>86</v>
      </c>
      <c r="E245">
        <v>106.89054827494201</v>
      </c>
      <c r="F245"/>
    </row>
    <row r="246" spans="1:6" x14ac:dyDescent="0.25">
      <c r="A246" s="21">
        <f t="shared" si="7"/>
        <v>0.34556963162893672</v>
      </c>
      <c r="C246" s="21" t="str">
        <f t="shared" si="6"/>
        <v>B</v>
      </c>
      <c r="D246">
        <v>79</v>
      </c>
      <c r="E246">
        <v>106.30000089868599</v>
      </c>
      <c r="F246"/>
    </row>
    <row r="247" spans="1:6" x14ac:dyDescent="0.25">
      <c r="A247" s="21">
        <f t="shared" si="7"/>
        <v>-0.15245097259041862</v>
      </c>
      <c r="C247" s="21" t="str">
        <f t="shared" si="6"/>
        <v>A</v>
      </c>
      <c r="D247">
        <v>160</v>
      </c>
      <c r="E247">
        <v>135.60784438553301</v>
      </c>
      <c r="F247"/>
    </row>
    <row r="248" spans="1:6" x14ac:dyDescent="0.25">
      <c r="A248" s="21">
        <f t="shared" si="7"/>
        <v>-0.1172559556763777</v>
      </c>
      <c r="C248" s="21" t="str">
        <f t="shared" si="6"/>
        <v>A</v>
      </c>
      <c r="D248">
        <v>135</v>
      </c>
      <c r="E248">
        <v>119.17044598368901</v>
      </c>
      <c r="F248"/>
    </row>
    <row r="249" spans="1:6" x14ac:dyDescent="0.25">
      <c r="A249" s="21">
        <f t="shared" si="7"/>
        <v>-7.0123603070266993E-2</v>
      </c>
      <c r="C249" s="21" t="str">
        <f t="shared" si="6"/>
        <v>A</v>
      </c>
      <c r="D249">
        <v>106</v>
      </c>
      <c r="E249">
        <v>98.566898074551702</v>
      </c>
      <c r="F249"/>
    </row>
    <row r="250" spans="1:6" x14ac:dyDescent="0.25">
      <c r="A250" s="21">
        <f t="shared" si="7"/>
        <v>0.29110682013760014</v>
      </c>
      <c r="C250" s="21" t="str">
        <f t="shared" si="6"/>
        <v>B</v>
      </c>
      <c r="D250">
        <v>80</v>
      </c>
      <c r="E250">
        <v>103.288545611008</v>
      </c>
    </row>
    <row r="251" spans="1:6" x14ac:dyDescent="0.25">
      <c r="A251" s="21">
        <f t="shared" si="7"/>
        <v>5.7983472282252535E-5</v>
      </c>
      <c r="C251" s="21" t="str">
        <f t="shared" si="6"/>
        <v>A</v>
      </c>
      <c r="D251">
        <v>124</v>
      </c>
      <c r="E251">
        <v>124.007189950563</v>
      </c>
      <c r="F251"/>
    </row>
    <row r="252" spans="1:6" x14ac:dyDescent="0.25">
      <c r="A252" s="21">
        <f t="shared" si="7"/>
        <v>9.4973991352366172E-2</v>
      </c>
      <c r="C252" s="21" t="str">
        <f t="shared" si="6"/>
        <v>A</v>
      </c>
      <c r="D252">
        <v>112</v>
      </c>
      <c r="E252">
        <v>122.637087031465</v>
      </c>
      <c r="F252"/>
    </row>
    <row r="253" spans="1:6" x14ac:dyDescent="0.25">
      <c r="A253" s="21">
        <f t="shared" si="7"/>
        <v>0.16303609279607278</v>
      </c>
      <c r="C253" s="21" t="str">
        <f t="shared" si="6"/>
        <v>A</v>
      </c>
      <c r="D253">
        <v>96</v>
      </c>
      <c r="E253">
        <v>111.65146490842299</v>
      </c>
      <c r="F253"/>
    </row>
    <row r="254" spans="1:6" x14ac:dyDescent="0.25">
      <c r="A254" s="21">
        <f t="shared" si="7"/>
        <v>0.35513930324741549</v>
      </c>
      <c r="C254" s="21" t="str">
        <f t="shared" si="6"/>
        <v>B</v>
      </c>
      <c r="D254">
        <v>77</v>
      </c>
      <c r="E254">
        <v>104.345726350051</v>
      </c>
      <c r="F254"/>
    </row>
    <row r="255" spans="1:6" x14ac:dyDescent="0.25">
      <c r="A255" s="21">
        <f t="shared" si="7"/>
        <v>-0.15181187883968605</v>
      </c>
      <c r="C255" s="21" t="str">
        <f t="shared" si="6"/>
        <v>A</v>
      </c>
      <c r="D255">
        <v>137</v>
      </c>
      <c r="E255">
        <v>116.201772598963</v>
      </c>
      <c r="F255"/>
    </row>
    <row r="256" spans="1:6" x14ac:dyDescent="0.25">
      <c r="A256" s="21">
        <f t="shared" si="7"/>
        <v>0.16919169719667693</v>
      </c>
      <c r="C256" s="21" t="str">
        <f t="shared" si="6"/>
        <v>A</v>
      </c>
      <c r="D256">
        <v>130</v>
      </c>
      <c r="E256">
        <v>151.99492063556801</v>
      </c>
      <c r="F256"/>
    </row>
    <row r="257" spans="1:6" x14ac:dyDescent="0.25">
      <c r="A257" s="21">
        <f t="shared" si="7"/>
        <v>-0.14181505901681002</v>
      </c>
      <c r="C257" s="21" t="str">
        <f t="shared" si="6"/>
        <v>A</v>
      </c>
      <c r="D257">
        <v>121</v>
      </c>
      <c r="E257">
        <v>103.84037785896599</v>
      </c>
      <c r="F257"/>
    </row>
    <row r="258" spans="1:6" x14ac:dyDescent="0.25">
      <c r="A258" s="21">
        <f t="shared" si="7"/>
        <v>5.2192405493836302E-2</v>
      </c>
      <c r="C258" s="21" t="str">
        <f t="shared" si="6"/>
        <v>A</v>
      </c>
      <c r="D258">
        <v>91</v>
      </c>
      <c r="E258">
        <v>95.749508899939102</v>
      </c>
      <c r="F258"/>
    </row>
    <row r="259" spans="1:6" x14ac:dyDescent="0.25">
      <c r="A259" s="21">
        <f t="shared" si="7"/>
        <v>0.1137896587741678</v>
      </c>
      <c r="C259" s="21" t="str">
        <f t="shared" si="6"/>
        <v>A</v>
      </c>
      <c r="D259">
        <v>137</v>
      </c>
      <c r="E259">
        <v>152.58918325206099</v>
      </c>
      <c r="F259"/>
    </row>
    <row r="260" spans="1:6" x14ac:dyDescent="0.25">
      <c r="A260" s="21">
        <f t="shared" si="7"/>
        <v>6.9013540941184948E-2</v>
      </c>
      <c r="C260" s="21" t="str">
        <f t="shared" si="6"/>
        <v>A</v>
      </c>
      <c r="D260">
        <v>119</v>
      </c>
      <c r="E260">
        <v>127.21261137200101</v>
      </c>
      <c r="F260"/>
    </row>
    <row r="261" spans="1:6" x14ac:dyDescent="0.25">
      <c r="A261" s="21">
        <f t="shared" si="7"/>
        <v>5.1307261672262516E-2</v>
      </c>
      <c r="C261" s="21" t="str">
        <f t="shared" si="6"/>
        <v>A</v>
      </c>
      <c r="D261">
        <v>99</v>
      </c>
      <c r="E261">
        <v>104.07941890555399</v>
      </c>
      <c r="F261"/>
    </row>
    <row r="263" spans="1:6" x14ac:dyDescent="0.25">
      <c r="F263"/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3"/>
  <sheetViews>
    <sheetView tabSelected="1" topLeftCell="A258" zoomScale="80" zoomScaleNormal="80" workbookViewId="0">
      <selection activeCell="F244" sqref="F244"/>
    </sheetView>
  </sheetViews>
  <sheetFormatPr defaultRowHeight="16.5" x14ac:dyDescent="0.25"/>
  <cols>
    <col min="1" max="1" width="9" style="1"/>
    <col min="2" max="2" width="8.5" style="1" customWidth="1"/>
    <col min="3" max="3" width="7" style="1" customWidth="1"/>
    <col min="4" max="4" width="9" style="1"/>
    <col min="5" max="8" width="12.125" style="1" customWidth="1"/>
    <col min="9" max="9" width="13.125" style="1" customWidth="1"/>
    <col min="10" max="10" width="14.125" style="1" customWidth="1"/>
    <col min="11" max="12" width="13.25" style="1" customWidth="1"/>
    <col min="13" max="13" width="12.375" style="1" customWidth="1"/>
    <col min="14" max="14" width="12.125" style="1" customWidth="1"/>
    <col min="15" max="15" width="11.5" style="1" customWidth="1"/>
    <col min="16" max="16" width="9" style="1"/>
    <col min="17" max="17" width="10.625" style="1" bestFit="1" customWidth="1"/>
    <col min="18" max="18" width="8.25" style="1" customWidth="1"/>
    <col min="19" max="16384" width="9" style="1"/>
  </cols>
  <sheetData>
    <row r="1" spans="4:16" x14ac:dyDescent="0.25">
      <c r="D1" s="1" t="s">
        <v>4</v>
      </c>
      <c r="H1" s="1" t="s">
        <v>5</v>
      </c>
    </row>
    <row r="2" spans="4:16" x14ac:dyDescent="0.25">
      <c r="D2" s="1" t="s">
        <v>6</v>
      </c>
      <c r="E2" s="1" t="s">
        <v>7</v>
      </c>
      <c r="F2" s="1" t="s">
        <v>8</v>
      </c>
      <c r="G2" s="1" t="s">
        <v>0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2</v>
      </c>
      <c r="P2" s="1" t="s">
        <v>0</v>
      </c>
    </row>
    <row r="3" spans="4:16" x14ac:dyDescent="0.25">
      <c r="D3" s="1">
        <v>0</v>
      </c>
      <c r="E3" s="1">
        <v>0</v>
      </c>
      <c r="H3" s="1">
        <v>50</v>
      </c>
    </row>
    <row r="4" spans="4:16" x14ac:dyDescent="0.25">
      <c r="D4" s="1">
        <v>30</v>
      </c>
      <c r="E4" s="1">
        <v>30</v>
      </c>
      <c r="H4" s="1">
        <v>50</v>
      </c>
    </row>
    <row r="5" spans="4:16" x14ac:dyDescent="0.25">
      <c r="D5" s="1">
        <v>140</v>
      </c>
      <c r="E5" s="1">
        <v>140</v>
      </c>
      <c r="H5" s="1">
        <v>170</v>
      </c>
    </row>
    <row r="6" spans="4:16" x14ac:dyDescent="0.25">
      <c r="D6" s="1">
        <v>280</v>
      </c>
      <c r="E6" s="1">
        <v>280</v>
      </c>
      <c r="H6" s="1">
        <v>380</v>
      </c>
    </row>
    <row r="7" spans="4:16" x14ac:dyDescent="0.25">
      <c r="D7" s="1">
        <v>860</v>
      </c>
      <c r="E7" s="1">
        <v>430</v>
      </c>
      <c r="H7" s="1">
        <v>1100</v>
      </c>
    </row>
    <row r="8" spans="4:16" x14ac:dyDescent="0.25">
      <c r="D8" s="1">
        <v>120</v>
      </c>
      <c r="E8" s="1">
        <v>120</v>
      </c>
      <c r="K8" s="1">
        <v>0</v>
      </c>
    </row>
    <row r="9" spans="4:16" x14ac:dyDescent="0.25">
      <c r="D9" s="1">
        <v>120</v>
      </c>
      <c r="E9" s="1">
        <v>120</v>
      </c>
      <c r="K9" s="1">
        <v>30</v>
      </c>
    </row>
    <row r="10" spans="4:16" x14ac:dyDescent="0.25">
      <c r="D10" s="1">
        <v>260</v>
      </c>
      <c r="E10" s="1">
        <v>260</v>
      </c>
      <c r="K10" s="1">
        <v>130</v>
      </c>
    </row>
    <row r="11" spans="4:16" x14ac:dyDescent="0.25">
      <c r="D11" s="1">
        <v>550</v>
      </c>
      <c r="E11" s="1">
        <v>550</v>
      </c>
      <c r="K11" s="1">
        <v>250</v>
      </c>
    </row>
    <row r="12" spans="4:16" x14ac:dyDescent="0.25">
      <c r="D12" s="1">
        <v>50</v>
      </c>
      <c r="I12" s="1">
        <v>0</v>
      </c>
    </row>
    <row r="13" spans="4:16" x14ac:dyDescent="0.25">
      <c r="D13" s="1">
        <v>50</v>
      </c>
      <c r="I13" s="1">
        <v>30</v>
      </c>
    </row>
    <row r="14" spans="4:16" x14ac:dyDescent="0.25">
      <c r="D14" s="1">
        <v>170</v>
      </c>
      <c r="I14" s="1">
        <v>145</v>
      </c>
    </row>
    <row r="15" spans="4:16" x14ac:dyDescent="0.25">
      <c r="D15" s="1">
        <v>385</v>
      </c>
      <c r="I15" s="1">
        <v>300</v>
      </c>
    </row>
    <row r="16" spans="4:16" x14ac:dyDescent="0.25">
      <c r="D16" s="1">
        <v>550</v>
      </c>
      <c r="I16" s="1">
        <v>450</v>
      </c>
    </row>
    <row r="17" spans="4:14" x14ac:dyDescent="0.25">
      <c r="D17" s="1">
        <v>0</v>
      </c>
      <c r="J17" s="1">
        <v>60</v>
      </c>
    </row>
    <row r="18" spans="4:14" x14ac:dyDescent="0.25">
      <c r="D18" s="1">
        <v>30</v>
      </c>
      <c r="J18" s="1">
        <v>60</v>
      </c>
    </row>
    <row r="19" spans="4:14" x14ac:dyDescent="0.25">
      <c r="D19" s="1">
        <v>50</v>
      </c>
      <c r="J19" s="1">
        <v>80</v>
      </c>
    </row>
    <row r="20" spans="4:14" x14ac:dyDescent="0.25">
      <c r="D20" s="1">
        <v>70</v>
      </c>
      <c r="J20" s="1">
        <v>110</v>
      </c>
    </row>
    <row r="21" spans="4:14" x14ac:dyDescent="0.25">
      <c r="D21" s="1">
        <v>520</v>
      </c>
      <c r="J21" s="1">
        <v>1100</v>
      </c>
    </row>
    <row r="22" spans="4:14" x14ac:dyDescent="0.25">
      <c r="D22" s="1">
        <v>250</v>
      </c>
      <c r="M22" s="1">
        <v>0</v>
      </c>
    </row>
    <row r="23" spans="4:14" x14ac:dyDescent="0.25">
      <c r="D23" s="1">
        <v>250</v>
      </c>
      <c r="M23" s="1">
        <v>40</v>
      </c>
    </row>
    <row r="24" spans="4:14" x14ac:dyDescent="0.25">
      <c r="D24" s="1">
        <v>550</v>
      </c>
      <c r="M24" s="1">
        <v>150</v>
      </c>
    </row>
    <row r="25" spans="4:14" x14ac:dyDescent="0.25">
      <c r="D25" s="1">
        <v>0</v>
      </c>
      <c r="L25" s="1">
        <v>100</v>
      </c>
    </row>
    <row r="26" spans="4:14" x14ac:dyDescent="0.25">
      <c r="D26" s="1">
        <v>25</v>
      </c>
      <c r="L26" s="1">
        <v>100</v>
      </c>
    </row>
    <row r="27" spans="4:14" x14ac:dyDescent="0.25">
      <c r="D27" s="1">
        <v>50</v>
      </c>
      <c r="L27" s="1">
        <v>125</v>
      </c>
    </row>
    <row r="28" spans="4:14" x14ac:dyDescent="0.25">
      <c r="D28" s="1">
        <v>80</v>
      </c>
      <c r="L28" s="1">
        <v>215</v>
      </c>
    </row>
    <row r="29" spans="4:14" x14ac:dyDescent="0.25">
      <c r="D29" s="1">
        <v>250</v>
      </c>
      <c r="L29" s="1">
        <v>1100</v>
      </c>
    </row>
    <row r="30" spans="4:14" x14ac:dyDescent="0.25">
      <c r="D30" s="1">
        <v>0</v>
      </c>
      <c r="N30" s="1">
        <v>150</v>
      </c>
    </row>
    <row r="31" spans="4:14" x14ac:dyDescent="0.25">
      <c r="D31" s="1">
        <v>35</v>
      </c>
      <c r="N31" s="1">
        <v>155</v>
      </c>
    </row>
    <row r="32" spans="4:14" x14ac:dyDescent="0.25">
      <c r="D32" s="1">
        <v>100</v>
      </c>
      <c r="N32" s="1">
        <v>1100</v>
      </c>
    </row>
    <row r="33" spans="1:20" x14ac:dyDescent="0.25">
      <c r="D33" s="1">
        <v>0</v>
      </c>
      <c r="O33" s="1">
        <v>0</v>
      </c>
    </row>
    <row r="34" spans="1:20" x14ac:dyDescent="0.25">
      <c r="D34" s="1">
        <v>550</v>
      </c>
      <c r="O34" s="1">
        <v>550</v>
      </c>
    </row>
    <row r="36" spans="1:20" ht="17.25" thickBot="1" x14ac:dyDescent="0.3"/>
    <row r="37" spans="1:20" ht="17.25" x14ac:dyDescent="0.25">
      <c r="D37" s="2" t="s">
        <v>18</v>
      </c>
      <c r="E37" s="15" t="s">
        <v>42</v>
      </c>
      <c r="F37" s="15" t="s">
        <v>34</v>
      </c>
      <c r="G37" s="15" t="s">
        <v>35</v>
      </c>
      <c r="H37" s="15" t="s">
        <v>54</v>
      </c>
      <c r="I37" s="15" t="s">
        <v>55</v>
      </c>
      <c r="J37" s="15" t="s">
        <v>56</v>
      </c>
      <c r="K37" s="15" t="s">
        <v>57</v>
      </c>
      <c r="L37" s="15" t="s">
        <v>58</v>
      </c>
      <c r="M37" s="15" t="s">
        <v>59</v>
      </c>
      <c r="N37" s="15" t="s">
        <v>60</v>
      </c>
      <c r="O37" s="15" t="s">
        <v>61</v>
      </c>
      <c r="P37" s="22" t="s">
        <v>62</v>
      </c>
      <c r="Q37" s="24"/>
      <c r="R37" s="25" t="s">
        <v>64</v>
      </c>
      <c r="S37" s="25" t="s">
        <v>65</v>
      </c>
      <c r="T37" s="26" t="s">
        <v>66</v>
      </c>
    </row>
    <row r="38" spans="1:20" ht="17.25" x14ac:dyDescent="0.25">
      <c r="A38" s="21">
        <f>E38/D38-1</f>
        <v>0.44419462601205306</v>
      </c>
      <c r="B38" t="s">
        <v>36</v>
      </c>
      <c r="C38" s="21" t="str">
        <f>IF(OR(A38&gt;=20%,A38&lt;=-20%),"B","A")</f>
        <v>B</v>
      </c>
      <c r="D38">
        <v>94</v>
      </c>
      <c r="E38">
        <v>135.75429484513299</v>
      </c>
      <c r="F38"/>
      <c r="G38" s="5"/>
      <c r="Q38" s="28" t="s">
        <v>67</v>
      </c>
      <c r="R38" s="23">
        <f>COUNTIF(C38:C261,"A")</f>
        <v>125</v>
      </c>
      <c r="S38" s="23">
        <f>COUNTIF(C38:C261,"B")</f>
        <v>95</v>
      </c>
      <c r="T38" s="27">
        <v>224</v>
      </c>
    </row>
    <row r="39" spans="1:20" ht="18" thickBot="1" x14ac:dyDescent="0.3">
      <c r="A39" s="21">
        <f t="shared" ref="A39:A102" si="0">E39/D39-1</f>
        <v>-0.20085345247548458</v>
      </c>
      <c r="B39" t="s">
        <v>36</v>
      </c>
      <c r="C39" s="21" t="str">
        <f t="shared" ref="C39:C102" si="1">IF(OR(A39&gt;=20%,A39&lt;=-20%),"B","A")</f>
        <v>B</v>
      </c>
      <c r="D39">
        <v>194</v>
      </c>
      <c r="E39">
        <v>155.03443021975599</v>
      </c>
      <c r="F39"/>
      <c r="G39" s="5"/>
      <c r="Q39" s="29" t="s">
        <v>68</v>
      </c>
      <c r="R39" s="31">
        <f>R38/T38</f>
        <v>0.5580357142857143</v>
      </c>
      <c r="S39" s="31">
        <f>S38/T38</f>
        <v>0.42410714285714285</v>
      </c>
      <c r="T39" s="30">
        <f>R39+S39</f>
        <v>0.98214285714285721</v>
      </c>
    </row>
    <row r="40" spans="1:20" ht="17.25" x14ac:dyDescent="0.25">
      <c r="A40" s="21">
        <f t="shared" si="0"/>
        <v>-4.1310763520291505E-2</v>
      </c>
      <c r="B40" t="s">
        <v>36</v>
      </c>
      <c r="C40" s="21" t="str">
        <f t="shared" si="1"/>
        <v>A</v>
      </c>
      <c r="D40">
        <v>151</v>
      </c>
      <c r="E40">
        <v>144.76207470843599</v>
      </c>
      <c r="F40"/>
      <c r="G40" s="5"/>
      <c r="Q40" s="21"/>
      <c r="R40" s="21"/>
    </row>
    <row r="41" spans="1:20" ht="17.25" x14ac:dyDescent="0.25">
      <c r="A41" s="21">
        <f t="shared" si="0"/>
        <v>0.45838993660278127</v>
      </c>
      <c r="B41" t="s">
        <v>36</v>
      </c>
      <c r="C41" s="21" t="str">
        <f t="shared" si="1"/>
        <v>B</v>
      </c>
      <c r="D41">
        <v>96</v>
      </c>
      <c r="E41">
        <v>140.00543391386699</v>
      </c>
      <c r="F41"/>
      <c r="G41" s="5"/>
      <c r="Q41" s="21"/>
      <c r="R41" s="21"/>
    </row>
    <row r="42" spans="1:20" ht="17.25" x14ac:dyDescent="0.25">
      <c r="A42" s="21">
        <f t="shared" si="0"/>
        <v>8.8319102989310672E-2</v>
      </c>
      <c r="B42" t="s">
        <v>36</v>
      </c>
      <c r="C42" s="21" t="str">
        <f t="shared" si="1"/>
        <v>A</v>
      </c>
      <c r="D42">
        <v>132</v>
      </c>
      <c r="E42">
        <v>143.65812159458901</v>
      </c>
      <c r="F42"/>
      <c r="G42" s="5"/>
      <c r="Q42" s="21"/>
      <c r="R42" s="21"/>
    </row>
    <row r="43" spans="1:20" ht="17.25" x14ac:dyDescent="0.25">
      <c r="A43" s="21">
        <f t="shared" si="0"/>
        <v>0.33205400837386101</v>
      </c>
      <c r="B43" t="s">
        <v>36</v>
      </c>
      <c r="C43" s="21" t="str">
        <f t="shared" si="1"/>
        <v>B</v>
      </c>
      <c r="D43">
        <v>115</v>
      </c>
      <c r="E43">
        <v>153.18621096299401</v>
      </c>
      <c r="F43"/>
      <c r="G43" s="5"/>
      <c r="Q43" s="21"/>
      <c r="R43" s="21"/>
    </row>
    <row r="44" spans="1:20" ht="17.25" x14ac:dyDescent="0.25">
      <c r="A44" s="21">
        <f t="shared" si="0"/>
        <v>0.3683641306722556</v>
      </c>
      <c r="B44" t="s">
        <v>36</v>
      </c>
      <c r="C44" s="21" t="str">
        <f t="shared" si="1"/>
        <v>B</v>
      </c>
      <c r="D44">
        <v>90</v>
      </c>
      <c r="E44">
        <v>123.152771760503</v>
      </c>
      <c r="F44"/>
      <c r="G44" s="5"/>
      <c r="Q44" s="21"/>
      <c r="R44" s="21"/>
    </row>
    <row r="45" spans="1:20" ht="17.25" x14ac:dyDescent="0.25">
      <c r="A45" s="21">
        <f t="shared" si="0"/>
        <v>-0.1826605865370754</v>
      </c>
      <c r="B45" t="s">
        <v>36</v>
      </c>
      <c r="C45" s="21" t="str">
        <f t="shared" si="1"/>
        <v>A</v>
      </c>
      <c r="D45">
        <v>199</v>
      </c>
      <c r="E45">
        <v>162.65054327912199</v>
      </c>
      <c r="F45"/>
      <c r="G45" s="5"/>
      <c r="Q45" s="21"/>
      <c r="R45" s="21"/>
    </row>
    <row r="46" spans="1:20" ht="17.25" x14ac:dyDescent="0.25">
      <c r="A46" s="21">
        <f t="shared" si="0"/>
        <v>-0.18893304993639082</v>
      </c>
      <c r="B46" t="s">
        <v>36</v>
      </c>
      <c r="C46" s="21" t="str">
        <f t="shared" si="1"/>
        <v>A</v>
      </c>
      <c r="D46">
        <v>197</v>
      </c>
      <c r="E46">
        <v>159.780189162531</v>
      </c>
      <c r="F46"/>
      <c r="G46" s="5"/>
      <c r="Q46" s="21"/>
      <c r="R46" s="21"/>
    </row>
    <row r="47" spans="1:20" ht="17.25" x14ac:dyDescent="0.25">
      <c r="A47" s="21">
        <f t="shared" si="0"/>
        <v>0.73436232336594576</v>
      </c>
      <c r="B47" t="s">
        <v>43</v>
      </c>
      <c r="C47" s="21" t="s">
        <v>72</v>
      </c>
      <c r="D47">
        <v>92</v>
      </c>
      <c r="E47">
        <v>159.561333749667</v>
      </c>
      <c r="F47">
        <v>159.561333749667</v>
      </c>
      <c r="G47" s="5"/>
      <c r="Q47" s="21"/>
      <c r="R47" s="21"/>
    </row>
    <row r="48" spans="1:20" ht="17.25" x14ac:dyDescent="0.25">
      <c r="A48" s="21">
        <f t="shared" si="0"/>
        <v>0.50055022405794691</v>
      </c>
      <c r="B48" t="s">
        <v>43</v>
      </c>
      <c r="C48" s="21" t="str">
        <f t="shared" si="1"/>
        <v>B</v>
      </c>
      <c r="D48">
        <v>94</v>
      </c>
      <c r="E48">
        <v>141.05172106144701</v>
      </c>
      <c r="F48"/>
      <c r="G48" s="5"/>
      <c r="Q48" s="21"/>
      <c r="R48" s="21"/>
    </row>
    <row r="49" spans="1:18" ht="17.25" x14ac:dyDescent="0.25">
      <c r="A49" s="21">
        <f t="shared" si="0"/>
        <v>0.22814490520300001</v>
      </c>
      <c r="B49" t="s">
        <v>43</v>
      </c>
      <c r="C49" s="21" t="str">
        <f t="shared" si="1"/>
        <v>B</v>
      </c>
      <c r="D49">
        <v>101</v>
      </c>
      <c r="E49">
        <v>124.04263542550299</v>
      </c>
      <c r="F49"/>
      <c r="G49" s="5"/>
      <c r="Q49" s="21"/>
      <c r="R49" s="21"/>
    </row>
    <row r="50" spans="1:18" ht="17.25" x14ac:dyDescent="0.25">
      <c r="A50" s="21">
        <f t="shared" si="0"/>
        <v>0.2941439809842501</v>
      </c>
      <c r="B50" t="s">
        <v>43</v>
      </c>
      <c r="C50" s="21" t="str">
        <f t="shared" si="1"/>
        <v>B</v>
      </c>
      <c r="D50">
        <v>96</v>
      </c>
      <c r="E50">
        <v>124.237822174488</v>
      </c>
      <c r="F50"/>
      <c r="G50" s="5"/>
      <c r="Q50" s="21"/>
      <c r="R50" s="21"/>
    </row>
    <row r="51" spans="1:18" ht="17.25" x14ac:dyDescent="0.25">
      <c r="A51" s="21">
        <f t="shared" si="0"/>
        <v>0.36594137417704964</v>
      </c>
      <c r="B51" t="s">
        <v>43</v>
      </c>
      <c r="C51" s="21" t="str">
        <f t="shared" si="1"/>
        <v>B</v>
      </c>
      <c r="D51">
        <v>101</v>
      </c>
      <c r="E51">
        <v>137.96007879188201</v>
      </c>
      <c r="F51"/>
      <c r="G51" s="5"/>
      <c r="Q51" s="21"/>
      <c r="R51" s="21"/>
    </row>
    <row r="52" spans="1:18" ht="17.25" x14ac:dyDescent="0.25">
      <c r="A52" s="21">
        <f t="shared" si="0"/>
        <v>0.3466473749591521</v>
      </c>
      <c r="B52" t="s">
        <v>43</v>
      </c>
      <c r="C52" s="21" t="str">
        <f t="shared" si="1"/>
        <v>B</v>
      </c>
      <c r="D52">
        <v>92</v>
      </c>
      <c r="E52">
        <v>123.891558496242</v>
      </c>
      <c r="F52"/>
      <c r="G52" s="5"/>
      <c r="Q52" s="21"/>
      <c r="R52" s="21"/>
    </row>
    <row r="53" spans="1:18" ht="17.25" x14ac:dyDescent="0.25">
      <c r="A53" s="21">
        <f t="shared" si="0"/>
        <v>0.1164540608386635</v>
      </c>
      <c r="B53" t="s">
        <v>43</v>
      </c>
      <c r="C53" s="21" t="str">
        <f t="shared" si="1"/>
        <v>A</v>
      </c>
      <c r="D53">
        <v>104</v>
      </c>
      <c r="E53">
        <v>116.111222327221</v>
      </c>
      <c r="F53"/>
      <c r="G53" s="5"/>
      <c r="Q53" s="21"/>
      <c r="R53" s="21"/>
    </row>
    <row r="54" spans="1:18" ht="17.25" x14ac:dyDescent="0.25">
      <c r="A54" s="21">
        <f t="shared" si="0"/>
        <v>0.11487107681415964</v>
      </c>
      <c r="B54" t="s">
        <v>43</v>
      </c>
      <c r="C54" s="21" t="str">
        <f t="shared" si="1"/>
        <v>A</v>
      </c>
      <c r="D54">
        <v>94</v>
      </c>
      <c r="E54">
        <v>104.797881220531</v>
      </c>
      <c r="F54"/>
      <c r="G54" s="5"/>
      <c r="Q54" s="21"/>
      <c r="R54" s="21"/>
    </row>
    <row r="55" spans="1:18" ht="17.25" x14ac:dyDescent="0.25">
      <c r="A55" s="21">
        <f t="shared" si="0"/>
        <v>0.14820265580723446</v>
      </c>
      <c r="B55" t="s">
        <v>43</v>
      </c>
      <c r="C55" s="21" t="str">
        <f t="shared" si="1"/>
        <v>A</v>
      </c>
      <c r="D55">
        <v>145</v>
      </c>
      <c r="E55">
        <v>166.48938509204899</v>
      </c>
      <c r="F55"/>
      <c r="G55" s="5"/>
      <c r="Q55" s="21"/>
      <c r="R55" s="21"/>
    </row>
    <row r="56" spans="1:18" ht="17.25" x14ac:dyDescent="0.25">
      <c r="A56" s="21">
        <f t="shared" si="0"/>
        <v>3.8714580954589906E-2</v>
      </c>
      <c r="B56" t="s">
        <v>43</v>
      </c>
      <c r="C56" s="21" t="str">
        <f t="shared" si="1"/>
        <v>A</v>
      </c>
      <c r="D56">
        <v>139</v>
      </c>
      <c r="E56">
        <v>144.38132675268801</v>
      </c>
      <c r="F56"/>
      <c r="G56" s="5"/>
      <c r="Q56" s="21"/>
      <c r="R56" s="21"/>
    </row>
    <row r="57" spans="1:18" ht="17.25" x14ac:dyDescent="0.25">
      <c r="A57" s="21">
        <f t="shared" si="0"/>
        <v>0.15468589401686073</v>
      </c>
      <c r="B57" t="s">
        <v>43</v>
      </c>
      <c r="C57" s="21" t="str">
        <f t="shared" si="1"/>
        <v>A</v>
      </c>
      <c r="D57">
        <v>115</v>
      </c>
      <c r="E57">
        <v>132.78887781193899</v>
      </c>
      <c r="F57"/>
      <c r="G57" s="5"/>
      <c r="Q57" s="21"/>
      <c r="R57" s="21"/>
    </row>
    <row r="58" spans="1:18" x14ac:dyDescent="0.25">
      <c r="A58" s="21">
        <f t="shared" si="0"/>
        <v>0.1217025819962112</v>
      </c>
      <c r="B58" t="s">
        <v>44</v>
      </c>
      <c r="C58" s="21" t="str">
        <f t="shared" si="1"/>
        <v>A</v>
      </c>
      <c r="D58">
        <v>90</v>
      </c>
      <c r="E58">
        <v>100.953232379659</v>
      </c>
      <c r="F58"/>
      <c r="G58"/>
      <c r="Q58" s="21"/>
      <c r="R58" s="21"/>
    </row>
    <row r="59" spans="1:18" x14ac:dyDescent="0.25">
      <c r="A59" s="21">
        <f t="shared" si="0"/>
        <v>-7.8018902089905473E-2</v>
      </c>
      <c r="B59" t="s">
        <v>44</v>
      </c>
      <c r="C59" s="21" t="str">
        <f t="shared" si="1"/>
        <v>A</v>
      </c>
      <c r="D59">
        <v>137.5</v>
      </c>
      <c r="E59">
        <v>126.772400962638</v>
      </c>
      <c r="F59"/>
      <c r="G59"/>
      <c r="Q59" s="21"/>
      <c r="R59" s="21"/>
    </row>
    <row r="60" spans="1:18" x14ac:dyDescent="0.25">
      <c r="A60" s="21">
        <f t="shared" si="0"/>
        <v>2.6843361910893204E-3</v>
      </c>
      <c r="B60" t="s">
        <v>44</v>
      </c>
      <c r="C60" s="21" t="str">
        <f t="shared" si="1"/>
        <v>A</v>
      </c>
      <c r="D60">
        <v>106.5</v>
      </c>
      <c r="E60">
        <v>106.78588180435101</v>
      </c>
      <c r="F60"/>
      <c r="G60"/>
      <c r="Q60" s="21"/>
      <c r="R60" s="21"/>
    </row>
    <row r="61" spans="1:18" x14ac:dyDescent="0.25">
      <c r="A61" s="21">
        <f t="shared" si="0"/>
        <v>9.0767037016485252E-2</v>
      </c>
      <c r="B61" t="s">
        <v>44</v>
      </c>
      <c r="C61" s="21" t="str">
        <f t="shared" si="1"/>
        <v>A</v>
      </c>
      <c r="D61">
        <v>101</v>
      </c>
      <c r="E61">
        <v>110.167470738665</v>
      </c>
      <c r="F61"/>
      <c r="G61"/>
      <c r="Q61" s="21"/>
      <c r="R61" s="21"/>
    </row>
    <row r="62" spans="1:18" ht="17.25" x14ac:dyDescent="0.25">
      <c r="A62" s="21">
        <f t="shared" si="0"/>
        <v>-6.0186548568103793E-2</v>
      </c>
      <c r="B62" t="s">
        <v>45</v>
      </c>
      <c r="C62" s="21" t="str">
        <f t="shared" si="1"/>
        <v>A</v>
      </c>
      <c r="D62">
        <v>212</v>
      </c>
      <c r="E62">
        <v>199.240451703562</v>
      </c>
      <c r="F62"/>
      <c r="G62" s="5"/>
      <c r="H62"/>
      <c r="Q62" s="21"/>
      <c r="R62" s="21"/>
    </row>
    <row r="63" spans="1:18" ht="17.25" x14ac:dyDescent="0.25">
      <c r="A63" s="21">
        <f t="shared" si="0"/>
        <v>-0.14711942203342243</v>
      </c>
      <c r="B63" t="s">
        <v>45</v>
      </c>
      <c r="C63" s="21" t="str">
        <f t="shared" si="1"/>
        <v>A</v>
      </c>
      <c r="D63">
        <v>258</v>
      </c>
      <c r="E63">
        <v>220.043189115377</v>
      </c>
      <c r="F63"/>
      <c r="G63" s="5"/>
      <c r="H63"/>
      <c r="Q63" s="21"/>
      <c r="R63" s="21"/>
    </row>
    <row r="64" spans="1:18" ht="17.25" x14ac:dyDescent="0.25">
      <c r="A64" s="21">
        <f t="shared" si="0"/>
        <v>-0.25511186464873015</v>
      </c>
      <c r="B64" t="s">
        <v>45</v>
      </c>
      <c r="C64" s="21" t="str">
        <f t="shared" si="1"/>
        <v>B</v>
      </c>
      <c r="D64">
        <v>257.5</v>
      </c>
      <c r="E64">
        <v>191.80869485295199</v>
      </c>
      <c r="F64"/>
      <c r="G64" s="5"/>
      <c r="H64"/>
      <c r="Q64" s="21"/>
      <c r="R64" s="21"/>
    </row>
    <row r="65" spans="1:18" ht="17.25" x14ac:dyDescent="0.25">
      <c r="A65" s="21">
        <f t="shared" si="0"/>
        <v>5.6130448349158923E-2</v>
      </c>
      <c r="B65" t="s">
        <v>45</v>
      </c>
      <c r="C65" s="21" t="str">
        <f t="shared" si="1"/>
        <v>A</v>
      </c>
      <c r="D65">
        <v>204.5</v>
      </c>
      <c r="E65">
        <v>215.97867668740301</v>
      </c>
      <c r="F65"/>
      <c r="G65" s="5"/>
      <c r="H65"/>
      <c r="Q65" s="21"/>
      <c r="R65" s="21"/>
    </row>
    <row r="66" spans="1:18" ht="17.25" x14ac:dyDescent="0.25">
      <c r="A66" s="21">
        <f t="shared" si="0"/>
        <v>5.6458503942720561E-2</v>
      </c>
      <c r="B66" t="s">
        <v>45</v>
      </c>
      <c r="C66" s="21" t="str">
        <f t="shared" si="1"/>
        <v>A</v>
      </c>
      <c r="D66">
        <v>383</v>
      </c>
      <c r="E66">
        <v>404.62360701006202</v>
      </c>
      <c r="F66"/>
      <c r="G66" s="5"/>
      <c r="H66"/>
      <c r="Q66" s="21"/>
      <c r="R66" s="21"/>
    </row>
    <row r="67" spans="1:18" ht="17.25" x14ac:dyDescent="0.25">
      <c r="A67" s="21">
        <f t="shared" si="0"/>
        <v>5.4111987560673702E-2</v>
      </c>
      <c r="B67" t="s">
        <v>46</v>
      </c>
      <c r="C67" s="21" t="str">
        <f t="shared" si="1"/>
        <v>A</v>
      </c>
      <c r="D67">
        <v>96.5</v>
      </c>
      <c r="E67">
        <v>101.72180679960501</v>
      </c>
      <c r="F67"/>
      <c r="G67" s="5"/>
      <c r="I67"/>
      <c r="Q67" s="21"/>
      <c r="R67" s="21"/>
    </row>
    <row r="68" spans="1:18" ht="17.25" x14ac:dyDescent="0.25">
      <c r="A68" s="21">
        <f t="shared" si="0"/>
        <v>3.4967555182019439E-2</v>
      </c>
      <c r="B68" t="s">
        <v>46</v>
      </c>
      <c r="C68" s="21" t="str">
        <f t="shared" si="1"/>
        <v>A</v>
      </c>
      <c r="D68">
        <v>153.5</v>
      </c>
      <c r="E68">
        <v>158.86751972043999</v>
      </c>
      <c r="F68"/>
      <c r="G68" s="5"/>
      <c r="I68"/>
      <c r="Q68" s="21"/>
      <c r="R68" s="21"/>
    </row>
    <row r="69" spans="1:18" ht="17.25" x14ac:dyDescent="0.25">
      <c r="A69" s="21">
        <f t="shared" si="0"/>
        <v>4.5161898444628257E-2</v>
      </c>
      <c r="B69" t="s">
        <v>46</v>
      </c>
      <c r="C69" s="21" t="str">
        <f t="shared" si="1"/>
        <v>A</v>
      </c>
      <c r="D69">
        <v>130.5</v>
      </c>
      <c r="E69">
        <v>136.393627747024</v>
      </c>
      <c r="F69"/>
      <c r="G69" s="5"/>
      <c r="I69"/>
      <c r="Q69" s="21"/>
      <c r="R69" s="21"/>
    </row>
    <row r="70" spans="1:18" ht="17.25" x14ac:dyDescent="0.25">
      <c r="A70" s="21">
        <f t="shared" si="0"/>
        <v>-3.9687900848749402E-3</v>
      </c>
      <c r="B70" t="s">
        <v>46</v>
      </c>
      <c r="C70" s="21" t="str">
        <f t="shared" si="1"/>
        <v>A</v>
      </c>
      <c r="D70">
        <v>136</v>
      </c>
      <c r="E70">
        <v>135.46024454845701</v>
      </c>
      <c r="F70"/>
      <c r="G70" s="5"/>
      <c r="I70"/>
      <c r="Q70" s="21"/>
      <c r="R70" s="21"/>
    </row>
    <row r="71" spans="1:18" ht="17.25" x14ac:dyDescent="0.25">
      <c r="A71" s="21">
        <f t="shared" si="0"/>
        <v>2.9482998969126095E-2</v>
      </c>
      <c r="B71" t="s">
        <v>46</v>
      </c>
      <c r="C71" s="21" t="str">
        <f t="shared" si="1"/>
        <v>A</v>
      </c>
      <c r="D71">
        <v>111</v>
      </c>
      <c r="E71">
        <v>114.272612885573</v>
      </c>
      <c r="F71"/>
      <c r="G71" s="5"/>
      <c r="I71"/>
      <c r="Q71" s="21"/>
      <c r="R71" s="21"/>
    </row>
    <row r="72" spans="1:18" ht="17.25" x14ac:dyDescent="0.25">
      <c r="A72" s="21">
        <f t="shared" si="0"/>
        <v>2.120966507815969E-2</v>
      </c>
      <c r="B72" t="s">
        <v>46</v>
      </c>
      <c r="C72" s="21" t="str">
        <f t="shared" si="1"/>
        <v>A</v>
      </c>
      <c r="D72">
        <v>156.5</v>
      </c>
      <c r="E72">
        <v>159.81931258473199</v>
      </c>
      <c r="F72"/>
      <c r="G72" s="5"/>
      <c r="I72"/>
      <c r="Q72" s="21"/>
      <c r="R72" s="21"/>
    </row>
    <row r="73" spans="1:18" ht="17.25" x14ac:dyDescent="0.25">
      <c r="A73" s="21">
        <f t="shared" si="0"/>
        <v>0.60116574362462383</v>
      </c>
      <c r="B73" t="s">
        <v>46</v>
      </c>
      <c r="C73" s="21" t="str">
        <f t="shared" si="1"/>
        <v>B</v>
      </c>
      <c r="D73">
        <v>109</v>
      </c>
      <c r="E73">
        <v>174.52706605508399</v>
      </c>
      <c r="F73"/>
      <c r="G73" s="5"/>
      <c r="I73"/>
      <c r="Q73" s="21"/>
      <c r="R73" s="21"/>
    </row>
    <row r="74" spans="1:18" ht="17.25" x14ac:dyDescent="0.25">
      <c r="A74" s="21">
        <f t="shared" si="0"/>
        <v>0.17761545235310705</v>
      </c>
      <c r="B74" t="s">
        <v>46</v>
      </c>
      <c r="C74" s="21" t="str">
        <f t="shared" si="1"/>
        <v>A</v>
      </c>
      <c r="D74">
        <v>112</v>
      </c>
      <c r="E74">
        <v>131.89293066354799</v>
      </c>
      <c r="F74"/>
      <c r="G74" s="5"/>
      <c r="I74"/>
      <c r="Q74" s="21"/>
      <c r="R74" s="21"/>
    </row>
    <row r="75" spans="1:18" ht="17.25" x14ac:dyDescent="0.25">
      <c r="A75" s="21">
        <f t="shared" si="0"/>
        <v>0.22786885307441929</v>
      </c>
      <c r="B75" t="s">
        <v>46</v>
      </c>
      <c r="C75" s="21" t="str">
        <f t="shared" si="1"/>
        <v>B</v>
      </c>
      <c r="D75">
        <v>93</v>
      </c>
      <c r="E75">
        <v>114.19180333592099</v>
      </c>
      <c r="F75"/>
      <c r="G75" s="5"/>
      <c r="I75"/>
      <c r="Q75" s="21"/>
      <c r="R75" s="21"/>
    </row>
    <row r="76" spans="1:18" ht="17.25" x14ac:dyDescent="0.25">
      <c r="A76" s="21">
        <f t="shared" si="0"/>
        <v>-5.5271953686654385E-2</v>
      </c>
      <c r="B76" t="s">
        <v>46</v>
      </c>
      <c r="C76" s="21" t="str">
        <f t="shared" si="1"/>
        <v>A</v>
      </c>
      <c r="D76">
        <v>163.5</v>
      </c>
      <c r="E76">
        <v>154.463035572232</v>
      </c>
      <c r="F76"/>
      <c r="G76" s="5"/>
      <c r="I76"/>
      <c r="Q76" s="21"/>
      <c r="R76" s="21"/>
    </row>
    <row r="77" spans="1:18" ht="17.25" x14ac:dyDescent="0.25">
      <c r="A77" s="21">
        <f t="shared" si="0"/>
        <v>0.2487482478001839</v>
      </c>
      <c r="B77" t="s">
        <v>46</v>
      </c>
      <c r="C77" s="21" t="str">
        <f t="shared" si="1"/>
        <v>B</v>
      </c>
      <c r="D77">
        <v>136</v>
      </c>
      <c r="E77">
        <v>169.829761700825</v>
      </c>
      <c r="F77"/>
      <c r="G77" s="5"/>
      <c r="I77"/>
      <c r="Q77" s="21"/>
      <c r="R77" s="21"/>
    </row>
    <row r="78" spans="1:18" ht="17.25" x14ac:dyDescent="0.25">
      <c r="A78" s="21">
        <f t="shared" si="0"/>
        <v>0.4761847286178833</v>
      </c>
      <c r="B78" t="s">
        <v>46</v>
      </c>
      <c r="C78" s="21" t="str">
        <f t="shared" si="1"/>
        <v>B</v>
      </c>
      <c r="D78">
        <v>120</v>
      </c>
      <c r="E78">
        <v>177.14216743414599</v>
      </c>
      <c r="F78"/>
      <c r="G78" s="5"/>
      <c r="I78"/>
      <c r="Q78" s="21"/>
      <c r="R78" s="21"/>
    </row>
    <row r="79" spans="1:18" ht="17.25" x14ac:dyDescent="0.25">
      <c r="A79" s="21">
        <f t="shared" si="0"/>
        <v>0.22629324595237943</v>
      </c>
      <c r="B79" t="s">
        <v>47</v>
      </c>
      <c r="C79" s="21" t="str">
        <f t="shared" si="1"/>
        <v>B</v>
      </c>
      <c r="D79">
        <v>184.5</v>
      </c>
      <c r="E79">
        <v>226.251103878214</v>
      </c>
      <c r="F79"/>
      <c r="G79" s="5"/>
      <c r="J79"/>
      <c r="Q79" s="21"/>
      <c r="R79" s="21"/>
    </row>
    <row r="80" spans="1:18" ht="17.25" x14ac:dyDescent="0.25">
      <c r="A80" s="21">
        <f t="shared" si="0"/>
        <v>5.4412346760051244E-2</v>
      </c>
      <c r="B80" t="s">
        <v>47</v>
      </c>
      <c r="C80" s="21" t="str">
        <f t="shared" si="1"/>
        <v>A</v>
      </c>
      <c r="D80">
        <v>195</v>
      </c>
      <c r="E80">
        <v>205.61040761820999</v>
      </c>
      <c r="F80"/>
      <c r="G80" s="5"/>
      <c r="J80"/>
      <c r="Q80" s="21"/>
      <c r="R80" s="21"/>
    </row>
    <row r="81" spans="1:18" ht="17.25" x14ac:dyDescent="0.25">
      <c r="A81" s="21">
        <f t="shared" si="0"/>
        <v>-1.9839348980705274E-2</v>
      </c>
      <c r="B81" t="s">
        <v>47</v>
      </c>
      <c r="C81" s="21" t="str">
        <f t="shared" si="1"/>
        <v>A</v>
      </c>
      <c r="D81">
        <v>224</v>
      </c>
      <c r="E81">
        <v>219.55598582832201</v>
      </c>
      <c r="F81"/>
      <c r="G81" s="5"/>
      <c r="J81"/>
      <c r="Q81" s="21"/>
      <c r="R81" s="21"/>
    </row>
    <row r="82" spans="1:18" ht="17.25" x14ac:dyDescent="0.25">
      <c r="A82" s="21">
        <f t="shared" si="0"/>
        <v>-3.2365929253761139E-2</v>
      </c>
      <c r="B82" t="s">
        <v>47</v>
      </c>
      <c r="C82" s="21" t="str">
        <f t="shared" si="1"/>
        <v>A</v>
      </c>
      <c r="D82">
        <v>247</v>
      </c>
      <c r="E82">
        <v>239.00561547432099</v>
      </c>
      <c r="F82"/>
      <c r="G82" s="5"/>
      <c r="J82"/>
      <c r="Q82" s="21"/>
      <c r="R82" s="21"/>
    </row>
    <row r="83" spans="1:18" ht="17.25" x14ac:dyDescent="0.25">
      <c r="A83" s="21">
        <f t="shared" si="0"/>
        <v>0.29131045308358905</v>
      </c>
      <c r="B83" t="s">
        <v>47</v>
      </c>
      <c r="C83" s="21" t="str">
        <f t="shared" si="1"/>
        <v>B</v>
      </c>
      <c r="D83">
        <v>146</v>
      </c>
      <c r="E83">
        <v>188.53132615020399</v>
      </c>
      <c r="F83"/>
      <c r="G83" s="5"/>
      <c r="J83"/>
      <c r="Q83" s="21"/>
      <c r="R83" s="21"/>
    </row>
    <row r="84" spans="1:18" ht="17.25" x14ac:dyDescent="0.25">
      <c r="A84" s="21">
        <f t="shared" si="0"/>
        <v>0.2871165437503771</v>
      </c>
      <c r="B84" t="s">
        <v>47</v>
      </c>
      <c r="C84" s="21" t="str">
        <f t="shared" si="1"/>
        <v>B</v>
      </c>
      <c r="D84">
        <v>183</v>
      </c>
      <c r="E84">
        <v>235.542327506319</v>
      </c>
      <c r="F84"/>
      <c r="G84" s="5"/>
      <c r="J84"/>
      <c r="Q84" s="21"/>
      <c r="R84" s="21"/>
    </row>
    <row r="85" spans="1:18" ht="17.25" x14ac:dyDescent="0.25">
      <c r="A85" s="21">
        <f t="shared" si="0"/>
        <v>0.48319932272452215</v>
      </c>
      <c r="B85" t="s">
        <v>47</v>
      </c>
      <c r="C85" s="21" t="str">
        <f t="shared" si="1"/>
        <v>B</v>
      </c>
      <c r="D85">
        <v>159</v>
      </c>
      <c r="E85">
        <v>235.82869231319901</v>
      </c>
      <c r="F85"/>
      <c r="G85" s="5"/>
      <c r="J85"/>
      <c r="Q85" s="21"/>
      <c r="R85" s="21"/>
    </row>
    <row r="86" spans="1:18" ht="17.25" x14ac:dyDescent="0.25">
      <c r="A86" s="21">
        <f t="shared" si="0"/>
        <v>-4.2539863269330347E-2</v>
      </c>
      <c r="B86" t="s">
        <v>48</v>
      </c>
      <c r="C86" s="21" t="str">
        <f t="shared" si="1"/>
        <v>A</v>
      </c>
      <c r="D86">
        <v>99</v>
      </c>
      <c r="E86">
        <v>94.788553536336295</v>
      </c>
      <c r="F86"/>
      <c r="G86" s="5"/>
      <c r="K86"/>
      <c r="Q86" s="21"/>
      <c r="R86" s="21"/>
    </row>
    <row r="87" spans="1:18" ht="17.25" x14ac:dyDescent="0.25">
      <c r="A87" s="21">
        <f t="shared" si="0"/>
        <v>7.7149430006928643E-2</v>
      </c>
      <c r="B87" t="s">
        <v>48</v>
      </c>
      <c r="C87" s="21" t="str">
        <f t="shared" si="1"/>
        <v>A</v>
      </c>
      <c r="D87">
        <v>140</v>
      </c>
      <c r="E87">
        <v>150.80092020097001</v>
      </c>
      <c r="F87"/>
      <c r="G87" s="5"/>
      <c r="K87"/>
      <c r="Q87" s="21"/>
      <c r="R87" s="21"/>
    </row>
    <row r="88" spans="1:18" ht="17.25" x14ac:dyDescent="0.25">
      <c r="A88" s="21">
        <f t="shared" si="0"/>
        <v>0.20120564331528135</v>
      </c>
      <c r="B88" t="s">
        <v>48</v>
      </c>
      <c r="C88" s="21" t="str">
        <f t="shared" si="1"/>
        <v>B</v>
      </c>
      <c r="D88">
        <v>135</v>
      </c>
      <c r="E88">
        <v>162.16276184756299</v>
      </c>
      <c r="F88"/>
      <c r="G88" s="5"/>
      <c r="K88"/>
      <c r="Q88" s="21"/>
      <c r="R88" s="21"/>
    </row>
    <row r="89" spans="1:18" ht="17.25" x14ac:dyDescent="0.25">
      <c r="A89" s="21">
        <f t="shared" si="0"/>
        <v>0.2205931120639999</v>
      </c>
      <c r="B89" t="s">
        <v>48</v>
      </c>
      <c r="C89" s="21" t="str">
        <f t="shared" si="1"/>
        <v>B</v>
      </c>
      <c r="D89">
        <v>98</v>
      </c>
      <c r="E89">
        <v>119.61812498227199</v>
      </c>
      <c r="F89"/>
      <c r="G89" s="5"/>
      <c r="K89"/>
      <c r="Q89" s="21"/>
      <c r="R89" s="21"/>
    </row>
    <row r="90" spans="1:18" ht="17.25" x14ac:dyDescent="0.25">
      <c r="A90" s="21">
        <f t="shared" si="0"/>
        <v>2.2362743075510672E-2</v>
      </c>
      <c r="B90" t="s">
        <v>48</v>
      </c>
      <c r="C90" s="21" t="str">
        <f t="shared" si="1"/>
        <v>A</v>
      </c>
      <c r="D90">
        <v>93</v>
      </c>
      <c r="E90">
        <v>95.079735106022497</v>
      </c>
      <c r="F90"/>
      <c r="G90" s="5"/>
      <c r="K90"/>
      <c r="Q90" s="21"/>
      <c r="R90" s="21"/>
    </row>
    <row r="91" spans="1:18" ht="17.25" x14ac:dyDescent="0.25">
      <c r="A91" s="21">
        <f t="shared" si="0"/>
        <v>2.6923868811298046E-2</v>
      </c>
      <c r="B91" t="s">
        <v>48</v>
      </c>
      <c r="C91" s="21" t="str">
        <f t="shared" si="1"/>
        <v>A</v>
      </c>
      <c r="D91">
        <v>151</v>
      </c>
      <c r="E91">
        <v>155.065504190506</v>
      </c>
      <c r="F91"/>
      <c r="G91" s="5"/>
      <c r="K91"/>
      <c r="Q91" s="21"/>
      <c r="R91" s="21"/>
    </row>
    <row r="92" spans="1:18" ht="17.25" x14ac:dyDescent="0.25">
      <c r="A92" s="21">
        <f t="shared" si="0"/>
        <v>-3.0148517519573259E-2</v>
      </c>
      <c r="B92" t="s">
        <v>48</v>
      </c>
      <c r="C92" s="21" t="str">
        <f t="shared" si="1"/>
        <v>A</v>
      </c>
      <c r="D92">
        <v>164</v>
      </c>
      <c r="E92">
        <v>159.05564312678999</v>
      </c>
      <c r="F92"/>
      <c r="G92" s="5"/>
      <c r="K92"/>
      <c r="Q92" s="21"/>
      <c r="R92" s="21"/>
    </row>
    <row r="93" spans="1:18" ht="17.25" x14ac:dyDescent="0.25">
      <c r="A93" s="21">
        <f t="shared" si="0"/>
        <v>-8.6425612551250031E-2</v>
      </c>
      <c r="B93" t="s">
        <v>48</v>
      </c>
      <c r="C93" s="21" t="str">
        <f t="shared" si="1"/>
        <v>A</v>
      </c>
      <c r="D93">
        <v>128</v>
      </c>
      <c r="E93">
        <v>116.93752159344</v>
      </c>
      <c r="F93"/>
      <c r="G93" s="5"/>
      <c r="K93"/>
      <c r="Q93" s="21"/>
      <c r="R93" s="21"/>
    </row>
    <row r="94" spans="1:18" ht="17.25" x14ac:dyDescent="0.25">
      <c r="A94" s="21">
        <f t="shared" si="0"/>
        <v>0.58920811317768829</v>
      </c>
      <c r="B94" t="s">
        <v>49</v>
      </c>
      <c r="C94" s="21" t="str">
        <f t="shared" si="1"/>
        <v>B</v>
      </c>
      <c r="D94">
        <v>77</v>
      </c>
      <c r="E94">
        <v>122.369024714682</v>
      </c>
      <c r="F94"/>
      <c r="G94" s="5"/>
      <c r="L94"/>
      <c r="Q94" s="21"/>
      <c r="R94" s="21"/>
    </row>
    <row r="95" spans="1:18" ht="17.25" x14ac:dyDescent="0.25">
      <c r="A95" s="21">
        <f t="shared" si="0"/>
        <v>-3.9801710492120335E-2</v>
      </c>
      <c r="B95" t="s">
        <v>49</v>
      </c>
      <c r="C95" s="21" t="str">
        <f t="shared" si="1"/>
        <v>A</v>
      </c>
      <c r="D95">
        <v>133</v>
      </c>
      <c r="E95">
        <v>127.706372504548</v>
      </c>
      <c r="F95"/>
      <c r="G95" s="5"/>
      <c r="L95"/>
      <c r="Q95" s="21"/>
      <c r="R95" s="21"/>
    </row>
    <row r="96" spans="1:18" ht="17.25" x14ac:dyDescent="0.25">
      <c r="A96" s="21">
        <f t="shared" si="0"/>
        <v>0.28670651040806372</v>
      </c>
      <c r="B96" t="s">
        <v>49</v>
      </c>
      <c r="C96" s="21" t="str">
        <f t="shared" si="1"/>
        <v>B</v>
      </c>
      <c r="D96">
        <v>110</v>
      </c>
      <c r="E96">
        <v>141.53771614488701</v>
      </c>
      <c r="F96"/>
      <c r="G96" s="5"/>
      <c r="L96"/>
      <c r="Q96" s="21"/>
      <c r="R96" s="21"/>
    </row>
    <row r="97" spans="1:18" ht="17.25" x14ac:dyDescent="0.25">
      <c r="A97" s="21">
        <f t="shared" si="0"/>
        <v>0.34844772171071581</v>
      </c>
      <c r="B97" t="s">
        <v>49</v>
      </c>
      <c r="C97" s="21" t="str">
        <f t="shared" si="1"/>
        <v>B</v>
      </c>
      <c r="D97">
        <v>102</v>
      </c>
      <c r="E97">
        <v>137.54166761449301</v>
      </c>
      <c r="F97"/>
      <c r="G97" s="5"/>
      <c r="L97"/>
      <c r="Q97" s="21"/>
      <c r="R97" s="21"/>
    </row>
    <row r="98" spans="1:18" ht="17.25" x14ac:dyDescent="0.25">
      <c r="A98" s="21">
        <f t="shared" si="0"/>
        <v>0.54186424130560762</v>
      </c>
      <c r="B98" t="s">
        <v>49</v>
      </c>
      <c r="C98" s="21" t="str">
        <f t="shared" si="1"/>
        <v>B</v>
      </c>
      <c r="D98">
        <v>79</v>
      </c>
      <c r="E98">
        <v>121.807275063143</v>
      </c>
      <c r="F98"/>
      <c r="G98" s="5"/>
      <c r="L98"/>
      <c r="Q98" s="21"/>
      <c r="R98" s="21"/>
    </row>
    <row r="99" spans="1:18" ht="17.25" x14ac:dyDescent="0.25">
      <c r="A99" s="21">
        <f t="shared" si="0"/>
        <v>-0.16989827792356782</v>
      </c>
      <c r="B99" t="s">
        <v>49</v>
      </c>
      <c r="C99" s="21" t="str">
        <f t="shared" si="1"/>
        <v>A</v>
      </c>
      <c r="D99">
        <v>155</v>
      </c>
      <c r="E99">
        <v>128.66576692184699</v>
      </c>
      <c r="F99"/>
      <c r="G99" s="5"/>
      <c r="L99"/>
      <c r="Q99" s="21"/>
      <c r="R99" s="21"/>
    </row>
    <row r="100" spans="1:18" ht="17.25" x14ac:dyDescent="0.25">
      <c r="A100" s="21">
        <f t="shared" si="0"/>
        <v>-8.8956355096974971E-2</v>
      </c>
      <c r="B100" t="s">
        <v>49</v>
      </c>
      <c r="C100" s="21" t="str">
        <f t="shared" si="1"/>
        <v>A</v>
      </c>
      <c r="D100">
        <v>159</v>
      </c>
      <c r="E100">
        <v>144.85593953958099</v>
      </c>
      <c r="F100"/>
      <c r="G100" s="5"/>
      <c r="L100"/>
      <c r="Q100" s="21"/>
      <c r="R100" s="21"/>
    </row>
    <row r="101" spans="1:18" ht="17.25" x14ac:dyDescent="0.25">
      <c r="A101" s="21">
        <f t="shared" si="0"/>
        <v>0.24400474921949988</v>
      </c>
      <c r="B101" t="s">
        <v>49</v>
      </c>
      <c r="C101" s="21" t="str">
        <f t="shared" si="1"/>
        <v>B</v>
      </c>
      <c r="D101">
        <v>114</v>
      </c>
      <c r="E101">
        <v>141.816541411023</v>
      </c>
      <c r="F101"/>
      <c r="G101" s="5"/>
      <c r="L101"/>
      <c r="Q101" s="21"/>
      <c r="R101" s="21"/>
    </row>
    <row r="102" spans="1:18" ht="17.25" x14ac:dyDescent="0.25">
      <c r="A102" s="21">
        <f t="shared" si="0"/>
        <v>0.42887878096756626</v>
      </c>
      <c r="B102" t="s">
        <v>49</v>
      </c>
      <c r="C102" s="21" t="str">
        <f t="shared" si="1"/>
        <v>B</v>
      </c>
      <c r="D102">
        <v>136</v>
      </c>
      <c r="E102">
        <v>194.327514211589</v>
      </c>
      <c r="F102"/>
      <c r="G102" s="5"/>
      <c r="L102"/>
      <c r="Q102" s="21"/>
      <c r="R102" s="21"/>
    </row>
    <row r="103" spans="1:18" ht="17.25" x14ac:dyDescent="0.25">
      <c r="A103" s="21">
        <f t="shared" ref="A103:A167" si="2">E103/D103-1</f>
        <v>0.87200295818551998</v>
      </c>
      <c r="B103" t="s">
        <v>49</v>
      </c>
      <c r="C103" s="21" t="s">
        <v>69</v>
      </c>
      <c r="D103">
        <v>125</v>
      </c>
      <c r="E103">
        <v>234.00036977318999</v>
      </c>
      <c r="F103">
        <v>234.00036977318999</v>
      </c>
      <c r="G103" s="5"/>
      <c r="L103"/>
      <c r="Q103" s="21"/>
      <c r="R103" s="21"/>
    </row>
    <row r="104" spans="1:18" ht="17.25" x14ac:dyDescent="0.25">
      <c r="A104" s="21">
        <f t="shared" si="2"/>
        <v>0.12506192081072021</v>
      </c>
      <c r="B104" t="s">
        <v>49</v>
      </c>
      <c r="C104" s="21" t="str">
        <f t="shared" ref="C103:C166" si="3">IF(OR(A104&gt;=20%,A104&lt;=-20%),"B","A")</f>
        <v>A</v>
      </c>
      <c r="D104">
        <v>168</v>
      </c>
      <c r="E104">
        <v>189.010402696201</v>
      </c>
      <c r="F104"/>
      <c r="G104" s="5"/>
      <c r="L104"/>
      <c r="Q104" s="21"/>
      <c r="R104" s="21"/>
    </row>
    <row r="105" spans="1:18" ht="17.25" x14ac:dyDescent="0.25">
      <c r="A105" s="21">
        <f t="shared" si="2"/>
        <v>0.43997399247985802</v>
      </c>
      <c r="B105" t="s">
        <v>49</v>
      </c>
      <c r="C105" s="21" t="str">
        <f t="shared" si="3"/>
        <v>B</v>
      </c>
      <c r="D105">
        <v>148</v>
      </c>
      <c r="E105">
        <v>213.11615088701899</v>
      </c>
      <c r="F105"/>
      <c r="G105" s="5"/>
      <c r="L105"/>
      <c r="Q105" s="21"/>
      <c r="R105" s="21"/>
    </row>
    <row r="106" spans="1:18" ht="17.25" x14ac:dyDescent="0.25">
      <c r="A106" s="21">
        <f t="shared" si="2"/>
        <v>2.730641566558889E-2</v>
      </c>
      <c r="B106" t="s">
        <v>49</v>
      </c>
      <c r="C106" s="21" t="str">
        <f t="shared" si="3"/>
        <v>A</v>
      </c>
      <c r="D106">
        <v>214</v>
      </c>
      <c r="E106">
        <v>219.84357295243601</v>
      </c>
      <c r="F106"/>
      <c r="G106" s="5"/>
      <c r="L106"/>
      <c r="Q106" s="21"/>
      <c r="R106" s="21"/>
    </row>
    <row r="107" spans="1:18" ht="17.25" x14ac:dyDescent="0.25">
      <c r="A107" s="21">
        <f t="shared" si="2"/>
        <v>1.6599064563040722E-2</v>
      </c>
      <c r="B107" t="s">
        <v>49</v>
      </c>
      <c r="C107" s="21" t="str">
        <f t="shared" si="3"/>
        <v>A</v>
      </c>
      <c r="D107">
        <v>196</v>
      </c>
      <c r="E107">
        <v>199.25341665435599</v>
      </c>
      <c r="F107"/>
      <c r="G107" s="5"/>
      <c r="L107"/>
      <c r="Q107" s="21"/>
      <c r="R107" s="21"/>
    </row>
    <row r="108" spans="1:18" ht="17.25" x14ac:dyDescent="0.25">
      <c r="A108" s="21">
        <f t="shared" si="2"/>
        <v>8.9411743127167487E-2</v>
      </c>
      <c r="B108" t="s">
        <v>49</v>
      </c>
      <c r="C108" s="21" t="str">
        <f t="shared" si="3"/>
        <v>A</v>
      </c>
      <c r="D108">
        <v>203</v>
      </c>
      <c r="E108">
        <v>221.15058385481501</v>
      </c>
      <c r="F108"/>
      <c r="G108" s="5"/>
      <c r="L108"/>
      <c r="Q108" s="21"/>
      <c r="R108" s="21"/>
    </row>
    <row r="109" spans="1:18" ht="17.25" x14ac:dyDescent="0.25">
      <c r="A109" s="21">
        <f t="shared" si="2"/>
        <v>-0.1851662319555899</v>
      </c>
      <c r="B109" t="s">
        <v>49</v>
      </c>
      <c r="C109" s="21" t="str">
        <f t="shared" si="3"/>
        <v>A</v>
      </c>
      <c r="D109">
        <v>278</v>
      </c>
      <c r="E109">
        <v>226.523787516346</v>
      </c>
      <c r="F109"/>
      <c r="G109" s="5"/>
      <c r="L109"/>
      <c r="Q109" s="21"/>
      <c r="R109" s="21"/>
    </row>
    <row r="110" spans="1:18" ht="17.25" x14ac:dyDescent="0.25">
      <c r="A110" s="21">
        <f t="shared" si="2"/>
        <v>-4.1059767167254457E-2</v>
      </c>
      <c r="B110" t="s">
        <v>49</v>
      </c>
      <c r="C110" s="21" t="str">
        <f t="shared" si="3"/>
        <v>A</v>
      </c>
      <c r="D110">
        <v>228</v>
      </c>
      <c r="E110">
        <v>218.63837308586599</v>
      </c>
      <c r="F110"/>
      <c r="G110" s="5"/>
      <c r="L110"/>
      <c r="Q110" s="21"/>
      <c r="R110" s="21"/>
    </row>
    <row r="111" spans="1:18" ht="17.25" x14ac:dyDescent="0.25">
      <c r="A111" s="21">
        <f t="shared" si="2"/>
        <v>5.9572744002230671E-2</v>
      </c>
      <c r="B111" t="s">
        <v>49</v>
      </c>
      <c r="C111" s="21" t="str">
        <f t="shared" si="3"/>
        <v>A</v>
      </c>
      <c r="D111">
        <v>195</v>
      </c>
      <c r="E111">
        <v>206.61668508043499</v>
      </c>
      <c r="F111"/>
      <c r="G111" s="5"/>
      <c r="L111"/>
      <c r="Q111" s="21"/>
      <c r="R111" s="21"/>
    </row>
    <row r="112" spans="1:18" ht="17.25" x14ac:dyDescent="0.25">
      <c r="A112" s="21">
        <f t="shared" si="2"/>
        <v>-0.21410264465040629</v>
      </c>
      <c r="B112" t="s">
        <v>49</v>
      </c>
      <c r="C112" s="21" t="str">
        <f t="shared" si="3"/>
        <v>B</v>
      </c>
      <c r="D112">
        <v>253.5</v>
      </c>
      <c r="E112">
        <v>199.224979581122</v>
      </c>
      <c r="F112"/>
      <c r="G112" s="5"/>
      <c r="L112"/>
      <c r="Q112" s="21"/>
      <c r="R112" s="21"/>
    </row>
    <row r="113" spans="1:18" ht="17.25" x14ac:dyDescent="0.25">
      <c r="A113" s="21">
        <f t="shared" si="2"/>
        <v>-0.11483238362453607</v>
      </c>
      <c r="B113" t="s">
        <v>49</v>
      </c>
      <c r="C113" s="21" t="str">
        <f t="shared" si="3"/>
        <v>A</v>
      </c>
      <c r="D113">
        <v>242.5</v>
      </c>
      <c r="E113">
        <v>214.65314697105001</v>
      </c>
      <c r="F113"/>
      <c r="G113" s="5"/>
      <c r="L113"/>
      <c r="Q113" s="21"/>
      <c r="R113" s="21"/>
    </row>
    <row r="114" spans="1:18" ht="17.25" x14ac:dyDescent="0.25">
      <c r="A114" s="21">
        <f t="shared" si="2"/>
        <v>-0.22251928379456398</v>
      </c>
      <c r="B114" t="s">
        <v>49</v>
      </c>
      <c r="C114" s="21" t="str">
        <f t="shared" si="3"/>
        <v>B</v>
      </c>
      <c r="D114">
        <v>266</v>
      </c>
      <c r="E114">
        <v>206.80987051064599</v>
      </c>
      <c r="F114"/>
      <c r="G114" s="5"/>
      <c r="L114"/>
      <c r="Q114" s="21"/>
      <c r="R114" s="21"/>
    </row>
    <row r="115" spans="1:18" ht="17.25" x14ac:dyDescent="0.25">
      <c r="A115" s="21">
        <f t="shared" si="2"/>
        <v>-0.2514204575946698</v>
      </c>
      <c r="B115" t="s">
        <v>49</v>
      </c>
      <c r="C115" s="21" t="str">
        <f t="shared" si="3"/>
        <v>B</v>
      </c>
      <c r="D115">
        <v>215</v>
      </c>
      <c r="E115">
        <v>160.94460161714599</v>
      </c>
      <c r="F115"/>
      <c r="G115" s="5"/>
      <c r="L115"/>
      <c r="Q115" s="21"/>
      <c r="R115" s="21"/>
    </row>
    <row r="116" spans="1:18" ht="17.25" x14ac:dyDescent="0.25">
      <c r="A116" s="21">
        <f t="shared" si="2"/>
        <v>0.28205319853176336</v>
      </c>
      <c r="B116" t="s">
        <v>49</v>
      </c>
      <c r="C116" s="21" t="str">
        <f t="shared" si="3"/>
        <v>B</v>
      </c>
      <c r="D116">
        <v>139.5</v>
      </c>
      <c r="E116">
        <v>178.84642119518099</v>
      </c>
      <c r="F116"/>
      <c r="G116" s="5"/>
      <c r="L116"/>
      <c r="Q116" s="21"/>
      <c r="R116" s="21"/>
    </row>
    <row r="117" spans="1:18" ht="17.25" x14ac:dyDescent="0.25">
      <c r="A117" s="21">
        <f t="shared" si="2"/>
        <v>0.22269979622770064</v>
      </c>
      <c r="B117" t="s">
        <v>49</v>
      </c>
      <c r="C117" s="21" t="str">
        <f t="shared" si="3"/>
        <v>B</v>
      </c>
      <c r="D117">
        <v>187</v>
      </c>
      <c r="E117">
        <v>228.64486189458</v>
      </c>
      <c r="F117"/>
      <c r="G117" s="5"/>
      <c r="L117"/>
      <c r="Q117" s="21"/>
      <c r="R117" s="21"/>
    </row>
    <row r="118" spans="1:18" ht="17.25" x14ac:dyDescent="0.25">
      <c r="A118" s="21">
        <f t="shared" si="2"/>
        <v>-1.479608775550878E-2</v>
      </c>
      <c r="B118" t="s">
        <v>49</v>
      </c>
      <c r="C118" s="21" t="str">
        <f t="shared" si="3"/>
        <v>A</v>
      </c>
      <c r="D118">
        <v>281</v>
      </c>
      <c r="E118">
        <v>276.84229934070203</v>
      </c>
      <c r="F118"/>
      <c r="G118" s="5"/>
      <c r="L118"/>
      <c r="Q118" s="21"/>
      <c r="R118" s="21"/>
    </row>
    <row r="119" spans="1:18" ht="17.25" x14ac:dyDescent="0.25">
      <c r="A119" s="21">
        <f t="shared" si="2"/>
        <v>4.2995173697744971E-2</v>
      </c>
      <c r="B119" t="s">
        <v>49</v>
      </c>
      <c r="C119" s="21" t="str">
        <f t="shared" si="3"/>
        <v>A</v>
      </c>
      <c r="D119">
        <v>306</v>
      </c>
      <c r="E119">
        <v>319.15652315150999</v>
      </c>
      <c r="F119"/>
      <c r="G119" s="5"/>
      <c r="L119"/>
      <c r="Q119" s="21"/>
      <c r="R119" s="21"/>
    </row>
    <row r="120" spans="1:18" ht="17.25" x14ac:dyDescent="0.25">
      <c r="A120" s="21">
        <f t="shared" si="2"/>
        <v>-6.8139778871922463E-2</v>
      </c>
      <c r="B120" t="s">
        <v>49</v>
      </c>
      <c r="C120" s="21" t="str">
        <f t="shared" si="3"/>
        <v>A</v>
      </c>
      <c r="D120">
        <v>258</v>
      </c>
      <c r="E120">
        <v>240.419937051044</v>
      </c>
      <c r="F120"/>
      <c r="G120" s="5"/>
      <c r="L120"/>
      <c r="Q120" s="21"/>
      <c r="R120" s="21"/>
    </row>
    <row r="121" spans="1:18" ht="17.25" x14ac:dyDescent="0.25">
      <c r="A121" s="21">
        <f t="shared" si="2"/>
        <v>0.13637409570765091</v>
      </c>
      <c r="B121" t="s">
        <v>49</v>
      </c>
      <c r="C121" s="21" t="str">
        <f t="shared" si="3"/>
        <v>A</v>
      </c>
      <c r="D121">
        <v>212</v>
      </c>
      <c r="E121">
        <v>240.91130829002199</v>
      </c>
      <c r="F121"/>
      <c r="G121" s="5"/>
      <c r="L121"/>
      <c r="Q121" s="21"/>
      <c r="R121" s="21"/>
    </row>
    <row r="122" spans="1:18" ht="17.25" x14ac:dyDescent="0.25">
      <c r="A122" s="21">
        <f t="shared" si="2"/>
        <v>0.28131363201530091</v>
      </c>
      <c r="B122" t="s">
        <v>49</v>
      </c>
      <c r="C122" s="21" t="str">
        <f t="shared" si="3"/>
        <v>B</v>
      </c>
      <c r="D122">
        <v>186</v>
      </c>
      <c r="E122">
        <v>238.32433555484599</v>
      </c>
      <c r="F122"/>
      <c r="G122" s="5"/>
      <c r="L122"/>
      <c r="Q122" s="21"/>
      <c r="R122" s="21"/>
    </row>
    <row r="123" spans="1:18" ht="17.25" x14ac:dyDescent="0.25">
      <c r="A123" s="21">
        <f t="shared" si="2"/>
        <v>0.70734726050285524</v>
      </c>
      <c r="B123" t="s">
        <v>49</v>
      </c>
      <c r="C123" s="21" t="s">
        <v>73</v>
      </c>
      <c r="D123">
        <v>76</v>
      </c>
      <c r="E123">
        <v>129.75839179821699</v>
      </c>
      <c r="F123">
        <v>129.75839179821699</v>
      </c>
      <c r="G123" s="5"/>
      <c r="L123"/>
      <c r="Q123" s="21"/>
      <c r="R123" s="21"/>
    </row>
    <row r="124" spans="1:18" ht="17.25" x14ac:dyDescent="0.25">
      <c r="A124" s="21">
        <f t="shared" si="2"/>
        <v>0.16807156400192036</v>
      </c>
      <c r="B124" t="s">
        <v>49</v>
      </c>
      <c r="C124" s="21" t="str">
        <f t="shared" si="3"/>
        <v>A</v>
      </c>
      <c r="D124">
        <v>113</v>
      </c>
      <c r="E124">
        <v>131.99208673221699</v>
      </c>
      <c r="F124"/>
      <c r="G124" s="5"/>
      <c r="L124"/>
      <c r="Q124" s="21"/>
      <c r="R124" s="21"/>
    </row>
    <row r="125" spans="1:18" ht="17.25" x14ac:dyDescent="0.25">
      <c r="A125" s="21">
        <f t="shared" si="2"/>
        <v>0.3274250736213562</v>
      </c>
      <c r="B125" t="s">
        <v>49</v>
      </c>
      <c r="C125" s="21" t="str">
        <f t="shared" si="3"/>
        <v>B</v>
      </c>
      <c r="D125">
        <v>87</v>
      </c>
      <c r="E125">
        <v>115.485981405058</v>
      </c>
      <c r="F125"/>
      <c r="G125" s="5"/>
      <c r="L125"/>
      <c r="Q125" s="21"/>
      <c r="R125" s="21"/>
    </row>
    <row r="126" spans="1:18" ht="17.25" x14ac:dyDescent="0.25">
      <c r="A126" s="21">
        <f t="shared" si="2"/>
        <v>0.40610441252024709</v>
      </c>
      <c r="B126" t="s">
        <v>50</v>
      </c>
      <c r="C126" s="21" t="str">
        <f t="shared" si="3"/>
        <v>B</v>
      </c>
      <c r="D126">
        <v>81</v>
      </c>
      <c r="E126">
        <v>113.89445741414001</v>
      </c>
      <c r="F126"/>
      <c r="G126" s="5"/>
      <c r="M126"/>
      <c r="Q126" s="21"/>
      <c r="R126" s="21"/>
    </row>
    <row r="127" spans="1:18" x14ac:dyDescent="0.25">
      <c r="A127" s="21">
        <f t="shared" si="2"/>
        <v>0.56204530872145453</v>
      </c>
      <c r="B127" t="s">
        <v>50</v>
      </c>
      <c r="C127" s="21" t="str">
        <f t="shared" si="3"/>
        <v>B</v>
      </c>
      <c r="D127">
        <v>110</v>
      </c>
      <c r="E127">
        <v>171.82498395936</v>
      </c>
      <c r="F127"/>
      <c r="M127"/>
      <c r="Q127" s="21"/>
      <c r="R127" s="21"/>
    </row>
    <row r="128" spans="1:18" x14ac:dyDescent="0.25">
      <c r="A128" s="21">
        <f t="shared" si="2"/>
        <v>0.28611733795527927</v>
      </c>
      <c r="B128" t="s">
        <v>50</v>
      </c>
      <c r="C128" s="21" t="str">
        <f t="shared" si="3"/>
        <v>B</v>
      </c>
      <c r="D128">
        <v>111</v>
      </c>
      <c r="E128">
        <v>142.759024513036</v>
      </c>
      <c r="F128"/>
      <c r="M128"/>
      <c r="Q128" s="21"/>
      <c r="R128" s="21"/>
    </row>
    <row r="129" spans="1:18" x14ac:dyDescent="0.25">
      <c r="A129" s="21">
        <f t="shared" si="2"/>
        <v>0.63371704297170961</v>
      </c>
      <c r="B129" t="s">
        <v>50</v>
      </c>
      <c r="C129" s="21" t="str">
        <f t="shared" si="3"/>
        <v>B</v>
      </c>
      <c r="D129">
        <v>93</v>
      </c>
      <c r="E129">
        <v>151.93568499636899</v>
      </c>
      <c r="F129"/>
      <c r="M129"/>
      <c r="Q129" s="21"/>
      <c r="R129" s="21"/>
    </row>
    <row r="130" spans="1:18" x14ac:dyDescent="0.25">
      <c r="A130" s="21">
        <f t="shared" si="2"/>
        <v>4.9724261405805548E-2</v>
      </c>
      <c r="B130" t="s">
        <v>50</v>
      </c>
      <c r="C130" s="21" t="str">
        <f t="shared" si="3"/>
        <v>A</v>
      </c>
      <c r="D130">
        <v>221</v>
      </c>
      <c r="E130">
        <v>231.98906177068301</v>
      </c>
      <c r="F130"/>
      <c r="M130"/>
      <c r="Q130" s="21"/>
      <c r="R130" s="21"/>
    </row>
    <row r="131" spans="1:18" x14ac:dyDescent="0.25">
      <c r="A131" s="21">
        <f t="shared" si="2"/>
        <v>-0.23374241326484702</v>
      </c>
      <c r="B131" t="s">
        <v>50</v>
      </c>
      <c r="C131" s="21" t="str">
        <f t="shared" si="3"/>
        <v>B</v>
      </c>
      <c r="D131">
        <v>281</v>
      </c>
      <c r="E131">
        <v>215.31838187257799</v>
      </c>
      <c r="F131"/>
      <c r="M131"/>
      <c r="Q131" s="21"/>
      <c r="R131" s="21"/>
    </row>
    <row r="132" spans="1:18" x14ac:dyDescent="0.25">
      <c r="A132" s="21">
        <f t="shared" si="2"/>
        <v>-0.23796108038040775</v>
      </c>
      <c r="B132" t="s">
        <v>50</v>
      </c>
      <c r="C132" s="21" t="str">
        <f t="shared" si="3"/>
        <v>B</v>
      </c>
      <c r="D132">
        <v>287</v>
      </c>
      <c r="E132">
        <v>218.70516993082299</v>
      </c>
      <c r="F132"/>
      <c r="M132"/>
      <c r="Q132" s="21"/>
      <c r="R132" s="21"/>
    </row>
    <row r="133" spans="1:18" x14ac:dyDescent="0.25">
      <c r="A133" s="21">
        <f t="shared" si="2"/>
        <v>-9.3370230987934622E-2</v>
      </c>
      <c r="B133" t="s">
        <v>50</v>
      </c>
      <c r="C133" s="21" t="str">
        <f t="shared" si="3"/>
        <v>A</v>
      </c>
      <c r="D133">
        <v>260</v>
      </c>
      <c r="E133">
        <v>235.72373994313699</v>
      </c>
      <c r="F133"/>
      <c r="M133"/>
      <c r="Q133" s="21"/>
      <c r="R133" s="21"/>
    </row>
    <row r="134" spans="1:18" x14ac:dyDescent="0.25">
      <c r="A134" s="21">
        <f t="shared" si="2"/>
        <v>-0.11518195455436886</v>
      </c>
      <c r="B134" t="s">
        <v>51</v>
      </c>
      <c r="C134" s="21" t="str">
        <f t="shared" si="3"/>
        <v>A</v>
      </c>
      <c r="D134">
        <v>263</v>
      </c>
      <c r="E134">
        <v>232.70714595220099</v>
      </c>
      <c r="F134"/>
      <c r="N134"/>
      <c r="Q134" s="21"/>
      <c r="R134" s="21"/>
    </row>
    <row r="135" spans="1:18" x14ac:dyDescent="0.25">
      <c r="A135" s="21">
        <f t="shared" si="2"/>
        <v>-0.26964601266291643</v>
      </c>
      <c r="B135" t="s">
        <v>51</v>
      </c>
      <c r="C135" s="21" t="str">
        <f t="shared" si="3"/>
        <v>B</v>
      </c>
      <c r="D135">
        <v>323</v>
      </c>
      <c r="E135">
        <v>235.904337909878</v>
      </c>
      <c r="F135"/>
      <c r="N135"/>
      <c r="Q135" s="21"/>
      <c r="R135" s="21"/>
    </row>
    <row r="136" spans="1:18" x14ac:dyDescent="0.25">
      <c r="A136" s="21">
        <f t="shared" si="2"/>
        <v>-0.13808861810086659</v>
      </c>
      <c r="B136" t="s">
        <v>51</v>
      </c>
      <c r="C136" s="21" t="str">
        <f t="shared" si="3"/>
        <v>A</v>
      </c>
      <c r="D136">
        <v>150</v>
      </c>
      <c r="E136">
        <v>129.28670728487</v>
      </c>
      <c r="F136"/>
      <c r="N136"/>
      <c r="Q136" s="21"/>
      <c r="R136" s="21"/>
    </row>
    <row r="137" spans="1:18" x14ac:dyDescent="0.25">
      <c r="A137" s="21">
        <f t="shared" si="2"/>
        <v>0.3626710304602061</v>
      </c>
      <c r="B137" t="s">
        <v>51</v>
      </c>
      <c r="C137" s="21" t="str">
        <f t="shared" si="3"/>
        <v>B</v>
      </c>
      <c r="D137">
        <v>131</v>
      </c>
      <c r="E137">
        <v>178.509904990287</v>
      </c>
      <c r="F137"/>
      <c r="N137"/>
      <c r="Q137" s="21"/>
      <c r="R137" s="21"/>
    </row>
    <row r="138" spans="1:18" x14ac:dyDescent="0.25">
      <c r="A138" s="21">
        <f t="shared" si="2"/>
        <v>-2.351689873853291E-2</v>
      </c>
      <c r="B138" t="s">
        <v>51</v>
      </c>
      <c r="C138" s="21" t="str">
        <f t="shared" si="3"/>
        <v>A</v>
      </c>
      <c r="D138">
        <v>152</v>
      </c>
      <c r="E138">
        <v>148.42543139174299</v>
      </c>
      <c r="F138"/>
      <c r="N138"/>
      <c r="Q138" s="21"/>
      <c r="R138" s="21"/>
    </row>
    <row r="139" spans="1:18" x14ac:dyDescent="0.25">
      <c r="A139" s="21">
        <f t="shared" si="2"/>
        <v>-6.9060439350352554E-2</v>
      </c>
      <c r="B139" t="s">
        <v>51</v>
      </c>
      <c r="C139" s="21" t="str">
        <f t="shared" si="3"/>
        <v>A</v>
      </c>
      <c r="D139">
        <v>156</v>
      </c>
      <c r="E139">
        <v>145.226571461345</v>
      </c>
      <c r="F139"/>
      <c r="N139"/>
      <c r="Q139" s="21"/>
      <c r="R139" s="21"/>
    </row>
    <row r="140" spans="1:18" x14ac:dyDescent="0.25">
      <c r="A140" s="21">
        <f t="shared" si="2"/>
        <v>0.27951706194726889</v>
      </c>
      <c r="B140" t="s">
        <v>51</v>
      </c>
      <c r="C140" s="21" t="str">
        <f t="shared" si="3"/>
        <v>B</v>
      </c>
      <c r="D140">
        <v>93</v>
      </c>
      <c r="E140">
        <v>118.995086761096</v>
      </c>
      <c r="F140"/>
      <c r="N140"/>
      <c r="Q140" s="21"/>
      <c r="R140" s="21"/>
    </row>
    <row r="141" spans="1:18" x14ac:dyDescent="0.25">
      <c r="A141" s="21">
        <f t="shared" si="2"/>
        <v>-5.3720869794580572E-2</v>
      </c>
      <c r="B141" t="s">
        <v>51</v>
      </c>
      <c r="C141" s="21" t="str">
        <f t="shared" si="3"/>
        <v>A</v>
      </c>
      <c r="D141">
        <v>155</v>
      </c>
      <c r="E141">
        <v>146.67326518184001</v>
      </c>
      <c r="F141"/>
      <c r="N141"/>
      <c r="Q141" s="21"/>
      <c r="R141" s="21"/>
    </row>
    <row r="142" spans="1:18" x14ac:dyDescent="0.25">
      <c r="A142" s="21">
        <f t="shared" si="2"/>
        <v>-5.9739899883449077E-2</v>
      </c>
      <c r="B142" t="s">
        <v>52</v>
      </c>
      <c r="C142" s="21" t="str">
        <f t="shared" si="3"/>
        <v>A</v>
      </c>
      <c r="D142">
        <v>147</v>
      </c>
      <c r="E142">
        <v>138.21823471713299</v>
      </c>
      <c r="F142"/>
      <c r="O142"/>
      <c r="Q142" s="21"/>
      <c r="R142" s="21"/>
    </row>
    <row r="143" spans="1:18" x14ac:dyDescent="0.25">
      <c r="A143" s="21">
        <f t="shared" si="2"/>
        <v>5.2200540783705396E-2</v>
      </c>
      <c r="B143" t="s">
        <v>52</v>
      </c>
      <c r="C143" s="21" t="str">
        <f t="shared" si="3"/>
        <v>A</v>
      </c>
      <c r="D143">
        <v>112</v>
      </c>
      <c r="E143">
        <v>117.846460567775</v>
      </c>
      <c r="F143"/>
      <c r="O143"/>
      <c r="Q143" s="21"/>
      <c r="R143" s="21"/>
    </row>
    <row r="144" spans="1:18" x14ac:dyDescent="0.25">
      <c r="A144" s="21">
        <f t="shared" si="2"/>
        <v>0.38341067682291086</v>
      </c>
      <c r="B144" t="s">
        <v>52</v>
      </c>
      <c r="C144" s="21" t="str">
        <f t="shared" si="3"/>
        <v>B</v>
      </c>
      <c r="D144">
        <v>101</v>
      </c>
      <c r="E144">
        <v>139.72447835911399</v>
      </c>
      <c r="F144"/>
      <c r="O144"/>
      <c r="Q144" s="21"/>
      <c r="R144" s="21"/>
    </row>
    <row r="145" spans="1:18" x14ac:dyDescent="0.25">
      <c r="A145" s="21">
        <f t="shared" si="2"/>
        <v>-9.7639591682040394E-2</v>
      </c>
      <c r="B145" t="s">
        <v>52</v>
      </c>
      <c r="C145" s="21" t="str">
        <f t="shared" si="3"/>
        <v>A</v>
      </c>
      <c r="D145">
        <v>173.5</v>
      </c>
      <c r="E145">
        <v>156.55953084316599</v>
      </c>
      <c r="F145"/>
      <c r="O145"/>
      <c r="Q145" s="21"/>
      <c r="R145" s="21"/>
    </row>
    <row r="146" spans="1:18" x14ac:dyDescent="0.25">
      <c r="A146" s="21">
        <f t="shared" si="2"/>
        <v>0.12791014562904968</v>
      </c>
      <c r="B146" t="s">
        <v>52</v>
      </c>
      <c r="C146" s="21" t="str">
        <f t="shared" si="3"/>
        <v>A</v>
      </c>
      <c r="D146">
        <v>141</v>
      </c>
      <c r="E146">
        <v>159.035330533696</v>
      </c>
      <c r="F146"/>
      <c r="O146"/>
      <c r="Q146" s="21"/>
      <c r="R146" s="21"/>
    </row>
    <row r="147" spans="1:18" x14ac:dyDescent="0.25">
      <c r="A147" s="21">
        <f t="shared" si="2"/>
        <v>1.4255142455223968E-3</v>
      </c>
      <c r="B147" t="s">
        <v>53</v>
      </c>
      <c r="C147" s="21" t="str">
        <f t="shared" si="3"/>
        <v>A</v>
      </c>
      <c r="D147">
        <v>157</v>
      </c>
      <c r="E147">
        <v>157.22380573654701</v>
      </c>
      <c r="F147"/>
      <c r="O147"/>
      <c r="Q147" s="21"/>
      <c r="R147" s="21"/>
    </row>
    <row r="148" spans="1:18" x14ac:dyDescent="0.25">
      <c r="A148" s="21">
        <f t="shared" si="2"/>
        <v>0.39395029411492222</v>
      </c>
      <c r="B148" t="s">
        <v>53</v>
      </c>
      <c r="C148" s="21" t="str">
        <f t="shared" si="3"/>
        <v>B</v>
      </c>
      <c r="D148">
        <v>138.25</v>
      </c>
      <c r="E148">
        <v>192.71362816138799</v>
      </c>
      <c r="F148"/>
      <c r="O148"/>
      <c r="Q148" s="21"/>
      <c r="R148" s="21"/>
    </row>
    <row r="149" spans="1:18" x14ac:dyDescent="0.25">
      <c r="A149" s="21">
        <f t="shared" si="2"/>
        <v>0.70875792891449541</v>
      </c>
      <c r="B149" t="s">
        <v>53</v>
      </c>
      <c r="C149" s="21" t="str">
        <f t="shared" si="3"/>
        <v>B</v>
      </c>
      <c r="D149">
        <v>111</v>
      </c>
      <c r="E149">
        <v>189.672130109509</v>
      </c>
      <c r="F149"/>
      <c r="O149"/>
      <c r="Q149" s="21"/>
      <c r="R149" s="21"/>
    </row>
    <row r="150" spans="1:18" x14ac:dyDescent="0.25">
      <c r="A150" s="21">
        <f t="shared" si="2"/>
        <v>0.48598248253347753</v>
      </c>
      <c r="B150" t="s">
        <v>53</v>
      </c>
      <c r="C150" s="21" t="str">
        <f t="shared" si="3"/>
        <v>B</v>
      </c>
      <c r="D150">
        <v>111</v>
      </c>
      <c r="E150">
        <v>164.944055561216</v>
      </c>
      <c r="F150"/>
      <c r="O150"/>
      <c r="Q150" s="21"/>
      <c r="R150" s="21"/>
    </row>
    <row r="151" spans="1:18" x14ac:dyDescent="0.25">
      <c r="A151" s="21">
        <f t="shared" si="2"/>
        <v>0.3321629433132316</v>
      </c>
      <c r="B151" t="s">
        <v>53</v>
      </c>
      <c r="C151" s="21" t="str">
        <f t="shared" si="3"/>
        <v>B</v>
      </c>
      <c r="D151">
        <v>95</v>
      </c>
      <c r="E151">
        <v>126.555479614757</v>
      </c>
      <c r="F151"/>
      <c r="O151"/>
      <c r="Q151" s="21"/>
      <c r="R151" s="21"/>
    </row>
    <row r="152" spans="1:18" x14ac:dyDescent="0.25">
      <c r="A152" s="21">
        <f t="shared" si="2"/>
        <v>6.7408613891277946E-2</v>
      </c>
      <c r="C152" s="21" t="str">
        <f t="shared" si="3"/>
        <v>A</v>
      </c>
      <c r="D152">
        <v>156.5</v>
      </c>
      <c r="E152">
        <v>167.04944807398499</v>
      </c>
      <c r="F152"/>
      <c r="Q152" s="21"/>
      <c r="R152" s="21"/>
    </row>
    <row r="153" spans="1:18" x14ac:dyDescent="0.25">
      <c r="A153" s="21">
        <f t="shared" si="2"/>
        <v>0.48269500002142252</v>
      </c>
      <c r="C153" s="21" t="str">
        <f t="shared" si="3"/>
        <v>B</v>
      </c>
      <c r="D153">
        <v>116</v>
      </c>
      <c r="E153">
        <v>171.99262000248501</v>
      </c>
      <c r="F153"/>
      <c r="Q153" s="21"/>
      <c r="R153" s="21"/>
    </row>
    <row r="154" spans="1:18" x14ac:dyDescent="0.25">
      <c r="A154" s="21">
        <f t="shared" si="2"/>
        <v>0.25354605764786764</v>
      </c>
      <c r="C154" s="21" t="str">
        <f t="shared" si="3"/>
        <v>B</v>
      </c>
      <c r="D154">
        <v>121</v>
      </c>
      <c r="E154">
        <v>151.67907297539199</v>
      </c>
      <c r="F154"/>
      <c r="Q154" s="21"/>
      <c r="R154" s="21"/>
    </row>
    <row r="155" spans="1:18" x14ac:dyDescent="0.25">
      <c r="A155" s="21">
        <f t="shared" si="2"/>
        <v>4.0436657875465354E-2</v>
      </c>
      <c r="C155" s="21" t="str">
        <f t="shared" si="3"/>
        <v>A</v>
      </c>
      <c r="D155">
        <v>108.5</v>
      </c>
      <c r="E155">
        <v>112.887377379488</v>
      </c>
      <c r="F155"/>
      <c r="Q155" s="21"/>
      <c r="R155" s="21"/>
    </row>
    <row r="156" spans="1:18" x14ac:dyDescent="0.25">
      <c r="A156" s="21">
        <f t="shared" si="2"/>
        <v>-0.29933655055744968</v>
      </c>
      <c r="C156" s="21" t="str">
        <f t="shared" si="3"/>
        <v>B</v>
      </c>
      <c r="D156">
        <v>203.5</v>
      </c>
      <c r="E156">
        <v>142.58501196155899</v>
      </c>
      <c r="F156"/>
      <c r="Q156" s="21"/>
      <c r="R156" s="21"/>
    </row>
    <row r="157" spans="1:18" x14ac:dyDescent="0.25">
      <c r="A157" s="21">
        <f t="shared" si="2"/>
        <v>-0.41398401139442964</v>
      </c>
      <c r="C157" s="21" t="str">
        <f t="shared" si="3"/>
        <v>B</v>
      </c>
      <c r="D157">
        <v>159</v>
      </c>
      <c r="E157">
        <v>93.176542188285694</v>
      </c>
      <c r="F157"/>
      <c r="Q157" s="21"/>
      <c r="R157" s="21"/>
    </row>
    <row r="158" spans="1:18" x14ac:dyDescent="0.25">
      <c r="A158" s="21">
        <f t="shared" si="2"/>
        <v>-7.0386624548037235E-2</v>
      </c>
      <c r="C158" s="21" t="str">
        <f t="shared" si="3"/>
        <v>A</v>
      </c>
      <c r="D158">
        <v>91</v>
      </c>
      <c r="E158">
        <v>84.594817166128607</v>
      </c>
      <c r="F158"/>
      <c r="Q158" s="21"/>
      <c r="R158" s="21"/>
    </row>
    <row r="159" spans="1:18" x14ac:dyDescent="0.25">
      <c r="A159" s="21">
        <f t="shared" si="2"/>
        <v>8.7967503657112145E-2</v>
      </c>
      <c r="C159" s="21" t="str">
        <f t="shared" si="3"/>
        <v>A</v>
      </c>
      <c r="D159">
        <v>87.5</v>
      </c>
      <c r="E159">
        <v>95.197156569997304</v>
      </c>
      <c r="F159"/>
      <c r="Q159" s="21"/>
      <c r="R159" s="21"/>
    </row>
    <row r="160" spans="1:18" x14ac:dyDescent="0.25">
      <c r="A160" s="21">
        <f t="shared" si="2"/>
        <v>-0.30885068420394657</v>
      </c>
      <c r="C160" s="21" t="str">
        <f t="shared" si="3"/>
        <v>B</v>
      </c>
      <c r="D160">
        <v>131</v>
      </c>
      <c r="E160">
        <v>90.540560369283</v>
      </c>
      <c r="F160"/>
      <c r="Q160" s="21"/>
      <c r="R160" s="21"/>
    </row>
    <row r="161" spans="1:18" x14ac:dyDescent="0.25">
      <c r="A161" s="21">
        <f t="shared" si="2"/>
        <v>5.2535679695795867E-2</v>
      </c>
      <c r="C161" s="21" t="str">
        <f t="shared" si="3"/>
        <v>A</v>
      </c>
      <c r="D161">
        <v>117.5</v>
      </c>
      <c r="E161">
        <v>123.672942364256</v>
      </c>
      <c r="F161"/>
      <c r="Q161" s="21"/>
      <c r="R161" s="21"/>
    </row>
    <row r="162" spans="1:18" x14ac:dyDescent="0.25">
      <c r="A162" s="21">
        <f t="shared" si="2"/>
        <v>0.33922253936123803</v>
      </c>
      <c r="C162" s="21" t="str">
        <f t="shared" si="3"/>
        <v>B</v>
      </c>
      <c r="D162">
        <v>105</v>
      </c>
      <c r="E162">
        <v>140.61836663292999</v>
      </c>
      <c r="F162"/>
      <c r="Q162" s="21"/>
      <c r="R162" s="21"/>
    </row>
    <row r="163" spans="1:18" x14ac:dyDescent="0.25">
      <c r="A163" s="21">
        <f t="shared" si="2"/>
        <v>0.11593295277391613</v>
      </c>
      <c r="C163" s="21" t="str">
        <f t="shared" si="3"/>
        <v>A</v>
      </c>
      <c r="D163">
        <v>95.5</v>
      </c>
      <c r="E163">
        <v>106.571596989909</v>
      </c>
      <c r="F163"/>
      <c r="Q163" s="21"/>
      <c r="R163" s="21"/>
    </row>
    <row r="164" spans="1:18" x14ac:dyDescent="0.25">
      <c r="A164" s="21">
        <f t="shared" si="2"/>
        <v>-0.28209745396473518</v>
      </c>
      <c r="C164" s="21" t="str">
        <f t="shared" si="3"/>
        <v>B</v>
      </c>
      <c r="D164">
        <v>219</v>
      </c>
      <c r="E164">
        <v>157.220657581723</v>
      </c>
      <c r="F164"/>
      <c r="Q164" s="21"/>
      <c r="R164" s="21"/>
    </row>
    <row r="165" spans="1:18" x14ac:dyDescent="0.25">
      <c r="A165" s="21">
        <f t="shared" si="2"/>
        <v>-0.23266040610079697</v>
      </c>
      <c r="C165" s="21" t="str">
        <f t="shared" si="3"/>
        <v>B</v>
      </c>
      <c r="D165">
        <v>197</v>
      </c>
      <c r="E165">
        <v>151.165899998143</v>
      </c>
      <c r="F165"/>
      <c r="Q165" s="21"/>
      <c r="R165" s="21"/>
    </row>
    <row r="166" spans="1:18" x14ac:dyDescent="0.25">
      <c r="A166" s="21">
        <f t="shared" si="2"/>
        <v>2.5451385331467513E-2</v>
      </c>
      <c r="C166" s="21" t="str">
        <f t="shared" si="3"/>
        <v>A</v>
      </c>
      <c r="D166">
        <v>154</v>
      </c>
      <c r="E166">
        <v>157.91951334104601</v>
      </c>
      <c r="F166"/>
      <c r="Q166" s="21"/>
      <c r="R166" s="21"/>
    </row>
    <row r="167" spans="1:18" x14ac:dyDescent="0.25">
      <c r="A167" s="21">
        <f t="shared" si="2"/>
        <v>0.43497753345713797</v>
      </c>
      <c r="C167" s="21" t="str">
        <f t="shared" ref="C167:C230" si="4">IF(OR(A167&gt;=20%,A167&lt;=-20%),"B","A")</f>
        <v>B</v>
      </c>
      <c r="D167">
        <v>87</v>
      </c>
      <c r="E167">
        <v>124.843045410771</v>
      </c>
      <c r="F167"/>
    </row>
    <row r="168" spans="1:18" x14ac:dyDescent="0.25">
      <c r="A168" s="21">
        <f t="shared" ref="A168:A231" si="5">E168/D168-1</f>
        <v>-5.2075114888948337E-2</v>
      </c>
      <c r="C168" s="21" t="str">
        <f t="shared" si="4"/>
        <v>A</v>
      </c>
      <c r="D168">
        <v>155</v>
      </c>
      <c r="E168">
        <v>146.92835719221301</v>
      </c>
      <c r="F168"/>
    </row>
    <row r="169" spans="1:18" x14ac:dyDescent="0.25">
      <c r="A169" s="21">
        <f t="shared" si="5"/>
        <v>0.12850799983969097</v>
      </c>
      <c r="C169" s="21" t="str">
        <f t="shared" si="4"/>
        <v>A</v>
      </c>
      <c r="D169">
        <v>110</v>
      </c>
      <c r="E169">
        <v>124.13587998236601</v>
      </c>
      <c r="F169"/>
    </row>
    <row r="170" spans="1:18" x14ac:dyDescent="0.25">
      <c r="A170" s="21">
        <f t="shared" si="5"/>
        <v>0.48484384945487369</v>
      </c>
      <c r="C170" s="21" t="str">
        <f t="shared" si="4"/>
        <v>B</v>
      </c>
      <c r="D170">
        <v>87</v>
      </c>
      <c r="E170">
        <v>129.18141490257401</v>
      </c>
    </row>
    <row r="171" spans="1:18" x14ac:dyDescent="0.25">
      <c r="A171" s="21">
        <f t="shared" si="5"/>
        <v>0.16297516961940905</v>
      </c>
      <c r="C171" s="21" t="str">
        <f t="shared" si="4"/>
        <v>A</v>
      </c>
      <c r="D171">
        <v>110</v>
      </c>
      <c r="E171">
        <v>127.92726865813501</v>
      </c>
      <c r="F171"/>
    </row>
    <row r="172" spans="1:18" x14ac:dyDescent="0.25">
      <c r="A172" s="21">
        <f t="shared" si="5"/>
        <v>0.20713746627806717</v>
      </c>
      <c r="C172" s="21" t="str">
        <f t="shared" si="4"/>
        <v>B</v>
      </c>
      <c r="D172">
        <v>104</v>
      </c>
      <c r="E172">
        <v>125.54229649291899</v>
      </c>
      <c r="F172"/>
    </row>
    <row r="173" spans="1:18" x14ac:dyDescent="0.25">
      <c r="A173" s="21">
        <f t="shared" si="5"/>
        <v>0.13485451629184086</v>
      </c>
      <c r="C173" s="21" t="str">
        <f t="shared" si="4"/>
        <v>A</v>
      </c>
      <c r="D173">
        <v>113</v>
      </c>
      <c r="E173">
        <v>128.23856034097801</v>
      </c>
      <c r="F173"/>
    </row>
    <row r="174" spans="1:18" x14ac:dyDescent="0.25">
      <c r="A174" s="21">
        <f t="shared" si="5"/>
        <v>-0.1269466186582584</v>
      </c>
      <c r="C174" s="21" t="str">
        <f t="shared" si="4"/>
        <v>A</v>
      </c>
      <c r="D174">
        <v>120</v>
      </c>
      <c r="E174">
        <v>104.766405761009</v>
      </c>
      <c r="F174"/>
    </row>
    <row r="175" spans="1:18" x14ac:dyDescent="0.25">
      <c r="A175" s="21">
        <f t="shared" si="5"/>
        <v>0.22428163509931243</v>
      </c>
      <c r="C175" s="21" t="str">
        <f t="shared" si="4"/>
        <v>B</v>
      </c>
      <c r="D175">
        <v>96</v>
      </c>
      <c r="E175">
        <v>117.531036969534</v>
      </c>
      <c r="F175"/>
    </row>
    <row r="176" spans="1:18" x14ac:dyDescent="0.25">
      <c r="A176" s="21">
        <f t="shared" si="5"/>
        <v>0.22445407961026187</v>
      </c>
      <c r="C176" s="21" t="str">
        <f t="shared" si="4"/>
        <v>B</v>
      </c>
      <c r="D176">
        <v>84</v>
      </c>
      <c r="E176">
        <v>102.854142687262</v>
      </c>
      <c r="F176"/>
    </row>
    <row r="177" spans="1:6" x14ac:dyDescent="0.25">
      <c r="A177" s="21">
        <f t="shared" si="5"/>
        <v>5.357851094291588E-2</v>
      </c>
      <c r="C177" s="21" t="str">
        <f t="shared" si="4"/>
        <v>A</v>
      </c>
      <c r="D177">
        <v>107</v>
      </c>
      <c r="E177">
        <v>112.73290067089199</v>
      </c>
      <c r="F177"/>
    </row>
    <row r="178" spans="1:6" x14ac:dyDescent="0.25">
      <c r="A178" s="21">
        <f t="shared" si="5"/>
        <v>0.17713379683421904</v>
      </c>
      <c r="C178" s="21" t="str">
        <f t="shared" si="4"/>
        <v>A</v>
      </c>
      <c r="D178">
        <v>105</v>
      </c>
      <c r="E178">
        <v>123.599048667593</v>
      </c>
      <c r="F178"/>
    </row>
    <row r="179" spans="1:6" x14ac:dyDescent="0.25">
      <c r="A179" s="21">
        <f t="shared" si="5"/>
        <v>0.16234342966217308</v>
      </c>
      <c r="C179" s="21" t="str">
        <f t="shared" si="4"/>
        <v>A</v>
      </c>
      <c r="D179">
        <v>82</v>
      </c>
      <c r="E179">
        <v>95.312161232298195</v>
      </c>
      <c r="F179"/>
    </row>
    <row r="180" spans="1:6" x14ac:dyDescent="0.25">
      <c r="A180" s="21">
        <f t="shared" si="5"/>
        <v>-0.16825753656125997</v>
      </c>
      <c r="C180" s="21" t="str">
        <f t="shared" si="4"/>
        <v>A</v>
      </c>
      <c r="D180">
        <v>150</v>
      </c>
      <c r="E180">
        <v>124.761369515811</v>
      </c>
      <c r="F180"/>
    </row>
    <row r="181" spans="1:6" x14ac:dyDescent="0.25">
      <c r="A181" s="21">
        <f t="shared" si="5"/>
        <v>0.13367984597882532</v>
      </c>
      <c r="C181" s="21" t="str">
        <f t="shared" si="4"/>
        <v>A</v>
      </c>
      <c r="D181">
        <v>126</v>
      </c>
      <c r="E181">
        <v>142.843660593332</v>
      </c>
      <c r="F181"/>
    </row>
    <row r="182" spans="1:6" x14ac:dyDescent="0.25">
      <c r="A182" s="21">
        <f t="shared" si="5"/>
        <v>0.32703594192354268</v>
      </c>
      <c r="C182" s="21" t="str">
        <f t="shared" si="4"/>
        <v>B</v>
      </c>
      <c r="D182">
        <v>94</v>
      </c>
      <c r="E182">
        <v>124.741378540813</v>
      </c>
      <c r="F182"/>
    </row>
    <row r="183" spans="1:6" x14ac:dyDescent="0.25">
      <c r="A183" s="21">
        <f t="shared" si="5"/>
        <v>0.32334705021803489</v>
      </c>
      <c r="C183" s="21" t="str">
        <f t="shared" si="4"/>
        <v>B</v>
      </c>
      <c r="D183">
        <v>86</v>
      </c>
      <c r="E183">
        <v>113.807846318751</v>
      </c>
      <c r="F183"/>
    </row>
    <row r="184" spans="1:6" x14ac:dyDescent="0.25">
      <c r="A184" s="21">
        <f t="shared" si="5"/>
        <v>-7.9938857191525603E-2</v>
      </c>
      <c r="C184" s="21" t="str">
        <f t="shared" si="4"/>
        <v>A</v>
      </c>
      <c r="D184">
        <v>137</v>
      </c>
      <c r="E184">
        <v>126.048376564761</v>
      </c>
      <c r="F184"/>
    </row>
    <row r="185" spans="1:6" x14ac:dyDescent="0.25">
      <c r="A185" s="21">
        <f t="shared" si="5"/>
        <v>5.2471259007120352E-2</v>
      </c>
      <c r="C185" s="21" t="str">
        <f t="shared" si="4"/>
        <v>A</v>
      </c>
      <c r="D185">
        <v>108</v>
      </c>
      <c r="E185">
        <v>113.666895972769</v>
      </c>
      <c r="F185"/>
    </row>
    <row r="186" spans="1:6" x14ac:dyDescent="0.25">
      <c r="A186" s="21">
        <f t="shared" si="5"/>
        <v>0.23141935637100008</v>
      </c>
      <c r="C186" s="21" t="str">
        <f t="shared" si="4"/>
        <v>B</v>
      </c>
      <c r="D186">
        <v>104</v>
      </c>
      <c r="E186">
        <v>128.067613062584</v>
      </c>
      <c r="F186"/>
    </row>
    <row r="187" spans="1:6" x14ac:dyDescent="0.25">
      <c r="A187" s="21">
        <f t="shared" si="5"/>
        <v>0.27200598169717494</v>
      </c>
      <c r="C187" s="21" t="str">
        <f t="shared" si="4"/>
        <v>B</v>
      </c>
      <c r="D187">
        <v>80</v>
      </c>
      <c r="E187">
        <v>101.760478535774</v>
      </c>
      <c r="F187"/>
    </row>
    <row r="188" spans="1:6" x14ac:dyDescent="0.25">
      <c r="A188" s="21">
        <f t="shared" si="5"/>
        <v>-0.27353653635048669</v>
      </c>
      <c r="C188" s="21" t="str">
        <f t="shared" si="4"/>
        <v>B</v>
      </c>
      <c r="D188">
        <v>150</v>
      </c>
      <c r="E188">
        <v>108.969519547427</v>
      </c>
      <c r="F188"/>
    </row>
    <row r="189" spans="1:6" x14ac:dyDescent="0.25">
      <c r="A189" s="21">
        <f t="shared" si="5"/>
        <v>0.57063707596741819</v>
      </c>
      <c r="C189" s="21" t="str">
        <f t="shared" si="4"/>
        <v>B</v>
      </c>
      <c r="D189">
        <v>110</v>
      </c>
      <c r="E189">
        <v>172.77007835641601</v>
      </c>
      <c r="F189"/>
    </row>
    <row r="190" spans="1:6" x14ac:dyDescent="0.25">
      <c r="A190" s="21">
        <f t="shared" si="5"/>
        <v>0.19860859400242381</v>
      </c>
      <c r="C190" s="21" t="str">
        <f t="shared" si="4"/>
        <v>A</v>
      </c>
      <c r="D190">
        <v>92</v>
      </c>
      <c r="E190">
        <v>110.271990648223</v>
      </c>
      <c r="F190"/>
    </row>
    <row r="191" spans="1:6" x14ac:dyDescent="0.25">
      <c r="A191" s="21">
        <f t="shared" si="5"/>
        <v>0.26641295215021432</v>
      </c>
      <c r="C191" s="21" t="str">
        <f t="shared" si="4"/>
        <v>B</v>
      </c>
      <c r="D191">
        <v>84</v>
      </c>
      <c r="E191">
        <v>106.378687980618</v>
      </c>
      <c r="F191"/>
    </row>
    <row r="192" spans="1:6" x14ac:dyDescent="0.25">
      <c r="A192" s="21">
        <f t="shared" si="5"/>
        <v>6.6431816262338073E-2</v>
      </c>
      <c r="C192" s="21" t="str">
        <f t="shared" si="4"/>
        <v>A</v>
      </c>
      <c r="D192">
        <v>145</v>
      </c>
      <c r="E192">
        <v>154.63261335803901</v>
      </c>
      <c r="F192"/>
    </row>
    <row r="193" spans="1:6" x14ac:dyDescent="0.25">
      <c r="A193" s="21">
        <f t="shared" si="5"/>
        <v>0.1716056646949673</v>
      </c>
      <c r="C193" s="21" t="str">
        <f t="shared" si="4"/>
        <v>A</v>
      </c>
      <c r="D193">
        <v>123</v>
      </c>
      <c r="E193">
        <v>144.10749675748099</v>
      </c>
      <c r="F193"/>
    </row>
    <row r="194" spans="1:6" x14ac:dyDescent="0.25">
      <c r="A194" s="21">
        <f t="shared" si="5"/>
        <v>0.10487593689584007</v>
      </c>
      <c r="C194" s="21" t="str">
        <f t="shared" si="4"/>
        <v>A</v>
      </c>
      <c r="D194">
        <v>100</v>
      </c>
      <c r="E194">
        <v>110.487593689584</v>
      </c>
      <c r="F194"/>
    </row>
    <row r="195" spans="1:6" x14ac:dyDescent="0.25">
      <c r="A195" s="21">
        <f t="shared" si="5"/>
        <v>0.14789488050730104</v>
      </c>
      <c r="C195" s="21" t="str">
        <f t="shared" si="4"/>
        <v>A</v>
      </c>
      <c r="D195">
        <v>87</v>
      </c>
      <c r="E195">
        <v>99.866854604135199</v>
      </c>
      <c r="F195"/>
    </row>
    <row r="196" spans="1:6" x14ac:dyDescent="0.25">
      <c r="A196" s="21">
        <f t="shared" si="5"/>
        <v>0.24008932897891855</v>
      </c>
      <c r="C196" s="21" t="str">
        <f t="shared" si="4"/>
        <v>B</v>
      </c>
      <c r="D196">
        <v>86</v>
      </c>
      <c r="E196">
        <v>106.647682292187</v>
      </c>
      <c r="F196"/>
    </row>
    <row r="197" spans="1:6" x14ac:dyDescent="0.25">
      <c r="A197" s="21">
        <f t="shared" si="5"/>
        <v>-0.12928146201703172</v>
      </c>
      <c r="C197" s="21" t="str">
        <f t="shared" si="4"/>
        <v>A</v>
      </c>
      <c r="D197">
        <v>126</v>
      </c>
      <c r="E197">
        <v>109.71053578585401</v>
      </c>
      <c r="F197"/>
    </row>
    <row r="198" spans="1:6" x14ac:dyDescent="0.25">
      <c r="A198" s="21">
        <f t="shared" si="5"/>
        <v>-3.2410398854972655E-2</v>
      </c>
      <c r="C198" s="21" t="str">
        <f t="shared" si="4"/>
        <v>A</v>
      </c>
      <c r="D198">
        <v>110</v>
      </c>
      <c r="E198">
        <v>106.434856125953</v>
      </c>
      <c r="F198"/>
    </row>
    <row r="199" spans="1:6" x14ac:dyDescent="0.25">
      <c r="A199" s="21">
        <f t="shared" si="5"/>
        <v>0.12635420724317892</v>
      </c>
      <c r="C199" s="21" t="str">
        <f t="shared" si="4"/>
        <v>A</v>
      </c>
      <c r="D199">
        <v>95</v>
      </c>
      <c r="E199">
        <v>107.003649688102</v>
      </c>
      <c r="F199"/>
    </row>
    <row r="200" spans="1:6" x14ac:dyDescent="0.25">
      <c r="A200" s="21">
        <f t="shared" si="5"/>
        <v>0.23005661296694324</v>
      </c>
      <c r="C200" s="21" t="str">
        <f t="shared" si="4"/>
        <v>B</v>
      </c>
      <c r="D200">
        <v>88</v>
      </c>
      <c r="E200">
        <v>108.244981941091</v>
      </c>
      <c r="F200"/>
    </row>
    <row r="201" spans="1:6" x14ac:dyDescent="0.25">
      <c r="A201" s="21">
        <f t="shared" si="5"/>
        <v>-6.5826039476369225E-2</v>
      </c>
      <c r="C201" s="21" t="str">
        <f t="shared" si="4"/>
        <v>A</v>
      </c>
      <c r="D201">
        <v>149</v>
      </c>
      <c r="E201">
        <v>139.19192011802099</v>
      </c>
      <c r="F201"/>
    </row>
    <row r="202" spans="1:6" x14ac:dyDescent="0.25">
      <c r="A202" s="21">
        <f t="shared" si="5"/>
        <v>-0.11754768541276928</v>
      </c>
      <c r="C202" s="21" t="str">
        <f t="shared" si="4"/>
        <v>A</v>
      </c>
      <c r="D202">
        <v>143</v>
      </c>
      <c r="E202">
        <v>126.190680985974</v>
      </c>
      <c r="F202"/>
    </row>
    <row r="203" spans="1:6" x14ac:dyDescent="0.25">
      <c r="A203" s="21">
        <f t="shared" si="5"/>
        <v>-0.18465237759472175</v>
      </c>
      <c r="C203" s="21" t="str">
        <f t="shared" si="4"/>
        <v>A</v>
      </c>
      <c r="D203">
        <v>133</v>
      </c>
      <c r="E203">
        <v>108.44123377990201</v>
      </c>
      <c r="F203"/>
    </row>
    <row r="204" spans="1:6" x14ac:dyDescent="0.25">
      <c r="A204" s="21">
        <f t="shared" si="5"/>
        <v>0.11467663304815789</v>
      </c>
      <c r="C204" s="21" t="str">
        <f t="shared" si="4"/>
        <v>A</v>
      </c>
      <c r="D204">
        <v>88</v>
      </c>
      <c r="E204">
        <v>98.091543708237893</v>
      </c>
      <c r="F204"/>
    </row>
    <row r="205" spans="1:6" x14ac:dyDescent="0.25">
      <c r="A205" s="21">
        <f t="shared" si="5"/>
        <v>0.21454474865766282</v>
      </c>
      <c r="C205" s="21" t="str">
        <f t="shared" si="4"/>
        <v>B</v>
      </c>
      <c r="D205">
        <v>83</v>
      </c>
      <c r="E205">
        <v>100.807214138586</v>
      </c>
      <c r="F205"/>
    </row>
    <row r="206" spans="1:6" x14ac:dyDescent="0.25">
      <c r="A206" s="21">
        <f t="shared" si="5"/>
        <v>-0.1841022493622867</v>
      </c>
      <c r="C206" s="21" t="str">
        <f t="shared" si="4"/>
        <v>A</v>
      </c>
      <c r="D206">
        <v>143</v>
      </c>
      <c r="E206">
        <v>116.673378341193</v>
      </c>
      <c r="F206"/>
    </row>
    <row r="207" spans="1:6" x14ac:dyDescent="0.25">
      <c r="A207" s="21">
        <f t="shared" si="5"/>
        <v>0.42609397929564019</v>
      </c>
      <c r="C207" s="21" t="str">
        <f t="shared" si="4"/>
        <v>B</v>
      </c>
      <c r="D207">
        <v>114</v>
      </c>
      <c r="E207">
        <v>162.57471363970299</v>
      </c>
      <c r="F207"/>
    </row>
    <row r="208" spans="1:6" x14ac:dyDescent="0.25">
      <c r="A208" s="21">
        <f t="shared" si="5"/>
        <v>-6.2342319718685202E-2</v>
      </c>
      <c r="C208" s="21" t="str">
        <f t="shared" si="4"/>
        <v>A</v>
      </c>
      <c r="D208">
        <v>108</v>
      </c>
      <c r="E208">
        <v>101.267029470382</v>
      </c>
      <c r="F208"/>
    </row>
    <row r="209" spans="1:6" x14ac:dyDescent="0.25">
      <c r="A209" s="21">
        <f t="shared" si="5"/>
        <v>0.56616377967760778</v>
      </c>
      <c r="C209" s="21" t="str">
        <f t="shared" si="4"/>
        <v>B</v>
      </c>
      <c r="D209">
        <v>79</v>
      </c>
      <c r="E209">
        <v>123.72693859453101</v>
      </c>
      <c r="F209"/>
    </row>
    <row r="210" spans="1:6" x14ac:dyDescent="0.25">
      <c r="A210" s="21">
        <f t="shared" si="5"/>
        <v>2.8506527037318374E-2</v>
      </c>
      <c r="C210" s="21" t="str">
        <f t="shared" si="4"/>
        <v>A</v>
      </c>
      <c r="D210">
        <v>135</v>
      </c>
      <c r="E210">
        <v>138.84838115003799</v>
      </c>
      <c r="F210"/>
    </row>
    <row r="211" spans="1:6" x14ac:dyDescent="0.25">
      <c r="A211" s="21">
        <f t="shared" si="5"/>
        <v>0.31685707539947883</v>
      </c>
      <c r="C211" s="21" t="str">
        <f t="shared" si="4"/>
        <v>B</v>
      </c>
      <c r="D211">
        <v>119</v>
      </c>
      <c r="E211">
        <v>156.70599197253799</v>
      </c>
      <c r="F211"/>
    </row>
    <row r="212" spans="1:6" x14ac:dyDescent="0.25">
      <c r="A212" s="21">
        <f t="shared" si="5"/>
        <v>0.20899555542999071</v>
      </c>
      <c r="C212" s="21" t="str">
        <f t="shared" si="4"/>
        <v>B</v>
      </c>
      <c r="D212">
        <v>107</v>
      </c>
      <c r="E212">
        <v>129.36252443100901</v>
      </c>
      <c r="F212"/>
    </row>
    <row r="213" spans="1:6" x14ac:dyDescent="0.25">
      <c r="A213" s="21">
        <f t="shared" si="5"/>
        <v>-1.5656620032493129E-2</v>
      </c>
      <c r="C213" s="21" t="str">
        <f t="shared" si="4"/>
        <v>A</v>
      </c>
      <c r="D213">
        <v>146</v>
      </c>
      <c r="E213">
        <v>143.71413347525601</v>
      </c>
      <c r="F213"/>
    </row>
    <row r="214" spans="1:6" x14ac:dyDescent="0.25">
      <c r="A214" s="21">
        <f t="shared" si="5"/>
        <v>0.15546985198467778</v>
      </c>
      <c r="C214" s="21" t="str">
        <f t="shared" si="4"/>
        <v>A</v>
      </c>
      <c r="D214">
        <v>121</v>
      </c>
      <c r="E214">
        <v>139.811852090146</v>
      </c>
      <c r="F214"/>
    </row>
    <row r="215" spans="1:6" x14ac:dyDescent="0.25">
      <c r="A215" s="21">
        <f t="shared" si="5"/>
        <v>0.19176472562783342</v>
      </c>
      <c r="C215" s="21" t="str">
        <f t="shared" si="4"/>
        <v>A</v>
      </c>
      <c r="D215">
        <v>90</v>
      </c>
      <c r="E215">
        <v>107.258825306505</v>
      </c>
      <c r="F215"/>
    </row>
    <row r="216" spans="1:6" x14ac:dyDescent="0.25">
      <c r="A216" s="21">
        <f t="shared" si="5"/>
        <v>0.22014968325840711</v>
      </c>
      <c r="C216" s="21" t="str">
        <f t="shared" si="4"/>
        <v>B</v>
      </c>
      <c r="D216">
        <v>86</v>
      </c>
      <c r="E216">
        <v>104.93287276022301</v>
      </c>
      <c r="F216"/>
    </row>
    <row r="217" spans="1:6" x14ac:dyDescent="0.25">
      <c r="A217" s="21">
        <f t="shared" si="5"/>
        <v>-0.16140639570715154</v>
      </c>
      <c r="C217" s="21" t="str">
        <f t="shared" si="4"/>
        <v>A</v>
      </c>
      <c r="D217">
        <v>132</v>
      </c>
      <c r="E217">
        <v>110.694355766656</v>
      </c>
      <c r="F217"/>
    </row>
    <row r="218" spans="1:6" x14ac:dyDescent="0.25">
      <c r="A218" s="21">
        <f t="shared" si="5"/>
        <v>0.43147172470965134</v>
      </c>
      <c r="C218" s="21" t="str">
        <f t="shared" si="4"/>
        <v>B</v>
      </c>
      <c r="D218">
        <v>109</v>
      </c>
      <c r="E218">
        <v>156.03041799335199</v>
      </c>
      <c r="F218"/>
    </row>
    <row r="219" spans="1:6" x14ac:dyDescent="0.25">
      <c r="A219" s="21">
        <f t="shared" si="5"/>
        <v>0.22479078801341057</v>
      </c>
      <c r="C219" s="21" t="str">
        <f t="shared" si="4"/>
        <v>B</v>
      </c>
      <c r="D219">
        <v>95</v>
      </c>
      <c r="E219">
        <v>116.35512486127401</v>
      </c>
      <c r="F219"/>
    </row>
    <row r="220" spans="1:6" x14ac:dyDescent="0.25">
      <c r="A220" s="21">
        <f t="shared" si="5"/>
        <v>0.23269800483156167</v>
      </c>
      <c r="C220" s="21" t="str">
        <f t="shared" si="4"/>
        <v>B</v>
      </c>
      <c r="D220">
        <v>89</v>
      </c>
      <c r="E220">
        <v>109.71012243000899</v>
      </c>
      <c r="F220"/>
    </row>
    <row r="221" spans="1:6" x14ac:dyDescent="0.25">
      <c r="A221" s="21">
        <f t="shared" si="5"/>
        <v>0.31630351289950798</v>
      </c>
      <c r="C221" s="21" t="str">
        <f t="shared" si="4"/>
        <v>B</v>
      </c>
      <c r="D221">
        <v>126</v>
      </c>
      <c r="E221">
        <v>165.854242625338</v>
      </c>
      <c r="F221"/>
    </row>
    <row r="222" spans="1:6" x14ac:dyDescent="0.25">
      <c r="A222" s="21">
        <f t="shared" si="5"/>
        <v>0.14014076790836194</v>
      </c>
      <c r="C222" s="21" t="str">
        <f t="shared" si="4"/>
        <v>A</v>
      </c>
      <c r="D222">
        <v>116</v>
      </c>
      <c r="E222">
        <v>132.25632907737</v>
      </c>
      <c r="F222"/>
    </row>
    <row r="223" spans="1:6" x14ac:dyDescent="0.25">
      <c r="A223" s="21">
        <f t="shared" si="5"/>
        <v>6.9267438698907391E-2</v>
      </c>
      <c r="C223" s="21" t="str">
        <f t="shared" si="4"/>
        <v>A</v>
      </c>
      <c r="D223">
        <v>108</v>
      </c>
      <c r="E223">
        <v>115.48088337948199</v>
      </c>
      <c r="F223"/>
    </row>
    <row r="224" spans="1:6" x14ac:dyDescent="0.25">
      <c r="A224" s="21">
        <f t="shared" si="5"/>
        <v>0.15235530865557156</v>
      </c>
      <c r="C224" s="21" t="str">
        <f t="shared" si="4"/>
        <v>A</v>
      </c>
      <c r="D224">
        <v>112</v>
      </c>
      <c r="E224">
        <v>129.063794569424</v>
      </c>
      <c r="F224"/>
    </row>
    <row r="225" spans="1:6" x14ac:dyDescent="0.25">
      <c r="A225" s="21">
        <f t="shared" si="5"/>
        <v>0.3992360103505368</v>
      </c>
      <c r="C225" s="21" t="str">
        <f t="shared" si="4"/>
        <v>B</v>
      </c>
      <c r="D225">
        <v>95</v>
      </c>
      <c r="E225">
        <v>132.927420983301</v>
      </c>
      <c r="F225"/>
    </row>
    <row r="226" spans="1:6" x14ac:dyDescent="0.25">
      <c r="A226" s="21">
        <f t="shared" si="5"/>
        <v>0.26736407324345746</v>
      </c>
      <c r="C226" s="21" t="str">
        <f t="shared" si="4"/>
        <v>B</v>
      </c>
      <c r="D226">
        <v>94</v>
      </c>
      <c r="E226">
        <v>119.132222884885</v>
      </c>
      <c r="F226"/>
    </row>
    <row r="227" spans="1:6" x14ac:dyDescent="0.25">
      <c r="A227" s="21">
        <f t="shared" si="5"/>
        <v>0.1142632722452499</v>
      </c>
      <c r="C227" s="21" t="str">
        <f t="shared" si="4"/>
        <v>A</v>
      </c>
      <c r="D227">
        <v>92</v>
      </c>
      <c r="E227">
        <v>102.512221046563</v>
      </c>
      <c r="F227"/>
    </row>
    <row r="228" spans="1:6" x14ac:dyDescent="0.25">
      <c r="A228" s="21">
        <f t="shared" si="5"/>
        <v>-7.9897105001351165E-2</v>
      </c>
      <c r="C228" s="21" t="str">
        <f t="shared" si="4"/>
        <v>A</v>
      </c>
      <c r="D228">
        <v>131</v>
      </c>
      <c r="E228">
        <v>120.533479244823</v>
      </c>
      <c r="F228"/>
    </row>
    <row r="229" spans="1:6" x14ac:dyDescent="0.25">
      <c r="A229" s="21">
        <f t="shared" si="5"/>
        <v>1.806688701604009E-2</v>
      </c>
      <c r="C229" s="21" t="str">
        <f t="shared" si="4"/>
        <v>A</v>
      </c>
      <c r="D229">
        <v>125</v>
      </c>
      <c r="E229">
        <v>127.258360877005</v>
      </c>
      <c r="F229"/>
    </row>
    <row r="230" spans="1:6" x14ac:dyDescent="0.25">
      <c r="A230" s="21">
        <f t="shared" si="5"/>
        <v>0.4749621039849905</v>
      </c>
      <c r="C230" s="21" t="str">
        <f t="shared" si="4"/>
        <v>B</v>
      </c>
      <c r="D230">
        <v>105</v>
      </c>
      <c r="E230">
        <v>154.87102091842399</v>
      </c>
      <c r="F230"/>
    </row>
    <row r="231" spans="1:6" x14ac:dyDescent="0.25">
      <c r="A231" s="21">
        <f t="shared" si="5"/>
        <v>0.276663719429314</v>
      </c>
      <c r="C231" s="21" t="str">
        <f t="shared" ref="C231:C261" si="6">IF(OR(A231&gt;=20%,A231&lt;=-20%),"B","A")</f>
        <v>B</v>
      </c>
      <c r="D231">
        <v>86</v>
      </c>
      <c r="E231">
        <v>109.79307987092101</v>
      </c>
      <c r="F231"/>
    </row>
    <row r="232" spans="1:6" x14ac:dyDescent="0.25">
      <c r="A232" s="21">
        <f t="shared" ref="A232:A261" si="7">E232/D232-1</f>
        <v>0.16291081055765888</v>
      </c>
      <c r="C232" s="21" t="str">
        <f t="shared" si="6"/>
        <v>A</v>
      </c>
      <c r="D232">
        <v>126</v>
      </c>
      <c r="E232">
        <v>146.52676213026501</v>
      </c>
      <c r="F232"/>
    </row>
    <row r="233" spans="1:6" x14ac:dyDescent="0.25">
      <c r="A233" s="21">
        <f t="shared" si="7"/>
        <v>0.30468483311374994</v>
      </c>
      <c r="C233" s="21" t="str">
        <f t="shared" si="6"/>
        <v>B</v>
      </c>
      <c r="D233">
        <v>116</v>
      </c>
      <c r="E233">
        <v>151.343440641195</v>
      </c>
      <c r="F233"/>
    </row>
    <row r="234" spans="1:6" x14ac:dyDescent="0.25">
      <c r="A234" s="21">
        <f t="shared" si="7"/>
        <v>0.49032144948583789</v>
      </c>
      <c r="C234" s="21" t="str">
        <f t="shared" si="6"/>
        <v>B</v>
      </c>
      <c r="D234">
        <v>111</v>
      </c>
      <c r="E234">
        <v>165.425680892928</v>
      </c>
      <c r="F234"/>
    </row>
    <row r="235" spans="1:6" x14ac:dyDescent="0.25">
      <c r="A235" s="21">
        <f t="shared" si="7"/>
        <v>0.68401268828574446</v>
      </c>
      <c r="C235" s="21" t="s">
        <v>69</v>
      </c>
      <c r="D235">
        <v>90</v>
      </c>
      <c r="E235">
        <v>151.561141945717</v>
      </c>
      <c r="F235">
        <v>151.561141945717</v>
      </c>
    </row>
    <row r="236" spans="1:6" x14ac:dyDescent="0.25">
      <c r="A236" s="21">
        <f t="shared" si="7"/>
        <v>3.4218156332711969E-2</v>
      </c>
      <c r="C236" s="21" t="str">
        <f t="shared" si="6"/>
        <v>A</v>
      </c>
      <c r="D236">
        <v>125</v>
      </c>
      <c r="E236">
        <v>129.27726954158899</v>
      </c>
      <c r="F236"/>
    </row>
    <row r="237" spans="1:6" x14ac:dyDescent="0.25">
      <c r="A237" s="21">
        <f t="shared" si="7"/>
        <v>0.26432765979275774</v>
      </c>
      <c r="C237" s="21" t="str">
        <f t="shared" si="6"/>
        <v>B</v>
      </c>
      <c r="D237">
        <v>95</v>
      </c>
      <c r="E237">
        <v>120.11112768031199</v>
      </c>
      <c r="F237"/>
    </row>
    <row r="238" spans="1:6" x14ac:dyDescent="0.25">
      <c r="A238" s="21">
        <f t="shared" si="7"/>
        <v>0.19338189325575272</v>
      </c>
      <c r="C238" s="21" t="str">
        <f t="shared" si="6"/>
        <v>A</v>
      </c>
      <c r="D238">
        <v>93</v>
      </c>
      <c r="E238">
        <v>110.984516072785</v>
      </c>
      <c r="F238"/>
    </row>
    <row r="239" spans="1:6" x14ac:dyDescent="0.25">
      <c r="A239" s="21">
        <f t="shared" si="7"/>
        <v>0.29363570174060505</v>
      </c>
      <c r="C239" s="21" t="str">
        <f t="shared" si="6"/>
        <v>B</v>
      </c>
      <c r="D239">
        <v>81</v>
      </c>
      <c r="E239">
        <v>104.78449184098901</v>
      </c>
      <c r="F239"/>
    </row>
    <row r="240" spans="1:6" x14ac:dyDescent="0.25">
      <c r="A240" s="21">
        <f t="shared" si="7"/>
        <v>0.1074141430337392</v>
      </c>
      <c r="C240" s="21" t="str">
        <f t="shared" si="6"/>
        <v>A</v>
      </c>
      <c r="D240">
        <v>92</v>
      </c>
      <c r="E240">
        <v>101.882101159104</v>
      </c>
      <c r="F240"/>
    </row>
    <row r="241" spans="1:6" x14ac:dyDescent="0.25">
      <c r="A241" s="21">
        <f t="shared" si="7"/>
        <v>0.22673177224106977</v>
      </c>
      <c r="C241" s="21" t="str">
        <f t="shared" si="6"/>
        <v>B</v>
      </c>
      <c r="D241">
        <v>86</v>
      </c>
      <c r="E241">
        <v>105.498932412732</v>
      </c>
      <c r="F241"/>
    </row>
    <row r="242" spans="1:6" x14ac:dyDescent="0.25">
      <c r="A242" s="21">
        <f t="shared" si="7"/>
        <v>0.16077030140938309</v>
      </c>
      <c r="C242" s="21" t="str">
        <f t="shared" si="6"/>
        <v>A</v>
      </c>
      <c r="D242">
        <v>82</v>
      </c>
      <c r="E242">
        <v>95.183164715569404</v>
      </c>
      <c r="F242"/>
    </row>
    <row r="243" spans="1:6" x14ac:dyDescent="0.25">
      <c r="A243" s="21">
        <f t="shared" si="7"/>
        <v>-0.24768435100562358</v>
      </c>
      <c r="C243" s="21" t="str">
        <f t="shared" si="6"/>
        <v>B</v>
      </c>
      <c r="D243">
        <v>127</v>
      </c>
      <c r="E243">
        <v>95.544087422285799</v>
      </c>
      <c r="F243"/>
    </row>
    <row r="244" spans="1:6" x14ac:dyDescent="0.25">
      <c r="A244" s="21">
        <f t="shared" si="7"/>
        <v>2.184199108380569E-2</v>
      </c>
      <c r="C244" s="21" t="str">
        <f t="shared" si="6"/>
        <v>A</v>
      </c>
      <c r="D244">
        <v>103</v>
      </c>
      <c r="E244">
        <v>105.24972508163199</v>
      </c>
      <c r="F244"/>
    </row>
    <row r="245" spans="1:6" x14ac:dyDescent="0.25">
      <c r="A245" s="21">
        <f t="shared" si="7"/>
        <v>0.24291335203420927</v>
      </c>
      <c r="C245" s="21" t="str">
        <f t="shared" si="6"/>
        <v>B</v>
      </c>
      <c r="D245">
        <v>86</v>
      </c>
      <c r="E245">
        <v>106.89054827494201</v>
      </c>
      <c r="F245"/>
    </row>
    <row r="246" spans="1:6" x14ac:dyDescent="0.25">
      <c r="A246" s="21">
        <f t="shared" si="7"/>
        <v>0.34556963162893672</v>
      </c>
      <c r="C246" s="21" t="str">
        <f t="shared" si="6"/>
        <v>B</v>
      </c>
      <c r="D246">
        <v>79</v>
      </c>
      <c r="E246">
        <v>106.30000089868599</v>
      </c>
      <c r="F246"/>
    </row>
    <row r="247" spans="1:6" x14ac:dyDescent="0.25">
      <c r="A247" s="21">
        <f t="shared" si="7"/>
        <v>-0.15245097259041862</v>
      </c>
      <c r="C247" s="21" t="str">
        <f t="shared" si="6"/>
        <v>A</v>
      </c>
      <c r="D247">
        <v>160</v>
      </c>
      <c r="E247">
        <v>135.60784438553301</v>
      </c>
      <c r="F247"/>
    </row>
    <row r="248" spans="1:6" x14ac:dyDescent="0.25">
      <c r="A248" s="21">
        <f t="shared" si="7"/>
        <v>-0.1172559556763777</v>
      </c>
      <c r="C248" s="21" t="str">
        <f t="shared" si="6"/>
        <v>A</v>
      </c>
      <c r="D248">
        <v>135</v>
      </c>
      <c r="E248">
        <v>119.17044598368901</v>
      </c>
      <c r="F248"/>
    </row>
    <row r="249" spans="1:6" x14ac:dyDescent="0.25">
      <c r="A249" s="21">
        <f t="shared" si="7"/>
        <v>-7.0123603070266993E-2</v>
      </c>
      <c r="C249" s="21" t="str">
        <f t="shared" si="6"/>
        <v>A</v>
      </c>
      <c r="D249">
        <v>106</v>
      </c>
      <c r="E249">
        <v>98.566898074551702</v>
      </c>
      <c r="F249"/>
    </row>
    <row r="250" spans="1:6" x14ac:dyDescent="0.25">
      <c r="A250" s="21">
        <f t="shared" si="7"/>
        <v>0.29110682013760014</v>
      </c>
      <c r="C250" s="21" t="str">
        <f t="shared" si="6"/>
        <v>B</v>
      </c>
      <c r="D250">
        <v>80</v>
      </c>
      <c r="E250">
        <v>103.288545611008</v>
      </c>
    </row>
    <row r="251" spans="1:6" x14ac:dyDescent="0.25">
      <c r="A251" s="21">
        <f t="shared" si="7"/>
        <v>5.7983472282252535E-5</v>
      </c>
      <c r="C251" s="21" t="str">
        <f t="shared" si="6"/>
        <v>A</v>
      </c>
      <c r="D251">
        <v>124</v>
      </c>
      <c r="E251">
        <v>124.007189950563</v>
      </c>
      <c r="F251"/>
    </row>
    <row r="252" spans="1:6" x14ac:dyDescent="0.25">
      <c r="A252" s="21">
        <f t="shared" si="7"/>
        <v>9.4973991352366172E-2</v>
      </c>
      <c r="C252" s="21" t="str">
        <f t="shared" si="6"/>
        <v>A</v>
      </c>
      <c r="D252">
        <v>112</v>
      </c>
      <c r="E252">
        <v>122.637087031465</v>
      </c>
      <c r="F252"/>
    </row>
    <row r="253" spans="1:6" x14ac:dyDescent="0.25">
      <c r="A253" s="21">
        <f t="shared" si="7"/>
        <v>0.16303609279607278</v>
      </c>
      <c r="C253" s="21" t="str">
        <f t="shared" si="6"/>
        <v>A</v>
      </c>
      <c r="D253">
        <v>96</v>
      </c>
      <c r="E253">
        <v>111.65146490842299</v>
      </c>
      <c r="F253"/>
    </row>
    <row r="254" spans="1:6" x14ac:dyDescent="0.25">
      <c r="A254" s="21">
        <f t="shared" si="7"/>
        <v>0.35513930324741549</v>
      </c>
      <c r="C254" s="21" t="str">
        <f t="shared" si="6"/>
        <v>B</v>
      </c>
      <c r="D254">
        <v>77</v>
      </c>
      <c r="E254">
        <v>104.345726350051</v>
      </c>
      <c r="F254"/>
    </row>
    <row r="255" spans="1:6" x14ac:dyDescent="0.25">
      <c r="A255" s="21">
        <f t="shared" si="7"/>
        <v>-0.15181187883968605</v>
      </c>
      <c r="C255" s="21" t="str">
        <f t="shared" si="6"/>
        <v>A</v>
      </c>
      <c r="D255">
        <v>137</v>
      </c>
      <c r="E255">
        <v>116.201772598963</v>
      </c>
      <c r="F255"/>
    </row>
    <row r="256" spans="1:6" x14ac:dyDescent="0.25">
      <c r="A256" s="21">
        <f t="shared" si="7"/>
        <v>0.16919169719667693</v>
      </c>
      <c r="C256" s="21" t="str">
        <f t="shared" si="6"/>
        <v>A</v>
      </c>
      <c r="D256">
        <v>130</v>
      </c>
      <c r="E256">
        <v>151.99492063556801</v>
      </c>
      <c r="F256"/>
    </row>
    <row r="257" spans="1:6" x14ac:dyDescent="0.25">
      <c r="A257" s="21">
        <f t="shared" si="7"/>
        <v>-0.14181505901681002</v>
      </c>
      <c r="C257" s="21" t="str">
        <f t="shared" si="6"/>
        <v>A</v>
      </c>
      <c r="D257">
        <v>121</v>
      </c>
      <c r="E257">
        <v>103.84037785896599</v>
      </c>
      <c r="F257"/>
    </row>
    <row r="258" spans="1:6" x14ac:dyDescent="0.25">
      <c r="A258" s="21">
        <f t="shared" si="7"/>
        <v>5.2192405493836302E-2</v>
      </c>
      <c r="C258" s="21" t="str">
        <f t="shared" si="6"/>
        <v>A</v>
      </c>
      <c r="D258">
        <v>91</v>
      </c>
      <c r="E258">
        <v>95.749508899939102</v>
      </c>
      <c r="F258"/>
    </row>
    <row r="259" spans="1:6" x14ac:dyDescent="0.25">
      <c r="A259" s="21">
        <f t="shared" si="7"/>
        <v>0.1137896587741678</v>
      </c>
      <c r="C259" s="21" t="str">
        <f t="shared" si="6"/>
        <v>A</v>
      </c>
      <c r="D259">
        <v>137</v>
      </c>
      <c r="E259">
        <v>152.58918325206099</v>
      </c>
      <c r="F259"/>
    </row>
    <row r="260" spans="1:6" x14ac:dyDescent="0.25">
      <c r="A260" s="21">
        <f t="shared" si="7"/>
        <v>6.9013540941184948E-2</v>
      </c>
      <c r="C260" s="21" t="str">
        <f t="shared" si="6"/>
        <v>A</v>
      </c>
      <c r="D260">
        <v>119</v>
      </c>
      <c r="E260">
        <v>127.21261137200101</v>
      </c>
      <c r="F260"/>
    </row>
    <row r="261" spans="1:6" x14ac:dyDescent="0.25">
      <c r="A261" s="21">
        <f t="shared" si="7"/>
        <v>5.1307261672262516E-2</v>
      </c>
      <c r="C261" s="21" t="str">
        <f t="shared" si="6"/>
        <v>A</v>
      </c>
      <c r="D261">
        <v>99</v>
      </c>
      <c r="E261">
        <v>104.07941890555399</v>
      </c>
      <c r="F261"/>
    </row>
    <row r="263" spans="1:6" x14ac:dyDescent="0.25">
      <c r="F263"/>
    </row>
  </sheetData>
  <phoneticPr fontId="1" type="noConversion"/>
  <conditionalFormatting sqref="A38:A26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255"/>
  <sheetViews>
    <sheetView topLeftCell="A37" zoomScale="70" zoomScaleNormal="70" workbookViewId="0">
      <selection activeCell="E38" sqref="E38"/>
    </sheetView>
  </sheetViews>
  <sheetFormatPr defaultRowHeight="16.5" x14ac:dyDescent="0.25"/>
  <cols>
    <col min="1" max="3" width="9" style="1"/>
    <col min="4" max="7" width="12.125" style="1" customWidth="1"/>
    <col min="8" max="8" width="13.125" style="1" customWidth="1"/>
    <col min="9" max="9" width="14.125" style="1" customWidth="1"/>
    <col min="10" max="11" width="13.25" style="1" customWidth="1"/>
    <col min="12" max="12" width="12.375" style="1" customWidth="1"/>
    <col min="13" max="13" width="12.125" style="1" customWidth="1"/>
    <col min="14" max="14" width="11.5" style="1" customWidth="1"/>
    <col min="15" max="16384" width="9" style="1"/>
  </cols>
  <sheetData>
    <row r="1" spans="3:23" x14ac:dyDescent="0.25">
      <c r="C1" s="1" t="s">
        <v>19</v>
      </c>
      <c r="G1" s="1" t="s">
        <v>20</v>
      </c>
    </row>
    <row r="2" spans="3:23" x14ac:dyDescent="0.25"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1</v>
      </c>
      <c r="M2" s="1" t="s">
        <v>30</v>
      </c>
      <c r="N2" s="1" t="s">
        <v>2</v>
      </c>
      <c r="O2" s="1" t="s">
        <v>0</v>
      </c>
    </row>
    <row r="3" spans="3:23" x14ac:dyDescent="0.25">
      <c r="C3" s="1">
        <f>P3/18</f>
        <v>0</v>
      </c>
      <c r="D3" s="1">
        <f>Q3/18</f>
        <v>0</v>
      </c>
      <c r="G3" s="1">
        <f>T3/18</f>
        <v>2.7777777777777777</v>
      </c>
      <c r="P3" s="1">
        <v>0</v>
      </c>
      <c r="Q3" s="1">
        <v>0</v>
      </c>
      <c r="T3" s="1">
        <v>50</v>
      </c>
    </row>
    <row r="4" spans="3:23" x14ac:dyDescent="0.25">
      <c r="C4" s="1">
        <f t="shared" ref="C4:D34" si="0">P4/18</f>
        <v>1.6666666666666667</v>
      </c>
      <c r="D4" s="1">
        <f t="shared" si="0"/>
        <v>1.6666666666666667</v>
      </c>
      <c r="G4" s="1">
        <f t="shared" ref="G4:G7" si="1">T4/18</f>
        <v>2.7777777777777777</v>
      </c>
      <c r="P4" s="1">
        <v>30</v>
      </c>
      <c r="Q4" s="1">
        <v>30</v>
      </c>
      <c r="T4" s="1">
        <v>50</v>
      </c>
    </row>
    <row r="5" spans="3:23" x14ac:dyDescent="0.25">
      <c r="C5" s="1">
        <f t="shared" si="0"/>
        <v>7.7777777777777777</v>
      </c>
      <c r="D5" s="1">
        <f t="shared" si="0"/>
        <v>7.7777777777777777</v>
      </c>
      <c r="G5" s="1">
        <f t="shared" si="1"/>
        <v>9.4444444444444446</v>
      </c>
      <c r="P5" s="1">
        <v>140</v>
      </c>
      <c r="Q5" s="1">
        <v>140</v>
      </c>
      <c r="T5" s="1">
        <v>170</v>
      </c>
    </row>
    <row r="6" spans="3:23" x14ac:dyDescent="0.25">
      <c r="C6" s="1">
        <f t="shared" si="0"/>
        <v>15.555555555555555</v>
      </c>
      <c r="D6" s="1">
        <f t="shared" si="0"/>
        <v>15.555555555555555</v>
      </c>
      <c r="G6" s="1">
        <f t="shared" si="1"/>
        <v>21.111111111111111</v>
      </c>
      <c r="P6" s="1">
        <v>280</v>
      </c>
      <c r="Q6" s="1">
        <v>280</v>
      </c>
      <c r="T6" s="1">
        <v>380</v>
      </c>
    </row>
    <row r="7" spans="3:23" x14ac:dyDescent="0.25">
      <c r="C7" s="1">
        <f t="shared" si="0"/>
        <v>106.66666666666667</v>
      </c>
      <c r="D7" s="1">
        <f t="shared" si="0"/>
        <v>23.888888888888889</v>
      </c>
      <c r="G7" s="1">
        <f t="shared" si="1"/>
        <v>122.22222222222223</v>
      </c>
      <c r="P7" s="1">
        <v>1920</v>
      </c>
      <c r="Q7" s="1">
        <v>430</v>
      </c>
      <c r="T7" s="1">
        <v>2200</v>
      </c>
    </row>
    <row r="8" spans="3:23" x14ac:dyDescent="0.25">
      <c r="C8" s="1">
        <f t="shared" si="0"/>
        <v>6.666666666666667</v>
      </c>
      <c r="D8" s="1">
        <f t="shared" si="0"/>
        <v>6.666666666666667</v>
      </c>
      <c r="J8" s="1">
        <f>W8/18</f>
        <v>0</v>
      </c>
      <c r="P8" s="1">
        <v>120</v>
      </c>
      <c r="Q8" s="1">
        <v>120</v>
      </c>
      <c r="W8" s="1">
        <v>0</v>
      </c>
    </row>
    <row r="9" spans="3:23" x14ac:dyDescent="0.25">
      <c r="C9" s="1">
        <f t="shared" si="0"/>
        <v>6.666666666666667</v>
      </c>
      <c r="D9" s="1">
        <f t="shared" si="0"/>
        <v>6.666666666666667</v>
      </c>
      <c r="J9" s="1">
        <f t="shared" ref="J9:J11" si="2">W9/18</f>
        <v>1.6666666666666667</v>
      </c>
      <c r="P9" s="1">
        <v>120</v>
      </c>
      <c r="Q9" s="1">
        <v>120</v>
      </c>
      <c r="W9" s="1">
        <v>30</v>
      </c>
    </row>
    <row r="10" spans="3:23" x14ac:dyDescent="0.25">
      <c r="C10" s="1">
        <f t="shared" si="0"/>
        <v>14.444444444444445</v>
      </c>
      <c r="D10" s="1">
        <f t="shared" si="0"/>
        <v>14.444444444444445</v>
      </c>
      <c r="J10" s="1">
        <f t="shared" si="2"/>
        <v>7.2222222222222223</v>
      </c>
      <c r="P10" s="1">
        <v>260</v>
      </c>
      <c r="Q10" s="1">
        <v>260</v>
      </c>
      <c r="W10" s="1">
        <v>130</v>
      </c>
    </row>
    <row r="11" spans="3:23" x14ac:dyDescent="0.25">
      <c r="C11" s="1">
        <f t="shared" si="0"/>
        <v>61.111111111111114</v>
      </c>
      <c r="D11" s="1">
        <f t="shared" si="0"/>
        <v>30.555555555555557</v>
      </c>
      <c r="J11" s="1">
        <f t="shared" si="2"/>
        <v>27.777777777777779</v>
      </c>
      <c r="P11" s="1">
        <v>1100</v>
      </c>
      <c r="Q11" s="1">
        <v>550</v>
      </c>
      <c r="W11" s="1">
        <v>500</v>
      </c>
    </row>
    <row r="12" spans="3:23" x14ac:dyDescent="0.25">
      <c r="C12" s="1">
        <f t="shared" si="0"/>
        <v>2.7777777777777777</v>
      </c>
      <c r="H12" s="1">
        <f>U12/18</f>
        <v>0</v>
      </c>
      <c r="P12" s="1">
        <v>50</v>
      </c>
      <c r="U12" s="1">
        <v>0</v>
      </c>
    </row>
    <row r="13" spans="3:23" x14ac:dyDescent="0.25">
      <c r="C13" s="1">
        <f t="shared" si="0"/>
        <v>2.7777777777777777</v>
      </c>
      <c r="H13" s="1">
        <f t="shared" ref="H13:H16" si="3">U13/18</f>
        <v>1.6666666666666667</v>
      </c>
      <c r="P13" s="1">
        <v>50</v>
      </c>
      <c r="U13" s="1">
        <v>30</v>
      </c>
    </row>
    <row r="14" spans="3:23" x14ac:dyDescent="0.25">
      <c r="C14" s="1">
        <f t="shared" si="0"/>
        <v>9.4444444444444446</v>
      </c>
      <c r="H14" s="1">
        <f t="shared" si="3"/>
        <v>8.0555555555555554</v>
      </c>
      <c r="P14" s="1">
        <v>170</v>
      </c>
      <c r="U14" s="1">
        <v>145</v>
      </c>
    </row>
    <row r="15" spans="3:23" x14ac:dyDescent="0.25">
      <c r="C15" s="1">
        <f t="shared" si="0"/>
        <v>21.388888888888889</v>
      </c>
      <c r="H15" s="1">
        <f t="shared" si="3"/>
        <v>16.666666666666668</v>
      </c>
      <c r="P15" s="1">
        <v>385</v>
      </c>
      <c r="U15" s="1">
        <v>300</v>
      </c>
    </row>
    <row r="16" spans="3:23" x14ac:dyDescent="0.25">
      <c r="C16" s="1">
        <f t="shared" si="0"/>
        <v>61.111111111111114</v>
      </c>
      <c r="H16" s="1">
        <f t="shared" si="3"/>
        <v>50</v>
      </c>
      <c r="P16" s="1">
        <v>1100</v>
      </c>
      <c r="U16" s="1">
        <v>900</v>
      </c>
    </row>
    <row r="17" spans="3:26" x14ac:dyDescent="0.25">
      <c r="C17" s="1">
        <f t="shared" si="0"/>
        <v>0</v>
      </c>
      <c r="I17" s="1">
        <f>V17/18</f>
        <v>3.3333333333333335</v>
      </c>
      <c r="P17" s="1">
        <v>0</v>
      </c>
      <c r="V17" s="1">
        <v>60</v>
      </c>
    </row>
    <row r="18" spans="3:26" x14ac:dyDescent="0.25">
      <c r="C18" s="1">
        <f t="shared" si="0"/>
        <v>1.6666666666666667</v>
      </c>
      <c r="I18" s="1">
        <f t="shared" ref="I18:I21" si="4">V18/18</f>
        <v>3.3333333333333335</v>
      </c>
      <c r="P18" s="1">
        <v>30</v>
      </c>
      <c r="V18" s="1">
        <v>60</v>
      </c>
    </row>
    <row r="19" spans="3:26" x14ac:dyDescent="0.25">
      <c r="C19" s="1">
        <f t="shared" si="0"/>
        <v>2.7777777777777777</v>
      </c>
      <c r="I19" s="1">
        <f t="shared" si="4"/>
        <v>4.4444444444444446</v>
      </c>
      <c r="P19" s="1">
        <v>50</v>
      </c>
      <c r="V19" s="1">
        <v>80</v>
      </c>
    </row>
    <row r="20" spans="3:26" x14ac:dyDescent="0.25">
      <c r="C20" s="1">
        <f t="shared" si="0"/>
        <v>3.8888888888888888</v>
      </c>
      <c r="I20" s="1">
        <f t="shared" si="4"/>
        <v>6.1111111111111107</v>
      </c>
      <c r="P20" s="1">
        <v>70</v>
      </c>
      <c r="V20" s="1">
        <v>110</v>
      </c>
    </row>
    <row r="21" spans="3:26" x14ac:dyDescent="0.25">
      <c r="C21" s="1">
        <f t="shared" si="0"/>
        <v>57.777777777777779</v>
      </c>
      <c r="I21" s="1">
        <f t="shared" si="4"/>
        <v>122.22222222222223</v>
      </c>
      <c r="P21" s="1">
        <v>1040</v>
      </c>
      <c r="V21" s="1">
        <v>2200</v>
      </c>
    </row>
    <row r="22" spans="3:26" x14ac:dyDescent="0.25">
      <c r="C22" s="1">
        <f t="shared" si="0"/>
        <v>13.888888888888889</v>
      </c>
      <c r="L22" s="1">
        <f>Y22/18</f>
        <v>0</v>
      </c>
      <c r="P22" s="1">
        <v>250</v>
      </c>
      <c r="Y22" s="1">
        <v>0</v>
      </c>
    </row>
    <row r="23" spans="3:26" x14ac:dyDescent="0.25">
      <c r="C23" s="1">
        <f t="shared" si="0"/>
        <v>13.888888888888889</v>
      </c>
      <c r="L23" s="1">
        <f t="shared" ref="L23:L24" si="5">Y23/18</f>
        <v>2.2222222222222223</v>
      </c>
      <c r="P23" s="1">
        <v>250</v>
      </c>
      <c r="Y23" s="1">
        <v>40</v>
      </c>
    </row>
    <row r="24" spans="3:26" x14ac:dyDescent="0.25">
      <c r="C24" s="1">
        <f t="shared" si="0"/>
        <v>61.111111111111114</v>
      </c>
      <c r="L24" s="1">
        <f t="shared" si="5"/>
        <v>16.666666666666668</v>
      </c>
      <c r="P24" s="1">
        <v>1100</v>
      </c>
      <c r="Y24" s="1">
        <v>300</v>
      </c>
    </row>
    <row r="25" spans="3:26" x14ac:dyDescent="0.25">
      <c r="C25" s="1">
        <f t="shared" si="0"/>
        <v>0</v>
      </c>
      <c r="K25" s="1">
        <f>X25/18</f>
        <v>5.5555555555555554</v>
      </c>
      <c r="P25" s="1">
        <v>0</v>
      </c>
      <c r="X25" s="1">
        <v>100</v>
      </c>
    </row>
    <row r="26" spans="3:26" x14ac:dyDescent="0.25">
      <c r="C26" s="1">
        <f t="shared" si="0"/>
        <v>1.3888888888888888</v>
      </c>
      <c r="K26" s="1">
        <f t="shared" ref="K26:K29" si="6">X26/18</f>
        <v>5.5555555555555554</v>
      </c>
      <c r="P26" s="1">
        <v>25</v>
      </c>
      <c r="X26" s="1">
        <v>100</v>
      </c>
    </row>
    <row r="27" spans="3:26" x14ac:dyDescent="0.25">
      <c r="C27" s="1">
        <f t="shared" si="0"/>
        <v>2.7777777777777777</v>
      </c>
      <c r="K27" s="1">
        <f t="shared" si="6"/>
        <v>6.9444444444444446</v>
      </c>
      <c r="P27" s="1">
        <v>50</v>
      </c>
      <c r="X27" s="1">
        <v>125</v>
      </c>
    </row>
    <row r="28" spans="3:26" x14ac:dyDescent="0.25">
      <c r="C28" s="1">
        <f t="shared" si="0"/>
        <v>4.4444444444444446</v>
      </c>
      <c r="K28" s="1">
        <f t="shared" si="6"/>
        <v>11.944444444444445</v>
      </c>
      <c r="P28" s="1">
        <v>80</v>
      </c>
      <c r="X28" s="1">
        <v>215</v>
      </c>
    </row>
    <row r="29" spans="3:26" x14ac:dyDescent="0.25">
      <c r="C29" s="1">
        <f t="shared" si="0"/>
        <v>27.777777777777779</v>
      </c>
      <c r="K29" s="1">
        <f t="shared" si="6"/>
        <v>122.22222222222223</v>
      </c>
      <c r="P29" s="1">
        <v>500</v>
      </c>
      <c r="X29" s="1">
        <v>2200</v>
      </c>
    </row>
    <row r="30" spans="3:26" x14ac:dyDescent="0.25">
      <c r="C30" s="1">
        <f t="shared" si="0"/>
        <v>0</v>
      </c>
      <c r="M30" s="1">
        <f>Z30/18</f>
        <v>8.3333333333333339</v>
      </c>
      <c r="P30" s="1">
        <v>0</v>
      </c>
      <c r="Z30" s="1">
        <v>150</v>
      </c>
    </row>
    <row r="31" spans="3:26" x14ac:dyDescent="0.25">
      <c r="C31" s="1">
        <f t="shared" si="0"/>
        <v>1.9444444444444444</v>
      </c>
      <c r="M31" s="1">
        <f t="shared" ref="M31:M32" si="7">Z31/18</f>
        <v>8.6111111111111107</v>
      </c>
      <c r="P31" s="1">
        <v>35</v>
      </c>
      <c r="Z31" s="1">
        <v>155</v>
      </c>
    </row>
    <row r="32" spans="3:26" x14ac:dyDescent="0.25">
      <c r="C32" s="1">
        <f t="shared" si="0"/>
        <v>11.111111111111111</v>
      </c>
      <c r="M32" s="1">
        <f t="shared" si="7"/>
        <v>122.22222222222223</v>
      </c>
      <c r="P32" s="1">
        <v>200</v>
      </c>
      <c r="Z32" s="1">
        <v>2200</v>
      </c>
    </row>
    <row r="33" spans="3:27" x14ac:dyDescent="0.25">
      <c r="C33" s="1">
        <f t="shared" si="0"/>
        <v>0</v>
      </c>
      <c r="N33" s="1">
        <f>AA33/18</f>
        <v>0</v>
      </c>
      <c r="P33" s="1">
        <v>0</v>
      </c>
      <c r="AA33" s="1">
        <v>0</v>
      </c>
    </row>
    <row r="34" spans="3:27" x14ac:dyDescent="0.25">
      <c r="C34" s="1">
        <f t="shared" si="0"/>
        <v>122.22222222222223</v>
      </c>
      <c r="N34" s="1">
        <f>AA34/18</f>
        <v>122.22222222222223</v>
      </c>
      <c r="P34" s="1">
        <v>2200</v>
      </c>
      <c r="AA34" s="1">
        <v>2200</v>
      </c>
    </row>
    <row r="37" spans="3:27" ht="17.25" x14ac:dyDescent="0.25">
      <c r="C37" s="2" t="s">
        <v>3</v>
      </c>
      <c r="D37" s="2" t="s">
        <v>32</v>
      </c>
      <c r="E37" s="2" t="s">
        <v>33</v>
      </c>
    </row>
    <row r="38" spans="3:27" ht="17.25" x14ac:dyDescent="0.25">
      <c r="C38" s="12">
        <v>2.165</v>
      </c>
      <c r="D38" s="14">
        <v>2.2000000000000002</v>
      </c>
      <c r="E38" s="14"/>
    </row>
    <row r="39" spans="3:27" ht="17.25" x14ac:dyDescent="0.25">
      <c r="C39" s="12">
        <v>2.165</v>
      </c>
      <c r="D39" s="14">
        <v>2.1</v>
      </c>
      <c r="E39" s="14"/>
    </row>
    <row r="40" spans="3:27" ht="17.25" x14ac:dyDescent="0.25">
      <c r="C40" s="12">
        <v>2.165</v>
      </c>
      <c r="D40" s="14">
        <v>2.1</v>
      </c>
      <c r="E40" s="14"/>
    </row>
    <row r="41" spans="3:27" ht="17.25" x14ac:dyDescent="0.25">
      <c r="C41" s="12">
        <v>2.165</v>
      </c>
      <c r="D41" s="14">
        <v>2.2999999999999998</v>
      </c>
      <c r="E41" s="14"/>
    </row>
    <row r="42" spans="3:27" ht="17.25" x14ac:dyDescent="0.25">
      <c r="C42" s="12">
        <v>2.165</v>
      </c>
      <c r="D42" s="14">
        <v>2.1</v>
      </c>
      <c r="E42" s="14"/>
    </row>
    <row r="43" spans="3:27" ht="17.25" x14ac:dyDescent="0.25">
      <c r="C43" s="12">
        <v>2.165</v>
      </c>
      <c r="D43" s="14">
        <v>2.2000000000000002</v>
      </c>
      <c r="E43" s="14"/>
    </row>
    <row r="44" spans="3:27" ht="17.25" x14ac:dyDescent="0.25">
      <c r="C44" s="12">
        <v>2.165</v>
      </c>
      <c r="D44" s="14">
        <v>2.2999999999999998</v>
      </c>
      <c r="E44" s="14"/>
    </row>
    <row r="45" spans="3:27" ht="17.25" x14ac:dyDescent="0.25">
      <c r="C45" s="12">
        <v>2.165</v>
      </c>
      <c r="D45" s="14">
        <v>2.2000000000000002</v>
      </c>
      <c r="E45" s="14"/>
    </row>
    <row r="46" spans="3:27" ht="17.25" x14ac:dyDescent="0.25">
      <c r="C46" s="12">
        <v>2.165</v>
      </c>
      <c r="D46" s="14">
        <v>2.2000000000000002</v>
      </c>
      <c r="E46" s="14"/>
    </row>
    <row r="47" spans="3:27" ht="17.25" x14ac:dyDescent="0.25">
      <c r="C47" s="12">
        <v>2.165</v>
      </c>
      <c r="D47" s="14">
        <v>2.2000000000000002</v>
      </c>
      <c r="E47" s="14"/>
    </row>
    <row r="48" spans="3:27" ht="17.25" x14ac:dyDescent="0.25">
      <c r="C48" s="12">
        <v>2.165</v>
      </c>
      <c r="D48" s="14">
        <v>2.1</v>
      </c>
      <c r="E48" s="14"/>
    </row>
    <row r="49" spans="2:5" ht="17.25" x14ac:dyDescent="0.25">
      <c r="C49" s="12">
        <v>2.165</v>
      </c>
      <c r="D49" s="14">
        <v>2.1</v>
      </c>
      <c r="E49" s="14"/>
    </row>
    <row r="50" spans="2:5" ht="17.25" x14ac:dyDescent="0.25">
      <c r="C50" s="12">
        <v>2.165</v>
      </c>
      <c r="D50" s="14">
        <v>2.1</v>
      </c>
      <c r="E50" s="14"/>
    </row>
    <row r="51" spans="2:5" ht="17.25" x14ac:dyDescent="0.25">
      <c r="C51" s="12">
        <v>2.165</v>
      </c>
      <c r="D51" s="14">
        <v>2.1</v>
      </c>
      <c r="E51" s="14"/>
    </row>
    <row r="52" spans="2:5" ht="17.25" x14ac:dyDescent="0.25">
      <c r="C52" s="12">
        <v>2.165</v>
      </c>
      <c r="D52" s="14">
        <v>2.2000000000000002</v>
      </c>
      <c r="E52" s="14"/>
    </row>
    <row r="53" spans="2:5" ht="17.25" x14ac:dyDescent="0.25">
      <c r="B53" s="1" t="s">
        <v>31</v>
      </c>
      <c r="C53" s="12">
        <v>2.165</v>
      </c>
      <c r="D53" s="14">
        <v>2.1</v>
      </c>
      <c r="E53" s="14"/>
    </row>
    <row r="54" spans="2:5" ht="17.25" x14ac:dyDescent="0.25">
      <c r="C54" s="12">
        <v>2.165</v>
      </c>
      <c r="D54" s="14">
        <v>2.2000000000000002</v>
      </c>
      <c r="E54" s="14"/>
    </row>
    <row r="55" spans="2:5" ht="17.25" x14ac:dyDescent="0.25">
      <c r="C55" s="12">
        <v>2.165</v>
      </c>
      <c r="D55" s="14">
        <v>2.1</v>
      </c>
      <c r="E55" s="14"/>
    </row>
    <row r="56" spans="2:5" ht="17.25" x14ac:dyDescent="0.25">
      <c r="C56" s="12">
        <v>2.165</v>
      </c>
      <c r="D56" s="14">
        <v>2.2000000000000002</v>
      </c>
      <c r="E56" s="14"/>
    </row>
    <row r="57" spans="2:5" ht="17.25" x14ac:dyDescent="0.25">
      <c r="C57" s="12">
        <v>2.165</v>
      </c>
      <c r="D57" s="14">
        <v>2.1</v>
      </c>
      <c r="E57" s="14"/>
    </row>
    <row r="58" spans="2:5" ht="17.25" x14ac:dyDescent="0.25">
      <c r="C58" s="12">
        <v>6.2200000000000006</v>
      </c>
      <c r="D58" s="14">
        <v>6.3</v>
      </c>
      <c r="E58" s="14"/>
    </row>
    <row r="59" spans="2:5" ht="17.25" x14ac:dyDescent="0.25">
      <c r="C59" s="12">
        <v>6.2200000000000006</v>
      </c>
      <c r="D59" s="14">
        <v>6.3</v>
      </c>
      <c r="E59" s="14"/>
    </row>
    <row r="60" spans="2:5" ht="17.25" x14ac:dyDescent="0.25">
      <c r="C60" s="12">
        <v>6.2200000000000006</v>
      </c>
      <c r="D60" s="14">
        <v>6.3</v>
      </c>
      <c r="E60" s="14"/>
    </row>
    <row r="61" spans="2:5" ht="17.25" x14ac:dyDescent="0.25">
      <c r="C61" s="12">
        <v>6.2200000000000006</v>
      </c>
      <c r="D61" s="14">
        <v>6.3</v>
      </c>
      <c r="E61" s="14"/>
    </row>
    <row r="62" spans="2:5" ht="17.25" x14ac:dyDescent="0.25">
      <c r="C62" s="12">
        <v>6.2200000000000006</v>
      </c>
      <c r="D62" s="14">
        <v>6.4</v>
      </c>
      <c r="E62" s="14"/>
    </row>
    <row r="63" spans="2:5" ht="17.25" x14ac:dyDescent="0.25">
      <c r="C63" s="12">
        <v>6.2200000000000006</v>
      </c>
      <c r="D63" s="14">
        <v>6.4</v>
      </c>
      <c r="E63" s="14"/>
    </row>
    <row r="64" spans="2:5" ht="17.25" x14ac:dyDescent="0.25">
      <c r="C64" s="12">
        <v>6.2200000000000006</v>
      </c>
      <c r="D64" s="14">
        <v>6.3</v>
      </c>
      <c r="E64" s="14"/>
    </row>
    <row r="65" spans="3:5" ht="17.25" x14ac:dyDescent="0.25">
      <c r="C65" s="12">
        <v>6.2200000000000006</v>
      </c>
      <c r="D65" s="14">
        <v>6.4</v>
      </c>
      <c r="E65" s="14"/>
    </row>
    <row r="66" spans="3:5" ht="17.25" x14ac:dyDescent="0.25">
      <c r="C66" s="12">
        <v>6.2200000000000006</v>
      </c>
      <c r="D66" s="14">
        <v>6.3</v>
      </c>
      <c r="E66" s="14"/>
    </row>
    <row r="67" spans="3:5" ht="17.25" x14ac:dyDescent="0.25">
      <c r="C67" s="12">
        <v>6.2200000000000006</v>
      </c>
      <c r="D67" s="14">
        <v>6.3</v>
      </c>
      <c r="E67" s="14"/>
    </row>
    <row r="68" spans="3:5" ht="17.25" x14ac:dyDescent="0.25">
      <c r="C68" s="12">
        <v>6.2200000000000006</v>
      </c>
      <c r="D68" s="14">
        <v>6.3</v>
      </c>
      <c r="E68" s="14"/>
    </row>
    <row r="69" spans="3:5" ht="17.25" x14ac:dyDescent="0.25">
      <c r="C69" s="12">
        <v>6.2200000000000006</v>
      </c>
      <c r="D69" s="14">
        <v>6.4</v>
      </c>
      <c r="E69" s="14"/>
    </row>
    <row r="70" spans="3:5" ht="17.25" x14ac:dyDescent="0.25">
      <c r="C70" s="12">
        <v>6.2200000000000006</v>
      </c>
      <c r="D70" s="14">
        <v>6.3</v>
      </c>
      <c r="E70" s="14"/>
    </row>
    <row r="71" spans="3:5" ht="17.25" x14ac:dyDescent="0.25">
      <c r="C71" s="12">
        <v>6.2200000000000006</v>
      </c>
      <c r="D71" s="14">
        <v>6.4</v>
      </c>
      <c r="E71" s="14"/>
    </row>
    <row r="72" spans="3:5" ht="17.25" x14ac:dyDescent="0.25">
      <c r="C72" s="12">
        <v>6.2200000000000006</v>
      </c>
      <c r="D72" s="14">
        <v>6.4</v>
      </c>
      <c r="E72" s="14"/>
    </row>
    <row r="73" spans="3:5" ht="17.25" x14ac:dyDescent="0.25">
      <c r="C73" s="12">
        <v>6.2200000000000006</v>
      </c>
      <c r="D73" s="14">
        <v>6.4</v>
      </c>
      <c r="E73" s="14"/>
    </row>
    <row r="74" spans="3:5" ht="17.25" x14ac:dyDescent="0.25">
      <c r="C74" s="12">
        <v>6.2200000000000006</v>
      </c>
      <c r="D74" s="14">
        <v>6.5</v>
      </c>
      <c r="E74" s="14"/>
    </row>
    <row r="75" spans="3:5" ht="17.25" x14ac:dyDescent="0.25">
      <c r="C75" s="12">
        <v>6.2200000000000006</v>
      </c>
      <c r="D75" s="14">
        <v>6.3</v>
      </c>
      <c r="E75" s="14"/>
    </row>
    <row r="76" spans="3:5" ht="17.25" x14ac:dyDescent="0.25">
      <c r="C76" s="12">
        <v>6.2200000000000006</v>
      </c>
      <c r="D76" s="14">
        <v>6.3</v>
      </c>
      <c r="E76" s="14"/>
    </row>
    <row r="77" spans="3:5" ht="17.25" x14ac:dyDescent="0.25">
      <c r="C77" s="12">
        <v>6.2200000000000006</v>
      </c>
      <c r="D77" s="14">
        <v>6.3</v>
      </c>
      <c r="E77" s="14"/>
    </row>
    <row r="78" spans="3:5" ht="17.25" x14ac:dyDescent="0.25">
      <c r="C78" s="12">
        <v>17.7</v>
      </c>
      <c r="D78" s="14">
        <v>19.600000000000001</v>
      </c>
      <c r="E78" s="14"/>
    </row>
    <row r="79" spans="3:5" ht="17.25" x14ac:dyDescent="0.25">
      <c r="C79" s="12">
        <v>17.7</v>
      </c>
      <c r="D79" s="14">
        <v>19.5</v>
      </c>
      <c r="E79" s="14"/>
    </row>
    <row r="80" spans="3:5" ht="17.25" x14ac:dyDescent="0.25">
      <c r="C80" s="12">
        <v>17.7</v>
      </c>
      <c r="D80" s="14">
        <v>19.899999999999999</v>
      </c>
      <c r="E80" s="14"/>
    </row>
    <row r="81" spans="3:5" ht="17.25" x14ac:dyDescent="0.25">
      <c r="C81" s="12">
        <v>17.7</v>
      </c>
      <c r="D81" s="14">
        <v>19.600000000000001</v>
      </c>
      <c r="E81" s="14"/>
    </row>
    <row r="82" spans="3:5" ht="17.25" x14ac:dyDescent="0.25">
      <c r="C82" s="12">
        <v>17.7</v>
      </c>
      <c r="D82" s="14">
        <v>20.3</v>
      </c>
      <c r="E82" s="14"/>
    </row>
    <row r="83" spans="3:5" ht="17.25" x14ac:dyDescent="0.25">
      <c r="C83" s="12">
        <v>17.7</v>
      </c>
      <c r="D83" s="14">
        <v>20.8</v>
      </c>
      <c r="E83" s="14"/>
    </row>
    <row r="84" spans="3:5" ht="17.25" x14ac:dyDescent="0.25">
      <c r="C84" s="12">
        <v>17.7</v>
      </c>
      <c r="D84" s="14">
        <v>20.100000000000001</v>
      </c>
      <c r="E84" s="14"/>
    </row>
    <row r="85" spans="3:5" ht="17.25" x14ac:dyDescent="0.25">
      <c r="C85" s="12">
        <v>17.7</v>
      </c>
      <c r="D85" s="14">
        <v>19.899999999999999</v>
      </c>
      <c r="E85" s="14"/>
    </row>
    <row r="86" spans="3:5" ht="17.25" x14ac:dyDescent="0.25">
      <c r="C86" s="12">
        <v>17.7</v>
      </c>
      <c r="D86" s="14">
        <v>20</v>
      </c>
      <c r="E86" s="14"/>
    </row>
    <row r="87" spans="3:5" ht="17.25" x14ac:dyDescent="0.25">
      <c r="C87" s="12">
        <v>17.7</v>
      </c>
      <c r="D87" s="14">
        <v>19.899999999999999</v>
      </c>
      <c r="E87" s="14"/>
    </row>
    <row r="88" spans="3:5" ht="17.25" x14ac:dyDescent="0.25">
      <c r="C88" s="12">
        <v>17.7</v>
      </c>
      <c r="D88" s="14">
        <v>19.5</v>
      </c>
      <c r="E88" s="14"/>
    </row>
    <row r="89" spans="3:5" ht="17.25" x14ac:dyDescent="0.25">
      <c r="C89" s="12">
        <v>17.7</v>
      </c>
      <c r="D89" s="14">
        <v>20.3</v>
      </c>
      <c r="E89" s="14"/>
    </row>
    <row r="90" spans="3:5" ht="17.25" x14ac:dyDescent="0.25">
      <c r="C90" s="12">
        <v>17.7</v>
      </c>
      <c r="D90" s="14">
        <v>19.399999999999999</v>
      </c>
      <c r="E90" s="14"/>
    </row>
    <row r="91" spans="3:5" ht="17.25" x14ac:dyDescent="0.25">
      <c r="C91" s="12">
        <v>17.7</v>
      </c>
      <c r="D91" s="14">
        <v>19.7</v>
      </c>
      <c r="E91" s="14"/>
    </row>
    <row r="92" spans="3:5" ht="17.25" x14ac:dyDescent="0.25">
      <c r="C92" s="12">
        <v>17.7</v>
      </c>
      <c r="D92" s="14">
        <v>19.600000000000001</v>
      </c>
      <c r="E92" s="14"/>
    </row>
    <row r="93" spans="3:5" ht="17.25" x14ac:dyDescent="0.25">
      <c r="C93" s="12">
        <v>17.7</v>
      </c>
      <c r="D93" s="14">
        <v>19.8</v>
      </c>
      <c r="E93" s="14"/>
    </row>
    <row r="94" spans="3:5" ht="17.25" x14ac:dyDescent="0.25">
      <c r="C94" s="12">
        <v>17.7</v>
      </c>
      <c r="D94" s="14">
        <v>19.8</v>
      </c>
      <c r="E94" s="14"/>
    </row>
    <row r="95" spans="3:5" ht="17.25" x14ac:dyDescent="0.25">
      <c r="C95" s="12">
        <v>17.7</v>
      </c>
      <c r="D95" s="14">
        <v>19.899999999999999</v>
      </c>
      <c r="E95" s="14"/>
    </row>
    <row r="96" spans="3:5" ht="17.25" x14ac:dyDescent="0.25">
      <c r="C96" s="12">
        <v>17.7</v>
      </c>
      <c r="D96" s="14">
        <v>20</v>
      </c>
      <c r="E96" s="14"/>
    </row>
    <row r="97" spans="3:5" ht="17.25" x14ac:dyDescent="0.25">
      <c r="C97" s="12">
        <v>17.7</v>
      </c>
      <c r="D97" s="14">
        <v>19.5</v>
      </c>
      <c r="E97" s="14"/>
    </row>
    <row r="98" spans="3:5" ht="17.25" x14ac:dyDescent="0.25">
      <c r="C98" s="12">
        <v>2.7</v>
      </c>
      <c r="D98" s="13"/>
      <c r="E98" s="14">
        <v>3.4</v>
      </c>
    </row>
    <row r="99" spans="3:5" ht="17.25" x14ac:dyDescent="0.25">
      <c r="C99" s="12">
        <v>2.7</v>
      </c>
      <c r="D99" s="13"/>
      <c r="E99" s="14">
        <v>3.1</v>
      </c>
    </row>
    <row r="100" spans="3:5" ht="17.25" x14ac:dyDescent="0.25">
      <c r="C100" s="12">
        <v>2.7</v>
      </c>
      <c r="D100" s="13"/>
      <c r="E100" s="14">
        <v>3.1</v>
      </c>
    </row>
    <row r="101" spans="3:5" ht="17.25" x14ac:dyDescent="0.25">
      <c r="C101" s="12">
        <v>2.7</v>
      </c>
      <c r="D101" s="13"/>
      <c r="E101" s="14">
        <v>3</v>
      </c>
    </row>
    <row r="102" spans="3:5" ht="17.25" x14ac:dyDescent="0.25">
      <c r="C102" s="12">
        <v>2.7</v>
      </c>
      <c r="D102" s="13"/>
      <c r="E102" s="14">
        <v>3.1</v>
      </c>
    </row>
    <row r="103" spans="3:5" ht="17.25" x14ac:dyDescent="0.25">
      <c r="C103" s="12">
        <v>2.7</v>
      </c>
      <c r="D103" s="13"/>
      <c r="E103" s="14">
        <v>3.1</v>
      </c>
    </row>
    <row r="104" spans="3:5" ht="17.25" x14ac:dyDescent="0.25">
      <c r="C104" s="12">
        <v>2.7</v>
      </c>
      <c r="D104" s="13"/>
      <c r="E104" s="14">
        <v>3.1</v>
      </c>
    </row>
    <row r="105" spans="3:5" ht="17.25" x14ac:dyDescent="0.25">
      <c r="C105" s="12">
        <v>2.7</v>
      </c>
      <c r="D105" s="13"/>
      <c r="E105" s="14">
        <v>3.1</v>
      </c>
    </row>
    <row r="106" spans="3:5" ht="17.25" x14ac:dyDescent="0.25">
      <c r="C106" s="12">
        <v>2.7</v>
      </c>
      <c r="D106" s="13"/>
      <c r="E106" s="14">
        <v>3</v>
      </c>
    </row>
    <row r="107" spans="3:5" ht="17.25" x14ac:dyDescent="0.25">
      <c r="C107" s="12">
        <v>2.7</v>
      </c>
      <c r="D107" s="13"/>
      <c r="E107" s="14">
        <v>3</v>
      </c>
    </row>
    <row r="108" spans="3:5" ht="17.25" x14ac:dyDescent="0.25">
      <c r="C108" s="12">
        <v>2.7</v>
      </c>
      <c r="D108" s="13"/>
      <c r="E108" s="14">
        <v>3.4</v>
      </c>
    </row>
    <row r="109" spans="3:5" ht="17.25" x14ac:dyDescent="0.25">
      <c r="C109" s="12">
        <v>2.7</v>
      </c>
      <c r="D109" s="13"/>
      <c r="E109" s="14">
        <v>3.4</v>
      </c>
    </row>
    <row r="110" spans="3:5" ht="17.25" x14ac:dyDescent="0.25">
      <c r="C110" s="12">
        <v>2.7</v>
      </c>
      <c r="D110" s="13"/>
      <c r="E110" s="14">
        <v>3.4</v>
      </c>
    </row>
    <row r="111" spans="3:5" ht="17.25" x14ac:dyDescent="0.25">
      <c r="C111" s="12">
        <v>2.7</v>
      </c>
      <c r="D111" s="13"/>
      <c r="E111" s="14">
        <v>3.1</v>
      </c>
    </row>
    <row r="112" spans="3:5" ht="17.25" x14ac:dyDescent="0.25">
      <c r="C112" s="12">
        <v>2.7</v>
      </c>
      <c r="D112" s="13"/>
      <c r="E112" s="14">
        <v>3</v>
      </c>
    </row>
    <row r="113" spans="3:5" ht="17.25" x14ac:dyDescent="0.25">
      <c r="C113" s="12">
        <v>2.7</v>
      </c>
      <c r="D113" s="13"/>
      <c r="E113" s="14">
        <v>3.1</v>
      </c>
    </row>
    <row r="114" spans="3:5" ht="17.25" x14ac:dyDescent="0.25">
      <c r="C114" s="12">
        <v>2.7</v>
      </c>
      <c r="D114" s="13"/>
      <c r="E114" s="14">
        <v>3.1</v>
      </c>
    </row>
    <row r="115" spans="3:5" ht="17.25" x14ac:dyDescent="0.25">
      <c r="C115" s="12">
        <v>2.7</v>
      </c>
      <c r="D115" s="13"/>
      <c r="E115" s="14">
        <v>3.1</v>
      </c>
    </row>
    <row r="116" spans="3:5" ht="17.25" x14ac:dyDescent="0.25">
      <c r="C116" s="12">
        <v>2.7</v>
      </c>
      <c r="D116" s="13"/>
      <c r="E116" s="14">
        <v>3.1</v>
      </c>
    </row>
    <row r="117" spans="3:5" ht="17.25" x14ac:dyDescent="0.25">
      <c r="C117" s="12">
        <v>2.7</v>
      </c>
      <c r="D117" s="13"/>
      <c r="E117" s="14">
        <v>3.1</v>
      </c>
    </row>
    <row r="118" spans="3:5" ht="17.25" x14ac:dyDescent="0.25">
      <c r="C118" s="12">
        <v>2.7</v>
      </c>
      <c r="D118" s="13"/>
      <c r="E118" s="14">
        <v>3.1</v>
      </c>
    </row>
    <row r="119" spans="3:5" ht="17.25" x14ac:dyDescent="0.25">
      <c r="C119" s="12">
        <v>2.7</v>
      </c>
      <c r="D119" s="13"/>
      <c r="E119" s="14">
        <v>3.4</v>
      </c>
    </row>
    <row r="120" spans="3:5" ht="17.25" x14ac:dyDescent="0.25">
      <c r="C120" s="12">
        <v>2.7</v>
      </c>
      <c r="D120" s="13"/>
      <c r="E120" s="14">
        <v>3.1</v>
      </c>
    </row>
    <row r="121" spans="3:5" ht="17.25" x14ac:dyDescent="0.25">
      <c r="C121" s="12">
        <v>2.7</v>
      </c>
      <c r="D121" s="13"/>
      <c r="E121" s="14">
        <v>3.4</v>
      </c>
    </row>
    <row r="122" spans="3:5" ht="17.25" x14ac:dyDescent="0.25">
      <c r="C122" s="12">
        <v>2.7</v>
      </c>
      <c r="D122" s="13"/>
      <c r="E122" s="14">
        <v>3.1</v>
      </c>
    </row>
    <row r="123" spans="3:5" ht="17.25" x14ac:dyDescent="0.25">
      <c r="C123" s="12">
        <v>6.4</v>
      </c>
      <c r="D123" s="13"/>
      <c r="E123" s="14">
        <v>6.5</v>
      </c>
    </row>
    <row r="124" spans="3:5" ht="17.25" x14ac:dyDescent="0.25">
      <c r="C124" s="12">
        <v>6.4</v>
      </c>
      <c r="D124" s="13"/>
      <c r="E124" s="14">
        <v>6.5</v>
      </c>
    </row>
    <row r="125" spans="3:5" ht="17.25" x14ac:dyDescent="0.25">
      <c r="C125" s="12">
        <v>6.4</v>
      </c>
      <c r="D125" s="13"/>
      <c r="E125" s="14">
        <v>6.7</v>
      </c>
    </row>
    <row r="126" spans="3:5" ht="17.25" x14ac:dyDescent="0.25">
      <c r="C126" s="12">
        <v>6.4</v>
      </c>
      <c r="D126" s="13"/>
      <c r="E126" s="14">
        <v>6.9</v>
      </c>
    </row>
    <row r="127" spans="3:5" ht="17.25" x14ac:dyDescent="0.25">
      <c r="C127" s="12">
        <v>6.4</v>
      </c>
      <c r="D127" s="13"/>
      <c r="E127" s="14">
        <v>6.9</v>
      </c>
    </row>
    <row r="128" spans="3:5" ht="17.25" x14ac:dyDescent="0.25">
      <c r="C128" s="12">
        <v>6.4</v>
      </c>
      <c r="D128" s="13"/>
      <c r="E128" s="14">
        <v>6.7</v>
      </c>
    </row>
    <row r="129" spans="3:5" ht="17.25" x14ac:dyDescent="0.25">
      <c r="C129" s="12">
        <v>6.4</v>
      </c>
      <c r="D129" s="13"/>
      <c r="E129" s="14">
        <v>6.6</v>
      </c>
    </row>
    <row r="130" spans="3:5" ht="17.25" x14ac:dyDescent="0.25">
      <c r="C130" s="12">
        <v>6.4</v>
      </c>
      <c r="D130" s="13"/>
      <c r="E130" s="14">
        <v>6.7</v>
      </c>
    </row>
    <row r="131" spans="3:5" ht="17.25" x14ac:dyDescent="0.25">
      <c r="C131" s="12">
        <v>6.4</v>
      </c>
      <c r="D131" s="13"/>
      <c r="E131" s="14">
        <v>6.8</v>
      </c>
    </row>
    <row r="132" spans="3:5" ht="17.25" x14ac:dyDescent="0.25">
      <c r="C132" s="12">
        <v>6.4</v>
      </c>
      <c r="D132" s="13"/>
      <c r="E132" s="14">
        <v>6.9</v>
      </c>
    </row>
    <row r="133" spans="3:5" ht="17.25" x14ac:dyDescent="0.25">
      <c r="C133" s="12">
        <v>6.4</v>
      </c>
      <c r="D133" s="13"/>
      <c r="E133" s="14">
        <v>6.5</v>
      </c>
    </row>
    <row r="134" spans="3:5" ht="17.25" x14ac:dyDescent="0.25">
      <c r="C134" s="12">
        <v>6.4</v>
      </c>
      <c r="D134" s="13"/>
      <c r="E134" s="14">
        <v>6.5</v>
      </c>
    </row>
    <row r="135" spans="3:5" ht="17.25" x14ac:dyDescent="0.25">
      <c r="C135" s="12">
        <v>6.4</v>
      </c>
      <c r="D135" s="13"/>
      <c r="E135" s="14">
        <v>6.5</v>
      </c>
    </row>
    <row r="136" spans="3:5" ht="17.25" x14ac:dyDescent="0.25">
      <c r="C136" s="12">
        <v>6.4</v>
      </c>
      <c r="D136" s="13"/>
      <c r="E136" s="14">
        <v>6.7</v>
      </c>
    </row>
    <row r="137" spans="3:5" ht="17.25" x14ac:dyDescent="0.25">
      <c r="C137" s="12">
        <v>6.4</v>
      </c>
      <c r="D137" s="13"/>
      <c r="E137" s="14">
        <v>6.8</v>
      </c>
    </row>
    <row r="138" spans="3:5" ht="17.25" x14ac:dyDescent="0.25">
      <c r="C138" s="6">
        <v>6.4</v>
      </c>
      <c r="D138" s="7"/>
      <c r="E138" s="8">
        <v>6.7</v>
      </c>
    </row>
    <row r="139" spans="3:5" ht="17.25" x14ac:dyDescent="0.25">
      <c r="C139" s="6">
        <v>6.4</v>
      </c>
      <c r="D139" s="7"/>
      <c r="E139" s="8">
        <v>6.9</v>
      </c>
    </row>
    <row r="140" spans="3:5" ht="17.25" x14ac:dyDescent="0.25">
      <c r="C140" s="6">
        <v>6.4</v>
      </c>
      <c r="D140" s="7"/>
      <c r="E140" s="8">
        <v>6.7</v>
      </c>
    </row>
    <row r="141" spans="3:5" ht="17.25" x14ac:dyDescent="0.25">
      <c r="C141" s="6">
        <v>6.4</v>
      </c>
      <c r="D141" s="7"/>
      <c r="E141" s="8">
        <v>6.8</v>
      </c>
    </row>
    <row r="142" spans="3:5" ht="17.25" x14ac:dyDescent="0.25">
      <c r="C142" s="6">
        <v>6.4</v>
      </c>
      <c r="D142" s="7"/>
      <c r="E142" s="8">
        <v>6.7</v>
      </c>
    </row>
    <row r="143" spans="3:5" ht="17.25" x14ac:dyDescent="0.25">
      <c r="C143" s="6">
        <v>6.4</v>
      </c>
      <c r="D143" s="7"/>
      <c r="E143" s="8">
        <v>6.5</v>
      </c>
    </row>
    <row r="144" spans="3:5" ht="17.25" x14ac:dyDescent="0.25">
      <c r="C144" s="6">
        <v>6.4</v>
      </c>
      <c r="D144" s="7"/>
      <c r="E144" s="8">
        <v>6.6</v>
      </c>
    </row>
    <row r="145" spans="3:5" ht="17.25" x14ac:dyDescent="0.25">
      <c r="C145" s="6">
        <v>6.4</v>
      </c>
      <c r="D145" s="7"/>
      <c r="E145" s="8">
        <v>6.7</v>
      </c>
    </row>
    <row r="146" spans="3:5" ht="17.25" x14ac:dyDescent="0.25">
      <c r="C146" s="6">
        <v>6.4</v>
      </c>
      <c r="D146" s="7"/>
      <c r="E146" s="8">
        <v>6.6</v>
      </c>
    </row>
    <row r="147" spans="3:5" ht="17.25" x14ac:dyDescent="0.25">
      <c r="C147" s="6">
        <v>6.4</v>
      </c>
      <c r="D147" s="7"/>
      <c r="E147" s="8">
        <v>6.9</v>
      </c>
    </row>
    <row r="148" spans="3:5" ht="17.25" x14ac:dyDescent="0.25">
      <c r="C148" s="6">
        <v>19.7</v>
      </c>
      <c r="D148" s="7"/>
      <c r="E148" s="8">
        <v>21.5</v>
      </c>
    </row>
    <row r="149" spans="3:5" ht="17.25" x14ac:dyDescent="0.25">
      <c r="C149" s="6">
        <v>19.7</v>
      </c>
      <c r="D149" s="7"/>
      <c r="E149" s="8">
        <v>21</v>
      </c>
    </row>
    <row r="150" spans="3:5" ht="17.25" x14ac:dyDescent="0.25">
      <c r="C150" s="6">
        <v>19.7</v>
      </c>
      <c r="D150" s="7"/>
      <c r="E150" s="8">
        <v>21.9</v>
      </c>
    </row>
    <row r="151" spans="3:5" ht="17.25" x14ac:dyDescent="0.25">
      <c r="C151" s="6">
        <v>19.7</v>
      </c>
      <c r="D151" s="7"/>
      <c r="E151" s="8">
        <v>21.7</v>
      </c>
    </row>
    <row r="152" spans="3:5" ht="17.25" x14ac:dyDescent="0.25">
      <c r="C152" s="6">
        <v>19.7</v>
      </c>
      <c r="D152" s="7"/>
      <c r="E152" s="8">
        <v>20.399999999999999</v>
      </c>
    </row>
    <row r="153" spans="3:5" ht="17.25" x14ac:dyDescent="0.25">
      <c r="C153" s="6">
        <v>19.7</v>
      </c>
      <c r="D153" s="7"/>
      <c r="E153" s="8">
        <v>21.5</v>
      </c>
    </row>
    <row r="154" spans="3:5" ht="17.25" x14ac:dyDescent="0.25">
      <c r="C154" s="6">
        <v>19.7</v>
      </c>
      <c r="D154" s="7"/>
      <c r="E154" s="8">
        <v>20</v>
      </c>
    </row>
    <row r="155" spans="3:5" ht="17.25" x14ac:dyDescent="0.25">
      <c r="C155" s="6">
        <v>19.7</v>
      </c>
      <c r="D155" s="7"/>
      <c r="E155" s="8">
        <v>21.2</v>
      </c>
    </row>
    <row r="156" spans="3:5" ht="17.25" x14ac:dyDescent="0.25">
      <c r="C156" s="6">
        <v>19.7</v>
      </c>
      <c r="D156" s="7"/>
      <c r="E156" s="8">
        <v>20.3</v>
      </c>
    </row>
    <row r="157" spans="3:5" ht="17.25" x14ac:dyDescent="0.25">
      <c r="C157" s="6">
        <v>19.7</v>
      </c>
      <c r="D157" s="7"/>
      <c r="E157" s="8">
        <v>20.7</v>
      </c>
    </row>
    <row r="158" spans="3:5" ht="17.25" x14ac:dyDescent="0.25">
      <c r="C158" s="6">
        <v>19.7</v>
      </c>
      <c r="D158" s="7"/>
      <c r="E158" s="8">
        <v>21.5</v>
      </c>
    </row>
    <row r="159" spans="3:5" ht="17.25" x14ac:dyDescent="0.25">
      <c r="C159" s="6">
        <v>19.7</v>
      </c>
      <c r="D159" s="7"/>
      <c r="E159" s="8">
        <v>21.3</v>
      </c>
    </row>
    <row r="160" spans="3:5" ht="17.25" x14ac:dyDescent="0.25">
      <c r="C160" s="6">
        <v>19.7</v>
      </c>
      <c r="D160" s="7"/>
      <c r="E160" s="8">
        <v>20.399999999999999</v>
      </c>
    </row>
    <row r="161" spans="3:5" ht="17.25" x14ac:dyDescent="0.25">
      <c r="C161" s="6">
        <v>19.7</v>
      </c>
      <c r="D161" s="7"/>
      <c r="E161" s="8">
        <v>20.8</v>
      </c>
    </row>
    <row r="162" spans="3:5" ht="17.25" x14ac:dyDescent="0.25">
      <c r="C162" s="6">
        <v>19.7</v>
      </c>
      <c r="D162" s="7"/>
      <c r="E162" s="8">
        <v>20.5</v>
      </c>
    </row>
    <row r="163" spans="3:5" ht="17.25" x14ac:dyDescent="0.25">
      <c r="C163" s="6">
        <v>19.7</v>
      </c>
      <c r="D163" s="7"/>
      <c r="E163" s="8">
        <v>21.6</v>
      </c>
    </row>
    <row r="164" spans="3:5" ht="17.25" x14ac:dyDescent="0.25">
      <c r="C164" s="6">
        <v>19.7</v>
      </c>
      <c r="D164" s="7"/>
      <c r="E164" s="8">
        <v>21.5</v>
      </c>
    </row>
    <row r="165" spans="3:5" ht="17.25" x14ac:dyDescent="0.25">
      <c r="C165" s="6">
        <v>19.7</v>
      </c>
      <c r="D165" s="7"/>
      <c r="E165" s="8">
        <v>21</v>
      </c>
    </row>
    <row r="166" spans="3:5" ht="17.25" x14ac:dyDescent="0.25">
      <c r="C166" s="6">
        <v>19.7</v>
      </c>
      <c r="D166" s="7"/>
      <c r="E166" s="8">
        <v>22.3</v>
      </c>
    </row>
    <row r="167" spans="3:5" ht="17.25" x14ac:dyDescent="0.25">
      <c r="C167" s="6">
        <v>19.7</v>
      </c>
      <c r="D167" s="7"/>
      <c r="E167" s="8">
        <v>20.3</v>
      </c>
    </row>
    <row r="168" spans="3:5" ht="17.25" x14ac:dyDescent="0.25">
      <c r="C168" s="6">
        <v>19.7</v>
      </c>
      <c r="D168" s="7"/>
      <c r="E168" s="8">
        <v>21</v>
      </c>
    </row>
    <row r="169" spans="3:5" ht="17.25" x14ac:dyDescent="0.25">
      <c r="C169" s="6">
        <v>19.7</v>
      </c>
      <c r="D169" s="7"/>
      <c r="E169" s="8">
        <v>20.9</v>
      </c>
    </row>
    <row r="170" spans="3:5" ht="17.25" x14ac:dyDescent="0.25">
      <c r="C170" s="6">
        <v>19.7</v>
      </c>
      <c r="D170" s="7"/>
      <c r="E170" s="8">
        <v>21.8</v>
      </c>
    </row>
    <row r="171" spans="3:5" ht="17.25" x14ac:dyDescent="0.25">
      <c r="C171" s="6">
        <v>19.7</v>
      </c>
      <c r="D171" s="7"/>
      <c r="E171" s="8">
        <v>21</v>
      </c>
    </row>
    <row r="172" spans="3:5" ht="17.25" x14ac:dyDescent="0.25">
      <c r="C172" s="6">
        <v>19.7</v>
      </c>
      <c r="D172" s="7"/>
      <c r="E172" s="8">
        <v>20.6</v>
      </c>
    </row>
    <row r="173" spans="3:5" ht="17.25" x14ac:dyDescent="0.25">
      <c r="C173" s="6"/>
      <c r="D173" s="7"/>
      <c r="E173" s="8"/>
    </row>
    <row r="174" spans="3:5" ht="17.25" x14ac:dyDescent="0.25">
      <c r="C174" s="6"/>
      <c r="D174" s="7"/>
      <c r="E174" s="8"/>
    </row>
    <row r="175" spans="3:5" ht="17.25" x14ac:dyDescent="0.25">
      <c r="C175" s="6"/>
      <c r="D175" s="7"/>
      <c r="E175" s="8"/>
    </row>
    <row r="176" spans="3:5" ht="17.25" x14ac:dyDescent="0.25">
      <c r="C176" s="6"/>
      <c r="D176" s="7"/>
      <c r="E176" s="8"/>
    </row>
    <row r="177" spans="3:5" ht="17.25" x14ac:dyDescent="0.25">
      <c r="C177" s="6"/>
      <c r="D177" s="7"/>
      <c r="E177" s="8"/>
    </row>
    <row r="178" spans="3:5" ht="17.25" x14ac:dyDescent="0.25">
      <c r="C178" s="6"/>
      <c r="D178" s="7"/>
      <c r="E178" s="8"/>
    </row>
    <row r="179" spans="3:5" ht="17.25" x14ac:dyDescent="0.25">
      <c r="C179" s="6"/>
      <c r="D179" s="7"/>
      <c r="E179" s="8"/>
    </row>
    <row r="180" spans="3:5" ht="17.25" x14ac:dyDescent="0.25">
      <c r="C180" s="6"/>
      <c r="D180" s="7"/>
      <c r="E180" s="8"/>
    </row>
    <row r="181" spans="3:5" ht="17.25" x14ac:dyDescent="0.25">
      <c r="C181" s="6"/>
      <c r="D181" s="7"/>
      <c r="E181" s="8"/>
    </row>
    <row r="182" spans="3:5" ht="17.25" x14ac:dyDescent="0.25">
      <c r="C182" s="6"/>
      <c r="D182" s="7"/>
      <c r="E182" s="8"/>
    </row>
    <row r="183" spans="3:5" ht="17.25" x14ac:dyDescent="0.25">
      <c r="C183" s="6"/>
      <c r="D183" s="7"/>
      <c r="E183" s="8"/>
    </row>
    <row r="184" spans="3:5" ht="17.25" x14ac:dyDescent="0.25">
      <c r="C184" s="6"/>
      <c r="D184" s="7"/>
      <c r="E184" s="8"/>
    </row>
    <row r="185" spans="3:5" ht="17.25" x14ac:dyDescent="0.25">
      <c r="C185" s="6"/>
      <c r="D185" s="7"/>
      <c r="E185" s="8"/>
    </row>
    <row r="186" spans="3:5" ht="17.25" x14ac:dyDescent="0.25">
      <c r="C186" s="6"/>
      <c r="D186" s="7"/>
      <c r="E186" s="8"/>
    </row>
    <row r="187" spans="3:5" ht="17.25" x14ac:dyDescent="0.25">
      <c r="C187" s="6"/>
      <c r="D187" s="7"/>
      <c r="E187" s="8"/>
    </row>
    <row r="188" spans="3:5" ht="17.25" x14ac:dyDescent="0.25">
      <c r="C188" s="6"/>
      <c r="D188" s="7"/>
      <c r="E188" s="8"/>
    </row>
    <row r="189" spans="3:5" ht="17.25" x14ac:dyDescent="0.25">
      <c r="C189" s="6"/>
      <c r="D189" s="7"/>
      <c r="E189" s="8"/>
    </row>
    <row r="190" spans="3:5" ht="17.25" x14ac:dyDescent="0.25">
      <c r="C190" s="6"/>
      <c r="D190" s="7"/>
      <c r="E190" s="8"/>
    </row>
    <row r="191" spans="3:5" ht="17.25" x14ac:dyDescent="0.25">
      <c r="C191" s="6"/>
      <c r="D191" s="7"/>
      <c r="E191" s="8"/>
    </row>
    <row r="192" spans="3:5" ht="17.25" x14ac:dyDescent="0.25">
      <c r="C192" s="6"/>
      <c r="D192" s="7"/>
      <c r="E192" s="8"/>
    </row>
    <row r="193" spans="3:5" ht="17.25" x14ac:dyDescent="0.25">
      <c r="C193" s="6"/>
      <c r="D193" s="7"/>
      <c r="E193" s="8"/>
    </row>
    <row r="194" spans="3:5" ht="17.25" x14ac:dyDescent="0.25">
      <c r="C194" s="6"/>
      <c r="D194" s="7"/>
      <c r="E194" s="8"/>
    </row>
    <row r="195" spans="3:5" ht="17.25" x14ac:dyDescent="0.25">
      <c r="C195" s="6"/>
      <c r="D195" s="7"/>
      <c r="E195" s="8"/>
    </row>
    <row r="196" spans="3:5" ht="17.25" x14ac:dyDescent="0.25">
      <c r="C196" s="6"/>
      <c r="D196" s="7"/>
      <c r="E196" s="8"/>
    </row>
    <row r="197" spans="3:5" ht="17.25" x14ac:dyDescent="0.25">
      <c r="C197" s="6"/>
      <c r="D197" s="7"/>
      <c r="E197" s="8"/>
    </row>
    <row r="198" spans="3:5" ht="17.25" x14ac:dyDescent="0.25">
      <c r="C198" s="6"/>
      <c r="D198" s="7"/>
      <c r="E198" s="8"/>
    </row>
    <row r="199" spans="3:5" ht="17.25" x14ac:dyDescent="0.25">
      <c r="C199" s="6"/>
      <c r="D199" s="7"/>
      <c r="E199" s="8"/>
    </row>
    <row r="200" spans="3:5" ht="17.25" x14ac:dyDescent="0.25">
      <c r="C200" s="6"/>
      <c r="D200" s="7"/>
      <c r="E200" s="8"/>
    </row>
    <row r="201" spans="3:5" ht="17.25" x14ac:dyDescent="0.25">
      <c r="C201" s="6"/>
      <c r="D201" s="7"/>
      <c r="E201" s="8"/>
    </row>
    <row r="202" spans="3:5" ht="17.25" x14ac:dyDescent="0.25">
      <c r="C202" s="6"/>
      <c r="D202" s="7"/>
      <c r="E202" s="8"/>
    </row>
    <row r="203" spans="3:5" ht="17.25" x14ac:dyDescent="0.25">
      <c r="C203" s="6"/>
      <c r="D203" s="7"/>
      <c r="E203" s="8"/>
    </row>
    <row r="204" spans="3:5" ht="17.25" x14ac:dyDescent="0.25">
      <c r="C204" s="6"/>
      <c r="D204" s="7"/>
      <c r="E204" s="8"/>
    </row>
    <row r="205" spans="3:5" ht="17.25" x14ac:dyDescent="0.25">
      <c r="C205" s="6"/>
      <c r="D205" s="7"/>
      <c r="E205" s="8"/>
    </row>
    <row r="206" spans="3:5" ht="17.25" x14ac:dyDescent="0.25">
      <c r="C206" s="6"/>
      <c r="D206" s="7"/>
      <c r="E206" s="8"/>
    </row>
    <row r="207" spans="3:5" ht="17.25" x14ac:dyDescent="0.25">
      <c r="C207" s="6"/>
      <c r="D207" s="7"/>
      <c r="E207" s="8"/>
    </row>
    <row r="208" spans="3:5" ht="17.25" x14ac:dyDescent="0.25">
      <c r="C208" s="6"/>
      <c r="D208" s="7"/>
      <c r="E208" s="8"/>
    </row>
    <row r="209" spans="3:8" ht="17.25" x14ac:dyDescent="0.25">
      <c r="C209" s="6"/>
      <c r="D209" s="7"/>
      <c r="E209" s="8"/>
    </row>
    <row r="210" spans="3:8" ht="17.25" x14ac:dyDescent="0.25">
      <c r="C210" s="6"/>
      <c r="D210" s="7"/>
      <c r="E210" s="8"/>
    </row>
    <row r="211" spans="3:8" ht="17.25" x14ac:dyDescent="0.25">
      <c r="C211" s="6"/>
      <c r="D211" s="7"/>
      <c r="E211" s="8"/>
    </row>
    <row r="212" spans="3:8" ht="17.25" x14ac:dyDescent="0.25">
      <c r="C212" s="6"/>
      <c r="D212" s="7"/>
      <c r="E212" s="8"/>
    </row>
    <row r="213" spans="3:8" ht="17.25" x14ac:dyDescent="0.25">
      <c r="C213" s="6"/>
      <c r="D213" s="7"/>
      <c r="E213" s="8"/>
    </row>
    <row r="214" spans="3:8" ht="17.25" x14ac:dyDescent="0.25">
      <c r="C214" s="6"/>
      <c r="D214" s="7"/>
      <c r="E214" s="8"/>
    </row>
    <row r="215" spans="3:8" ht="17.25" x14ac:dyDescent="0.25">
      <c r="C215" s="6"/>
      <c r="D215" s="7"/>
      <c r="E215" s="8"/>
    </row>
    <row r="216" spans="3:8" ht="17.25" x14ac:dyDescent="0.25">
      <c r="C216" s="6"/>
      <c r="D216" s="7"/>
      <c r="E216" s="8"/>
    </row>
    <row r="217" spans="3:8" ht="17.25" x14ac:dyDescent="0.25">
      <c r="C217" s="6"/>
      <c r="D217" s="7"/>
      <c r="E217" s="8"/>
    </row>
    <row r="218" spans="3:8" ht="17.25" x14ac:dyDescent="0.25">
      <c r="C218" s="6"/>
      <c r="D218" s="7"/>
      <c r="E218" s="8"/>
    </row>
    <row r="219" spans="3:8" ht="17.25" x14ac:dyDescent="0.25">
      <c r="C219" s="6"/>
      <c r="D219" s="7"/>
      <c r="E219" s="8"/>
      <c r="H219" s="1">
        <f>600/18</f>
        <v>33.333333333333336</v>
      </c>
    </row>
    <row r="220" spans="3:8" ht="17.25" x14ac:dyDescent="0.25">
      <c r="C220" s="6"/>
      <c r="D220" s="7"/>
      <c r="E220" s="8"/>
    </row>
    <row r="221" spans="3:8" ht="17.25" x14ac:dyDescent="0.25">
      <c r="C221" s="6"/>
      <c r="D221" s="7"/>
      <c r="E221" s="8"/>
    </row>
    <row r="222" spans="3:8" ht="17.25" x14ac:dyDescent="0.25">
      <c r="C222" s="6"/>
      <c r="D222" s="7"/>
      <c r="E222" s="8"/>
    </row>
    <row r="223" spans="3:8" ht="17.25" x14ac:dyDescent="0.25">
      <c r="C223" s="6"/>
      <c r="D223" s="7"/>
      <c r="E223" s="8"/>
    </row>
    <row r="224" spans="3:8" ht="17.25" x14ac:dyDescent="0.25">
      <c r="C224" s="6"/>
      <c r="D224" s="7"/>
      <c r="E224" s="8"/>
    </row>
    <row r="225" spans="3:5" ht="17.25" x14ac:dyDescent="0.25">
      <c r="C225" s="6"/>
      <c r="D225" s="7"/>
      <c r="E225" s="8"/>
    </row>
    <row r="226" spans="3:5" ht="17.25" x14ac:dyDescent="0.25">
      <c r="C226" s="6"/>
      <c r="D226" s="7"/>
      <c r="E226" s="8"/>
    </row>
    <row r="227" spans="3:5" ht="17.25" x14ac:dyDescent="0.25">
      <c r="C227" s="6"/>
      <c r="D227" s="7"/>
      <c r="E227" s="8"/>
    </row>
    <row r="228" spans="3:5" ht="17.25" x14ac:dyDescent="0.25">
      <c r="C228" s="6"/>
      <c r="D228" s="7"/>
      <c r="E228" s="8"/>
    </row>
    <row r="229" spans="3:5" ht="17.25" x14ac:dyDescent="0.25">
      <c r="C229" s="6"/>
      <c r="D229" s="7"/>
      <c r="E229" s="8"/>
    </row>
    <row r="230" spans="3:5" ht="17.25" x14ac:dyDescent="0.25">
      <c r="C230" s="6"/>
      <c r="D230" s="7"/>
      <c r="E230" s="8"/>
    </row>
    <row r="231" spans="3:5" ht="17.25" x14ac:dyDescent="0.25">
      <c r="C231" s="6"/>
      <c r="D231" s="7"/>
      <c r="E231" s="8"/>
    </row>
    <row r="232" spans="3:5" ht="17.25" x14ac:dyDescent="0.25">
      <c r="C232" s="6"/>
      <c r="D232" s="7"/>
      <c r="E232" s="8"/>
    </row>
    <row r="233" spans="3:5" ht="17.25" x14ac:dyDescent="0.25">
      <c r="C233" s="6"/>
      <c r="D233" s="7"/>
      <c r="E233" s="8"/>
    </row>
    <row r="234" spans="3:5" ht="17.25" x14ac:dyDescent="0.25">
      <c r="C234" s="6"/>
      <c r="D234" s="7"/>
      <c r="E234" s="8"/>
    </row>
    <row r="235" spans="3:5" ht="17.25" x14ac:dyDescent="0.25">
      <c r="C235" s="6"/>
      <c r="D235" s="7"/>
      <c r="E235" s="8"/>
    </row>
    <row r="236" spans="3:5" ht="17.25" x14ac:dyDescent="0.25">
      <c r="C236" s="6"/>
      <c r="D236" s="7"/>
      <c r="E236" s="8"/>
    </row>
    <row r="237" spans="3:5" ht="17.25" x14ac:dyDescent="0.25">
      <c r="C237" s="6"/>
      <c r="D237" s="7"/>
      <c r="E237" s="8"/>
    </row>
    <row r="238" spans="3:5" ht="17.25" x14ac:dyDescent="0.25">
      <c r="C238" s="9"/>
      <c r="D238" s="10"/>
      <c r="E238" s="11"/>
    </row>
    <row r="239" spans="3:5" ht="17.25" x14ac:dyDescent="0.25">
      <c r="C239" s="9"/>
      <c r="D239" s="10"/>
      <c r="E239" s="11"/>
    </row>
    <row r="240" spans="3:5" ht="17.25" x14ac:dyDescent="0.25">
      <c r="C240" s="9"/>
      <c r="D240" s="10"/>
      <c r="E240" s="11"/>
    </row>
    <row r="241" spans="3:5" ht="17.25" x14ac:dyDescent="0.25">
      <c r="C241" s="9"/>
      <c r="D241" s="10"/>
      <c r="E241" s="11"/>
    </row>
    <row r="242" spans="3:5" ht="17.25" x14ac:dyDescent="0.25">
      <c r="C242" s="9"/>
      <c r="D242" s="10"/>
      <c r="E242" s="11"/>
    </row>
    <row r="243" spans="3:5" ht="17.25" x14ac:dyDescent="0.25">
      <c r="C243" s="9"/>
      <c r="D243" s="10"/>
      <c r="E243" s="11"/>
    </row>
    <row r="244" spans="3:5" ht="17.25" x14ac:dyDescent="0.25">
      <c r="C244" s="9"/>
      <c r="D244" s="10"/>
      <c r="E244" s="11"/>
    </row>
    <row r="245" spans="3:5" ht="17.25" x14ac:dyDescent="0.25">
      <c r="C245" s="9"/>
      <c r="D245" s="10"/>
      <c r="E245" s="11"/>
    </row>
    <row r="246" spans="3:5" ht="17.25" x14ac:dyDescent="0.25">
      <c r="C246" s="9"/>
      <c r="D246" s="10"/>
      <c r="E246" s="11"/>
    </row>
    <row r="247" spans="3:5" ht="17.25" x14ac:dyDescent="0.25">
      <c r="C247" s="9"/>
      <c r="D247" s="10"/>
      <c r="E247" s="11"/>
    </row>
    <row r="248" spans="3:5" ht="17.25" x14ac:dyDescent="0.25">
      <c r="C248" s="9"/>
      <c r="D248" s="10"/>
      <c r="E248" s="11"/>
    </row>
    <row r="249" spans="3:5" ht="17.25" x14ac:dyDescent="0.25">
      <c r="C249" s="9"/>
      <c r="D249" s="10"/>
      <c r="E249" s="11"/>
    </row>
    <row r="250" spans="3:5" ht="17.25" x14ac:dyDescent="0.25">
      <c r="C250" s="9"/>
      <c r="D250" s="10"/>
      <c r="E250" s="11"/>
    </row>
    <row r="251" spans="3:5" ht="17.25" x14ac:dyDescent="0.25">
      <c r="C251" s="9"/>
      <c r="D251" s="10"/>
      <c r="E251" s="11"/>
    </row>
    <row r="252" spans="3:5" ht="17.25" x14ac:dyDescent="0.25">
      <c r="C252" s="9"/>
      <c r="D252" s="10"/>
      <c r="E252" s="11"/>
    </row>
    <row r="253" spans="3:5" ht="17.25" x14ac:dyDescent="0.25">
      <c r="C253" s="9"/>
      <c r="D253" s="10"/>
      <c r="E253" s="11"/>
    </row>
    <row r="254" spans="3:5" ht="17.25" x14ac:dyDescent="0.25">
      <c r="C254" s="9"/>
      <c r="D254" s="10"/>
      <c r="E254" s="11"/>
    </row>
    <row r="255" spans="3:5" ht="17.25" x14ac:dyDescent="0.25">
      <c r="C255" s="9"/>
      <c r="D255" s="10"/>
      <c r="E255" s="1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workbookViewId="0">
      <pane xSplit="1" ySplit="2" topLeftCell="E9" activePane="bottomRight" state="frozen"/>
      <selection pane="topRight" activeCell="B1" sqref="B1"/>
      <selection pane="bottomLeft" activeCell="A3" sqref="A3"/>
      <selection pane="bottomRight" activeCell="R21" sqref="R21"/>
    </sheetView>
  </sheetViews>
  <sheetFormatPr defaultRowHeight="16.5" x14ac:dyDescent="0.25"/>
  <cols>
    <col min="1" max="1" width="8.75" bestFit="1" customWidth="1"/>
    <col min="2" max="2" width="12.375" bestFit="1" customWidth="1"/>
    <col min="3" max="3" width="12.25" bestFit="1" customWidth="1"/>
    <col min="4" max="4" width="12.125" bestFit="1" customWidth="1"/>
    <col min="5" max="5" width="12.25" bestFit="1" customWidth="1"/>
    <col min="6" max="6" width="12.125" bestFit="1" customWidth="1"/>
    <col min="7" max="7" width="12.375" bestFit="1" customWidth="1"/>
    <col min="8" max="8" width="12.25" bestFit="1" customWidth="1"/>
    <col min="9" max="9" width="12.125" bestFit="1" customWidth="1"/>
    <col min="10" max="10" width="11.875" bestFit="1" customWidth="1"/>
    <col min="11" max="11" width="6.625" bestFit="1" customWidth="1"/>
  </cols>
  <sheetData>
    <row r="1" spans="1:11" x14ac:dyDescent="0.25">
      <c r="A1" s="1" t="s">
        <v>4</v>
      </c>
      <c r="B1" s="1"/>
      <c r="C1" s="1" t="s">
        <v>5</v>
      </c>
      <c r="D1" s="1"/>
      <c r="E1" s="1"/>
      <c r="F1" s="1"/>
      <c r="G1" s="1"/>
      <c r="H1" s="1"/>
      <c r="I1" s="1"/>
      <c r="J1" s="1"/>
      <c r="K1" s="1"/>
    </row>
    <row r="2" spans="1:11" x14ac:dyDescent="0.25">
      <c r="A2" s="20" t="s">
        <v>6</v>
      </c>
      <c r="B2" s="20" t="s">
        <v>63</v>
      </c>
      <c r="C2" s="20" t="s">
        <v>10</v>
      </c>
      <c r="D2" s="20" t="s">
        <v>11</v>
      </c>
      <c r="E2" s="20" t="s">
        <v>12</v>
      </c>
      <c r="F2" s="20" t="s">
        <v>13</v>
      </c>
      <c r="G2" s="20" t="s">
        <v>14</v>
      </c>
      <c r="H2" s="20" t="s">
        <v>15</v>
      </c>
      <c r="I2" s="20" t="s">
        <v>16</v>
      </c>
      <c r="J2" s="20" t="s">
        <v>2</v>
      </c>
      <c r="K2" s="1" t="s">
        <v>0</v>
      </c>
    </row>
    <row r="3" spans="1:11" x14ac:dyDescent="0.25">
      <c r="A3" s="20">
        <v>0</v>
      </c>
      <c r="B3" s="20">
        <v>0</v>
      </c>
      <c r="C3" s="20">
        <v>50</v>
      </c>
      <c r="D3" s="20"/>
      <c r="E3" s="20"/>
      <c r="F3" s="20"/>
      <c r="G3" s="20"/>
      <c r="H3" s="20"/>
      <c r="I3" s="20"/>
      <c r="J3" s="20"/>
      <c r="K3" s="1"/>
    </row>
    <row r="4" spans="1:11" x14ac:dyDescent="0.25">
      <c r="A4" s="20">
        <v>30</v>
      </c>
      <c r="B4" s="20">
        <v>30</v>
      </c>
      <c r="C4" s="20">
        <v>50</v>
      </c>
      <c r="D4" s="20"/>
      <c r="E4" s="20"/>
      <c r="F4" s="20"/>
      <c r="G4" s="20"/>
      <c r="H4" s="20"/>
      <c r="I4" s="20"/>
      <c r="J4" s="20"/>
      <c r="K4" s="1"/>
    </row>
    <row r="5" spans="1:11" x14ac:dyDescent="0.25">
      <c r="A5" s="20">
        <v>140</v>
      </c>
      <c r="B5" s="20">
        <v>140</v>
      </c>
      <c r="C5" s="20">
        <v>170</v>
      </c>
      <c r="D5" s="20"/>
      <c r="E5" s="20"/>
      <c r="F5" s="20"/>
      <c r="G5" s="20"/>
      <c r="H5" s="20"/>
      <c r="I5" s="20"/>
      <c r="J5" s="20"/>
      <c r="K5" s="1"/>
    </row>
    <row r="6" spans="1:11" x14ac:dyDescent="0.25">
      <c r="A6" s="20">
        <v>280</v>
      </c>
      <c r="B6" s="20">
        <v>280</v>
      </c>
      <c r="C6" s="20">
        <v>380</v>
      </c>
      <c r="D6" s="20"/>
      <c r="E6" s="20"/>
      <c r="F6" s="20"/>
      <c r="G6" s="20"/>
      <c r="H6" s="20"/>
      <c r="I6" s="20"/>
      <c r="J6" s="20"/>
      <c r="K6" s="1"/>
    </row>
    <row r="7" spans="1:11" x14ac:dyDescent="0.25">
      <c r="A7" s="20">
        <v>430</v>
      </c>
      <c r="B7" s="20">
        <v>430</v>
      </c>
      <c r="C7" s="20">
        <v>550</v>
      </c>
      <c r="D7" s="20"/>
      <c r="E7" s="20"/>
      <c r="F7" s="20"/>
      <c r="G7" s="20"/>
      <c r="H7" s="20"/>
      <c r="I7" s="20"/>
      <c r="J7" s="20"/>
      <c r="K7" s="1"/>
    </row>
    <row r="8" spans="1:11" x14ac:dyDescent="0.25">
      <c r="A8" s="20">
        <v>120</v>
      </c>
      <c r="B8" s="20">
        <v>120</v>
      </c>
      <c r="C8" s="20"/>
      <c r="D8" s="20"/>
      <c r="E8" s="20"/>
      <c r="F8" s="20">
        <v>0</v>
      </c>
      <c r="G8" s="20"/>
      <c r="H8" s="20"/>
      <c r="I8" s="20"/>
      <c r="J8" s="20"/>
      <c r="K8" s="1"/>
    </row>
    <row r="9" spans="1:11" x14ac:dyDescent="0.25">
      <c r="A9" s="20">
        <v>120</v>
      </c>
      <c r="B9" s="20">
        <v>120</v>
      </c>
      <c r="C9" s="20"/>
      <c r="D9" s="20"/>
      <c r="E9" s="20"/>
      <c r="F9" s="20">
        <v>30</v>
      </c>
      <c r="G9" s="20"/>
      <c r="H9" s="20"/>
      <c r="I9" s="20"/>
      <c r="J9" s="20"/>
      <c r="K9" s="1"/>
    </row>
    <row r="10" spans="1:11" x14ac:dyDescent="0.25">
      <c r="A10" s="20">
        <v>260</v>
      </c>
      <c r="B10" s="20">
        <v>260</v>
      </c>
      <c r="C10" s="20"/>
      <c r="D10" s="20"/>
      <c r="E10" s="20"/>
      <c r="F10" s="20">
        <v>130</v>
      </c>
      <c r="G10" s="20"/>
      <c r="H10" s="20"/>
      <c r="I10" s="20"/>
      <c r="J10" s="20"/>
      <c r="K10" s="1"/>
    </row>
    <row r="11" spans="1:11" x14ac:dyDescent="0.25">
      <c r="A11" s="20">
        <v>550</v>
      </c>
      <c r="B11" s="20">
        <v>550</v>
      </c>
      <c r="C11" s="20"/>
      <c r="D11" s="20"/>
      <c r="E11" s="20"/>
      <c r="F11" s="20">
        <v>250</v>
      </c>
      <c r="G11" s="20"/>
      <c r="H11" s="20"/>
      <c r="I11" s="20"/>
      <c r="J11" s="20"/>
      <c r="K11" s="1"/>
    </row>
    <row r="12" spans="1:11" x14ac:dyDescent="0.25">
      <c r="A12" s="20">
        <v>50</v>
      </c>
      <c r="B12" s="20"/>
      <c r="C12" s="20"/>
      <c r="D12" s="20">
        <v>0</v>
      </c>
      <c r="E12" s="20"/>
      <c r="F12" s="20"/>
      <c r="G12" s="20"/>
      <c r="H12" s="20"/>
      <c r="I12" s="20"/>
      <c r="J12" s="20"/>
      <c r="K12" s="1"/>
    </row>
    <row r="13" spans="1:11" x14ac:dyDescent="0.25">
      <c r="A13" s="20">
        <v>50</v>
      </c>
      <c r="B13" s="20"/>
      <c r="C13" s="20"/>
      <c r="D13" s="20">
        <v>30</v>
      </c>
      <c r="E13" s="20"/>
      <c r="F13" s="20"/>
      <c r="G13" s="20"/>
      <c r="H13" s="20"/>
      <c r="I13" s="20"/>
      <c r="J13" s="20"/>
      <c r="K13" s="1"/>
    </row>
    <row r="14" spans="1:11" x14ac:dyDescent="0.25">
      <c r="A14" s="20">
        <v>170</v>
      </c>
      <c r="B14" s="20"/>
      <c r="C14" s="20"/>
      <c r="D14" s="20">
        <v>145</v>
      </c>
      <c r="E14" s="20"/>
      <c r="F14" s="20"/>
      <c r="G14" s="20"/>
      <c r="H14" s="20"/>
      <c r="I14" s="20"/>
      <c r="J14" s="20"/>
      <c r="K14" s="1"/>
    </row>
    <row r="15" spans="1:11" x14ac:dyDescent="0.25">
      <c r="A15" s="20">
        <v>385</v>
      </c>
      <c r="B15" s="20"/>
      <c r="C15" s="20"/>
      <c r="D15" s="20">
        <v>300</v>
      </c>
      <c r="E15" s="20"/>
      <c r="F15" s="20"/>
      <c r="G15" s="20"/>
      <c r="H15" s="20"/>
      <c r="I15" s="20"/>
      <c r="J15" s="20"/>
      <c r="K15" s="1"/>
    </row>
    <row r="16" spans="1:11" x14ac:dyDescent="0.25">
      <c r="A16" s="20">
        <v>550</v>
      </c>
      <c r="B16" s="20"/>
      <c r="C16" s="20"/>
      <c r="D16" s="20">
        <v>450</v>
      </c>
      <c r="E16" s="20"/>
      <c r="F16" s="20"/>
      <c r="G16" s="20"/>
      <c r="H16" s="20"/>
      <c r="I16" s="20"/>
      <c r="J16" s="20"/>
      <c r="K16" s="1"/>
    </row>
    <row r="17" spans="1:11" x14ac:dyDescent="0.25">
      <c r="A17" s="20">
        <v>0</v>
      </c>
      <c r="B17" s="20"/>
      <c r="C17" s="20"/>
      <c r="D17" s="20"/>
      <c r="E17" s="20">
        <v>60</v>
      </c>
      <c r="F17" s="20"/>
      <c r="G17" s="20"/>
      <c r="H17" s="20"/>
      <c r="I17" s="20"/>
      <c r="J17" s="20"/>
      <c r="K17" s="1"/>
    </row>
    <row r="18" spans="1:11" x14ac:dyDescent="0.25">
      <c r="A18" s="20">
        <v>30</v>
      </c>
      <c r="B18" s="20"/>
      <c r="C18" s="20"/>
      <c r="D18" s="20"/>
      <c r="E18" s="20">
        <v>60</v>
      </c>
      <c r="F18" s="20"/>
      <c r="G18" s="20"/>
      <c r="H18" s="20"/>
      <c r="I18" s="20"/>
      <c r="J18" s="20"/>
      <c r="K18" s="1"/>
    </row>
    <row r="19" spans="1:11" x14ac:dyDescent="0.25">
      <c r="A19" s="20">
        <v>50</v>
      </c>
      <c r="B19" s="20"/>
      <c r="C19" s="20"/>
      <c r="D19" s="20"/>
      <c r="E19" s="20">
        <v>80</v>
      </c>
      <c r="F19" s="20"/>
      <c r="G19" s="20"/>
      <c r="H19" s="20"/>
      <c r="I19" s="20"/>
      <c r="J19" s="20"/>
      <c r="K19" s="1"/>
    </row>
    <row r="20" spans="1:11" x14ac:dyDescent="0.25">
      <c r="A20" s="20">
        <v>70</v>
      </c>
      <c r="B20" s="20"/>
      <c r="C20" s="20"/>
      <c r="D20" s="20"/>
      <c r="E20" s="20">
        <v>110</v>
      </c>
      <c r="F20" s="20"/>
      <c r="G20" s="20"/>
      <c r="H20" s="20"/>
      <c r="I20" s="20"/>
      <c r="J20" s="20"/>
      <c r="K20" s="1"/>
    </row>
    <row r="21" spans="1:11" x14ac:dyDescent="0.25">
      <c r="A21" s="20">
        <v>260</v>
      </c>
      <c r="B21" s="20"/>
      <c r="C21" s="20"/>
      <c r="D21" s="20"/>
      <c r="E21" s="20">
        <v>550</v>
      </c>
      <c r="F21" s="20"/>
      <c r="G21" s="20"/>
      <c r="H21" s="20"/>
      <c r="I21" s="20"/>
      <c r="J21" s="20"/>
      <c r="K21" s="1"/>
    </row>
    <row r="22" spans="1:11" x14ac:dyDescent="0.25">
      <c r="A22" s="20">
        <v>250</v>
      </c>
      <c r="B22" s="20"/>
      <c r="C22" s="20"/>
      <c r="D22" s="20"/>
      <c r="E22" s="20"/>
      <c r="F22" s="20"/>
      <c r="G22" s="20"/>
      <c r="H22" s="20">
        <v>0</v>
      </c>
      <c r="I22" s="20"/>
      <c r="J22" s="20"/>
      <c r="K22" s="1"/>
    </row>
    <row r="23" spans="1:11" x14ac:dyDescent="0.25">
      <c r="A23" s="20">
        <v>250</v>
      </c>
      <c r="B23" s="20"/>
      <c r="C23" s="20"/>
      <c r="D23" s="20"/>
      <c r="E23" s="20"/>
      <c r="F23" s="20"/>
      <c r="G23" s="20"/>
      <c r="H23" s="20">
        <v>40</v>
      </c>
      <c r="I23" s="20"/>
      <c r="J23" s="20"/>
      <c r="K23" s="1"/>
    </row>
    <row r="24" spans="1:11" x14ac:dyDescent="0.25">
      <c r="A24" s="20">
        <v>550</v>
      </c>
      <c r="B24" s="20"/>
      <c r="C24" s="20"/>
      <c r="D24" s="20"/>
      <c r="E24" s="20"/>
      <c r="F24" s="20"/>
      <c r="G24" s="20"/>
      <c r="H24" s="20">
        <v>150</v>
      </c>
      <c r="I24" s="20"/>
      <c r="J24" s="20"/>
      <c r="K24" s="1"/>
    </row>
    <row r="25" spans="1:11" x14ac:dyDescent="0.25">
      <c r="A25" s="20">
        <v>0</v>
      </c>
      <c r="B25" s="20"/>
      <c r="C25" s="20"/>
      <c r="D25" s="20"/>
      <c r="E25" s="20"/>
      <c r="F25" s="20"/>
      <c r="G25" s="20">
        <v>100</v>
      </c>
      <c r="H25" s="20"/>
      <c r="I25" s="20"/>
      <c r="J25" s="20"/>
      <c r="K25" s="1"/>
    </row>
    <row r="26" spans="1:11" x14ac:dyDescent="0.25">
      <c r="A26" s="20">
        <v>25</v>
      </c>
      <c r="B26" s="20"/>
      <c r="C26" s="20"/>
      <c r="D26" s="20"/>
      <c r="E26" s="20"/>
      <c r="F26" s="20"/>
      <c r="G26" s="20">
        <v>100</v>
      </c>
      <c r="H26" s="20"/>
      <c r="I26" s="20"/>
      <c r="J26" s="20"/>
      <c r="K26" s="1"/>
    </row>
    <row r="27" spans="1:11" x14ac:dyDescent="0.25">
      <c r="A27" s="20">
        <v>50</v>
      </c>
      <c r="B27" s="20"/>
      <c r="C27" s="20"/>
      <c r="D27" s="20"/>
      <c r="E27" s="20"/>
      <c r="F27" s="20"/>
      <c r="G27" s="20">
        <v>125</v>
      </c>
      <c r="H27" s="20"/>
      <c r="I27" s="20"/>
      <c r="J27" s="20"/>
      <c r="K27" s="1"/>
    </row>
    <row r="28" spans="1:11" x14ac:dyDescent="0.25">
      <c r="A28" s="20">
        <v>80</v>
      </c>
      <c r="B28" s="20"/>
      <c r="C28" s="20"/>
      <c r="D28" s="20"/>
      <c r="E28" s="20"/>
      <c r="F28" s="20"/>
      <c r="G28" s="20">
        <v>215</v>
      </c>
      <c r="H28" s="20"/>
      <c r="I28" s="20"/>
      <c r="J28" s="20"/>
      <c r="K28" s="1"/>
    </row>
    <row r="29" spans="1:11" x14ac:dyDescent="0.25">
      <c r="A29" s="20">
        <v>125</v>
      </c>
      <c r="B29" s="20"/>
      <c r="C29" s="20"/>
      <c r="D29" s="20"/>
      <c r="E29" s="20"/>
      <c r="F29" s="20"/>
      <c r="G29" s="20">
        <v>550</v>
      </c>
      <c r="H29" s="20"/>
      <c r="I29" s="20"/>
      <c r="J29" s="20"/>
      <c r="K29" s="1"/>
    </row>
    <row r="30" spans="1:11" x14ac:dyDescent="0.25">
      <c r="A30" s="20">
        <v>0</v>
      </c>
      <c r="B30" s="20"/>
      <c r="C30" s="20"/>
      <c r="D30" s="20"/>
      <c r="E30" s="20"/>
      <c r="F30" s="20"/>
      <c r="G30" s="20"/>
      <c r="H30" s="20"/>
      <c r="I30" s="20">
        <v>150</v>
      </c>
      <c r="J30" s="20"/>
      <c r="K30" s="1"/>
    </row>
    <row r="31" spans="1:11" x14ac:dyDescent="0.25">
      <c r="A31" s="20">
        <v>35</v>
      </c>
      <c r="B31" s="20"/>
      <c r="C31" s="20"/>
      <c r="D31" s="20"/>
      <c r="E31" s="20"/>
      <c r="F31" s="20"/>
      <c r="G31" s="20"/>
      <c r="H31" s="20"/>
      <c r="I31" s="20">
        <v>155</v>
      </c>
      <c r="J31" s="20"/>
      <c r="K31" s="1"/>
    </row>
    <row r="32" spans="1:11" x14ac:dyDescent="0.25">
      <c r="A32" s="20">
        <v>50</v>
      </c>
      <c r="B32" s="20"/>
      <c r="C32" s="20"/>
      <c r="D32" s="20"/>
      <c r="E32" s="20"/>
      <c r="F32" s="20"/>
      <c r="G32" s="20"/>
      <c r="H32" s="20"/>
      <c r="I32" s="20">
        <v>550</v>
      </c>
      <c r="J32" s="20"/>
      <c r="K32" s="1"/>
    </row>
    <row r="33" spans="1:11" x14ac:dyDescent="0.25">
      <c r="A33" s="20">
        <v>0</v>
      </c>
      <c r="B33" s="20"/>
      <c r="C33" s="20"/>
      <c r="D33" s="20"/>
      <c r="E33" s="20"/>
      <c r="F33" s="20"/>
      <c r="G33" s="20"/>
      <c r="H33" s="20"/>
      <c r="I33" s="20"/>
      <c r="J33" s="20">
        <v>0</v>
      </c>
      <c r="K33" s="1"/>
    </row>
    <row r="34" spans="1:11" x14ac:dyDescent="0.25">
      <c r="A34" s="20">
        <v>550</v>
      </c>
      <c r="B34" s="20"/>
      <c r="C34" s="20"/>
      <c r="D34" s="20"/>
      <c r="E34" s="20"/>
      <c r="F34" s="20"/>
      <c r="G34" s="20"/>
      <c r="H34" s="20"/>
      <c r="I34" s="20"/>
      <c r="J34" s="20">
        <v>550</v>
      </c>
      <c r="K34" s="1"/>
    </row>
  </sheetData>
  <phoneticPr fontId="1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opLeftCell="A10" workbookViewId="0">
      <selection activeCell="G20" sqref="G20"/>
    </sheetView>
  </sheetViews>
  <sheetFormatPr defaultRowHeight="16.5" x14ac:dyDescent="0.25"/>
  <cols>
    <col min="1" max="1" width="8.75" bestFit="1" customWidth="1"/>
    <col min="2" max="2" width="12.25" bestFit="1" customWidth="1"/>
    <col min="3" max="3" width="12.125" bestFit="1" customWidth="1"/>
    <col min="4" max="4" width="12.25" bestFit="1" customWidth="1"/>
    <col min="5" max="5" width="12.125" bestFit="1" customWidth="1"/>
    <col min="6" max="6" width="12.375" bestFit="1" customWidth="1"/>
    <col min="7" max="7" width="12.25" bestFit="1" customWidth="1"/>
    <col min="8" max="8" width="12.125" bestFit="1" customWidth="1"/>
    <col min="9" max="9" width="11.875" bestFit="1" customWidth="1"/>
  </cols>
  <sheetData>
    <row r="1" spans="1:9" x14ac:dyDescent="0.25">
      <c r="A1" s="1" t="s">
        <v>4</v>
      </c>
      <c r="B1" s="1" t="s">
        <v>5</v>
      </c>
      <c r="C1" s="1"/>
      <c r="D1" s="1"/>
      <c r="E1" s="1"/>
      <c r="F1" s="1"/>
      <c r="G1" s="1"/>
      <c r="H1" s="1"/>
      <c r="I1" s="1"/>
    </row>
    <row r="2" spans="1:9" x14ac:dyDescent="0.25">
      <c r="A2" s="20" t="s">
        <v>6</v>
      </c>
      <c r="B2" s="20" t="s">
        <v>10</v>
      </c>
      <c r="C2" s="20" t="s">
        <v>11</v>
      </c>
      <c r="D2" s="20" t="s">
        <v>12</v>
      </c>
      <c r="E2" s="20" t="s">
        <v>13</v>
      </c>
      <c r="F2" s="20" t="s">
        <v>14</v>
      </c>
      <c r="G2" s="20" t="s">
        <v>15</v>
      </c>
      <c r="H2" s="20" t="s">
        <v>16</v>
      </c>
      <c r="I2" s="20" t="s">
        <v>2</v>
      </c>
    </row>
    <row r="3" spans="1:9" x14ac:dyDescent="0.25">
      <c r="A3" s="20">
        <v>0</v>
      </c>
      <c r="B3" s="20">
        <v>50</v>
      </c>
      <c r="C3" s="20"/>
      <c r="D3" s="20">
        <v>60</v>
      </c>
      <c r="E3" s="20"/>
      <c r="F3" s="20">
        <v>100</v>
      </c>
      <c r="G3" s="20"/>
      <c r="H3" s="20">
        <v>150</v>
      </c>
      <c r="I3" s="20">
        <v>0</v>
      </c>
    </row>
    <row r="4" spans="1:9" x14ac:dyDescent="0.25">
      <c r="A4" s="20">
        <v>25</v>
      </c>
      <c r="B4" s="20"/>
      <c r="C4" s="20"/>
      <c r="D4" s="20"/>
      <c r="E4" s="20"/>
      <c r="F4" s="20">
        <v>100</v>
      </c>
      <c r="G4" s="20"/>
      <c r="H4" s="20"/>
      <c r="I4" s="20"/>
    </row>
    <row r="5" spans="1:9" x14ac:dyDescent="0.25">
      <c r="A5" s="20">
        <v>30</v>
      </c>
      <c r="B5" s="20">
        <v>50</v>
      </c>
      <c r="C5" s="20"/>
      <c r="D5" s="20">
        <v>60</v>
      </c>
      <c r="E5" s="20"/>
      <c r="F5" s="20"/>
      <c r="G5" s="20"/>
      <c r="H5" s="20"/>
      <c r="I5" s="20"/>
    </row>
    <row r="6" spans="1:9" x14ac:dyDescent="0.25">
      <c r="A6" s="20">
        <v>35</v>
      </c>
      <c r="B6" s="20"/>
      <c r="C6" s="20"/>
      <c r="D6" s="20"/>
      <c r="E6" s="20"/>
      <c r="F6" s="20"/>
      <c r="G6" s="20"/>
      <c r="H6" s="20">
        <v>155</v>
      </c>
      <c r="I6" s="20"/>
    </row>
    <row r="7" spans="1:9" x14ac:dyDescent="0.25">
      <c r="A7" s="20">
        <v>50</v>
      </c>
      <c r="B7" s="20"/>
      <c r="C7" s="20">
        <v>0</v>
      </c>
      <c r="D7" s="20"/>
      <c r="E7" s="20"/>
      <c r="F7" s="20"/>
      <c r="G7" s="20"/>
      <c r="H7" s="20"/>
      <c r="I7" s="20"/>
    </row>
    <row r="8" spans="1:9" x14ac:dyDescent="0.25">
      <c r="A8" s="20">
        <v>50</v>
      </c>
      <c r="B8" s="20"/>
      <c r="C8" s="20">
        <v>30</v>
      </c>
      <c r="D8" s="20">
        <v>80</v>
      </c>
      <c r="E8" s="20"/>
      <c r="F8" s="20">
        <v>125</v>
      </c>
      <c r="G8" s="20"/>
      <c r="H8" s="20">
        <v>550</v>
      </c>
      <c r="I8" s="20"/>
    </row>
    <row r="9" spans="1:9" x14ac:dyDescent="0.25">
      <c r="A9" s="20">
        <v>70</v>
      </c>
      <c r="B9" s="20"/>
      <c r="C9" s="20"/>
      <c r="D9" s="20">
        <v>110</v>
      </c>
      <c r="E9" s="20"/>
      <c r="F9" s="20"/>
      <c r="G9" s="20"/>
      <c r="H9" s="20"/>
      <c r="I9" s="20"/>
    </row>
    <row r="10" spans="1:9" x14ac:dyDescent="0.25">
      <c r="A10" s="20">
        <v>80</v>
      </c>
      <c r="B10" s="20"/>
      <c r="C10" s="20"/>
      <c r="D10" s="20"/>
      <c r="E10" s="20"/>
      <c r="F10" s="20">
        <v>215</v>
      </c>
      <c r="G10" s="20"/>
      <c r="H10" s="20"/>
      <c r="I10" s="20"/>
    </row>
    <row r="11" spans="1:9" x14ac:dyDescent="0.25">
      <c r="A11" s="20">
        <v>140</v>
      </c>
      <c r="B11" s="20">
        <v>170</v>
      </c>
      <c r="C11" s="20"/>
      <c r="D11" s="20"/>
      <c r="E11" s="20"/>
      <c r="F11" s="20"/>
      <c r="G11" s="20"/>
      <c r="H11" s="20"/>
      <c r="I11" s="20"/>
    </row>
    <row r="12" spans="1:9" x14ac:dyDescent="0.25">
      <c r="A12" s="20">
        <v>120</v>
      </c>
      <c r="B12" s="20"/>
      <c r="C12" s="20"/>
      <c r="D12" s="20"/>
      <c r="E12" s="20">
        <v>0</v>
      </c>
      <c r="F12" s="20"/>
      <c r="G12" s="20"/>
      <c r="H12" s="20"/>
      <c r="I12" s="20"/>
    </row>
    <row r="13" spans="1:9" x14ac:dyDescent="0.25">
      <c r="A13" s="20">
        <v>120</v>
      </c>
      <c r="B13" s="20"/>
      <c r="C13" s="20"/>
      <c r="D13" s="20"/>
      <c r="E13" s="20">
        <v>30</v>
      </c>
      <c r="F13" s="20"/>
      <c r="G13" s="20"/>
      <c r="H13" s="20"/>
      <c r="I13" s="20"/>
    </row>
    <row r="14" spans="1:9" x14ac:dyDescent="0.25">
      <c r="A14" s="20">
        <v>125</v>
      </c>
      <c r="B14" s="20"/>
      <c r="C14" s="20"/>
      <c r="D14" s="20"/>
      <c r="E14" s="20"/>
      <c r="F14" s="20">
        <v>550</v>
      </c>
      <c r="G14" s="20"/>
      <c r="H14" s="20"/>
      <c r="I14" s="20"/>
    </row>
    <row r="15" spans="1:9" x14ac:dyDescent="0.25">
      <c r="A15" s="20">
        <v>170</v>
      </c>
      <c r="B15" s="20"/>
      <c r="C15" s="20">
        <v>145</v>
      </c>
      <c r="D15" s="20"/>
      <c r="E15" s="20"/>
      <c r="F15" s="20"/>
      <c r="G15" s="20"/>
      <c r="H15" s="20"/>
      <c r="I15" s="20"/>
    </row>
    <row r="16" spans="1:9" x14ac:dyDescent="0.25">
      <c r="A16" s="20">
        <v>250</v>
      </c>
      <c r="B16" s="20"/>
      <c r="C16" s="20"/>
      <c r="D16" s="20"/>
      <c r="E16" s="20"/>
      <c r="F16" s="20"/>
      <c r="G16" s="20">
        <v>0</v>
      </c>
      <c r="H16" s="20"/>
      <c r="I16" s="20"/>
    </row>
    <row r="17" spans="1:9" x14ac:dyDescent="0.25">
      <c r="A17" s="20">
        <v>250</v>
      </c>
      <c r="B17" s="20"/>
      <c r="C17" s="20"/>
      <c r="D17" s="20"/>
      <c r="E17" s="20"/>
      <c r="F17" s="20"/>
      <c r="G17" s="20">
        <v>40</v>
      </c>
      <c r="H17" s="20"/>
      <c r="I17" s="20"/>
    </row>
    <row r="18" spans="1:9" x14ac:dyDescent="0.25">
      <c r="A18" s="20">
        <v>260</v>
      </c>
      <c r="B18" s="20"/>
      <c r="C18" s="20"/>
      <c r="D18" s="20">
        <v>550</v>
      </c>
      <c r="E18" s="20">
        <v>130</v>
      </c>
      <c r="F18" s="20"/>
      <c r="G18" s="20"/>
      <c r="H18" s="20"/>
      <c r="I18" s="20"/>
    </row>
    <row r="19" spans="1:9" x14ac:dyDescent="0.25">
      <c r="A19" s="20">
        <v>280</v>
      </c>
      <c r="B19" s="20">
        <v>380</v>
      </c>
      <c r="C19" s="20"/>
      <c r="D19" s="20"/>
      <c r="E19" s="20"/>
      <c r="F19" s="20"/>
      <c r="G19" s="20"/>
      <c r="H19" s="20"/>
      <c r="I19" s="20"/>
    </row>
    <row r="20" spans="1:9" x14ac:dyDescent="0.25">
      <c r="A20" s="20">
        <v>385</v>
      </c>
      <c r="B20" s="20"/>
      <c r="C20" s="20">
        <v>300</v>
      </c>
      <c r="D20" s="20"/>
      <c r="E20" s="20"/>
      <c r="F20" s="20"/>
      <c r="G20" s="20"/>
      <c r="H20" s="20"/>
      <c r="I20" s="20"/>
    </row>
    <row r="21" spans="1:9" x14ac:dyDescent="0.25">
      <c r="A21" s="20">
        <v>430</v>
      </c>
      <c r="B21" s="20">
        <v>550</v>
      </c>
      <c r="C21" s="20"/>
      <c r="D21" s="20"/>
      <c r="E21" s="20"/>
      <c r="F21" s="20"/>
      <c r="G21" s="20"/>
      <c r="H21" s="20"/>
      <c r="I21" s="20"/>
    </row>
    <row r="22" spans="1:9" x14ac:dyDescent="0.25">
      <c r="A22" s="20">
        <v>550</v>
      </c>
      <c r="B22" s="20"/>
      <c r="C22" s="20">
        <v>450</v>
      </c>
      <c r="D22" s="20"/>
      <c r="E22" s="20">
        <v>250</v>
      </c>
      <c r="F22" s="20"/>
      <c r="G22" s="20">
        <v>150</v>
      </c>
      <c r="H22" s="20"/>
      <c r="I22" s="20">
        <v>550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tester C</vt:lpstr>
      <vt:lpstr>tester A</vt:lpstr>
      <vt:lpstr>乘DC</vt:lpstr>
      <vt:lpstr>28  feature</vt:lpstr>
      <vt:lpstr>24  feature</vt:lpstr>
      <vt:lpstr>20  feature</vt:lpstr>
      <vt:lpstr>16  feature</vt:lpstr>
      <vt:lpstr>12 feature </vt:lpstr>
      <vt:lpstr>24  feature - 沒斜邊</vt:lpstr>
      <vt:lpstr>20  feature - no theta</vt:lpstr>
      <vt:lpstr>EGA (mmol per L)</vt:lpstr>
      <vt:lpstr>工作表1</vt:lpstr>
      <vt:lpstr>工作表2</vt:lpstr>
    </vt:vector>
  </TitlesOfParts>
  <Company>Delta Electronics,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Delta User</dc:creator>
  <cp:lastModifiedBy>RICHARD.WENG 翁志偉</cp:lastModifiedBy>
  <dcterms:created xsi:type="dcterms:W3CDTF">2014-11-19T10:40:42Z</dcterms:created>
  <dcterms:modified xsi:type="dcterms:W3CDTF">2018-12-19T13:41:04Z</dcterms:modified>
</cp:coreProperties>
</file>