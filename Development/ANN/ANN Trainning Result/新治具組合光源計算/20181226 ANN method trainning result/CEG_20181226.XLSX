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hard.weng\Documents\Python Scripts\python_projects\(1) NIVG Project\ANN\ANN Trainning Result\20181226 ANN method trainning result\"/>
    </mc:Choice>
  </mc:AlternateContent>
  <bookViews>
    <workbookView xWindow="600" yWindow="285" windowWidth="19395" windowHeight="6300" firstSheet="3" activeTab="3"/>
  </bookViews>
  <sheets>
    <sheet name="tester C" sheetId="2" r:id="rId1"/>
    <sheet name="tester A" sheetId="5" r:id="rId2"/>
    <sheet name="乘DC" sheetId="4" r:id="rId3"/>
    <sheet name="20  feature-with Elky" sheetId="19" r:id="rId4"/>
    <sheet name="20  feature-with Elky (2)" sheetId="18" r:id="rId5"/>
    <sheet name="EGA (mmol per L)" sheetId="3" r:id="rId6"/>
    <sheet name="工作表1" sheetId="7" r:id="rId7"/>
    <sheet name="工作表2" sheetId="8" r:id="rId8"/>
  </sheets>
  <externalReferences>
    <externalReference r:id="rId9"/>
  </externalReferences>
  <calcPr calcId="162913" calcMode="autoNoTable"/>
</workbook>
</file>

<file path=xl/calcChain.xml><?xml version="1.0" encoding="utf-8"?>
<calcChain xmlns="http://schemas.openxmlformats.org/spreadsheetml/2006/main">
  <c r="C39" i="19" l="1"/>
  <c r="C40" i="19"/>
  <c r="C41" i="19"/>
  <c r="C42" i="19"/>
  <c r="R38" i="19" s="1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61" i="19"/>
  <c r="C162" i="19"/>
  <c r="C163" i="19"/>
  <c r="C164" i="19"/>
  <c r="C165" i="19"/>
  <c r="C166" i="19"/>
  <c r="C167" i="19"/>
  <c r="C168" i="19"/>
  <c r="C169" i="19"/>
  <c r="C170" i="19"/>
  <c r="C171" i="19"/>
  <c r="C172" i="19"/>
  <c r="C173" i="19"/>
  <c r="C174" i="19"/>
  <c r="C175" i="19"/>
  <c r="C176" i="19"/>
  <c r="C177" i="19"/>
  <c r="C178" i="19"/>
  <c r="C179" i="19"/>
  <c r="C180" i="19"/>
  <c r="C181" i="19"/>
  <c r="C182" i="19"/>
  <c r="C183" i="19"/>
  <c r="C184" i="19"/>
  <c r="C185" i="19"/>
  <c r="C186" i="19"/>
  <c r="C187" i="19"/>
  <c r="C188" i="19"/>
  <c r="C189" i="19"/>
  <c r="C190" i="19"/>
  <c r="C191" i="19"/>
  <c r="C192" i="19"/>
  <c r="C193" i="19"/>
  <c r="C194" i="19"/>
  <c r="C195" i="19"/>
  <c r="C196" i="19"/>
  <c r="C197" i="19"/>
  <c r="C198" i="19"/>
  <c r="C199" i="19"/>
  <c r="C200" i="19"/>
  <c r="C201" i="19"/>
  <c r="C202" i="19"/>
  <c r="C203" i="19"/>
  <c r="C204" i="19"/>
  <c r="C205" i="19"/>
  <c r="C206" i="19"/>
  <c r="C207" i="19"/>
  <c r="C208" i="19"/>
  <c r="C209" i="19"/>
  <c r="C210" i="19"/>
  <c r="C211" i="19"/>
  <c r="C212" i="19"/>
  <c r="C213" i="19"/>
  <c r="C214" i="19"/>
  <c r="C215" i="19"/>
  <c r="C216" i="19"/>
  <c r="C217" i="19"/>
  <c r="C218" i="19"/>
  <c r="C219" i="19"/>
  <c r="C220" i="19"/>
  <c r="C221" i="19"/>
  <c r="C222" i="19"/>
  <c r="C223" i="19"/>
  <c r="C224" i="19"/>
  <c r="C225" i="19"/>
  <c r="C226" i="19"/>
  <c r="C227" i="19"/>
  <c r="C228" i="19"/>
  <c r="C229" i="19"/>
  <c r="C230" i="19"/>
  <c r="C231" i="19"/>
  <c r="C232" i="19"/>
  <c r="C233" i="19"/>
  <c r="C234" i="19"/>
  <c r="C235" i="19"/>
  <c r="C236" i="19"/>
  <c r="C237" i="19"/>
  <c r="C238" i="19"/>
  <c r="C239" i="19"/>
  <c r="C240" i="19"/>
  <c r="C241" i="19"/>
  <c r="C242" i="19"/>
  <c r="C243" i="19"/>
  <c r="C244" i="19"/>
  <c r="C245" i="19"/>
  <c r="C246" i="19"/>
  <c r="C247" i="19"/>
  <c r="C248" i="19"/>
  <c r="C249" i="19"/>
  <c r="C250" i="19"/>
  <c r="C251" i="19"/>
  <c r="C252" i="19"/>
  <c r="C253" i="19"/>
  <c r="C254" i="19"/>
  <c r="C255" i="19"/>
  <c r="C256" i="19"/>
  <c r="C257" i="19"/>
  <c r="C258" i="19"/>
  <c r="C259" i="19"/>
  <c r="C260" i="19"/>
  <c r="C261" i="19"/>
  <c r="C262" i="19"/>
  <c r="C263" i="19"/>
  <c r="C264" i="19"/>
  <c r="C265" i="19"/>
  <c r="C266" i="19"/>
  <c r="C267" i="19"/>
  <c r="C268" i="19"/>
  <c r="C269" i="19"/>
  <c r="C270" i="19"/>
  <c r="C271" i="19"/>
  <c r="C272" i="19"/>
  <c r="C273" i="19"/>
  <c r="C274" i="19"/>
  <c r="C275" i="19"/>
  <c r="C276" i="19"/>
  <c r="C277" i="19"/>
  <c r="C278" i="19"/>
  <c r="C279" i="19"/>
  <c r="C280" i="19"/>
  <c r="C281" i="19"/>
  <c r="C282" i="19"/>
  <c r="C283" i="19"/>
  <c r="C284" i="19"/>
  <c r="C285" i="19"/>
  <c r="C286" i="19"/>
  <c r="C287" i="19"/>
  <c r="C288" i="19"/>
  <c r="C289" i="19"/>
  <c r="C290" i="19"/>
  <c r="C291" i="19"/>
  <c r="C292" i="19"/>
  <c r="C293" i="19"/>
  <c r="C294" i="19"/>
  <c r="A294" i="19" l="1"/>
  <c r="A293" i="19"/>
  <c r="A292" i="19"/>
  <c r="A291" i="19"/>
  <c r="A290" i="19"/>
  <c r="A289" i="19"/>
  <c r="A288" i="19"/>
  <c r="A287" i="19"/>
  <c r="A286" i="19"/>
  <c r="A285" i="19"/>
  <c r="A284" i="19"/>
  <c r="A283" i="19"/>
  <c r="A282" i="19"/>
  <c r="A281" i="19"/>
  <c r="A280" i="19"/>
  <c r="A279" i="19"/>
  <c r="A278" i="19"/>
  <c r="A277" i="19"/>
  <c r="A276" i="19"/>
  <c r="A275" i="19"/>
  <c r="A274" i="19"/>
  <c r="A273" i="19"/>
  <c r="A272" i="19"/>
  <c r="A271" i="19"/>
  <c r="A270" i="19"/>
  <c r="A269" i="19"/>
  <c r="A268" i="19"/>
  <c r="A267" i="19"/>
  <c r="A266" i="19"/>
  <c r="A265" i="19"/>
  <c r="A264" i="19"/>
  <c r="A263" i="19"/>
  <c r="A262" i="19"/>
  <c r="A261" i="19"/>
  <c r="A260" i="19"/>
  <c r="A259" i="19"/>
  <c r="A258" i="19"/>
  <c r="A257" i="19"/>
  <c r="A256" i="19"/>
  <c r="A255" i="19"/>
  <c r="A254" i="19"/>
  <c r="A253" i="19"/>
  <c r="A252" i="19"/>
  <c r="A251" i="19"/>
  <c r="A250" i="19"/>
  <c r="A249" i="19"/>
  <c r="A248" i="19"/>
  <c r="A247" i="19"/>
  <c r="A246" i="19"/>
  <c r="A245" i="19"/>
  <c r="A244" i="19"/>
  <c r="A243" i="19"/>
  <c r="A242" i="19"/>
  <c r="A241" i="19"/>
  <c r="A240" i="19"/>
  <c r="A239" i="19"/>
  <c r="A238" i="19"/>
  <c r="A237" i="19"/>
  <c r="A236" i="19"/>
  <c r="A235" i="19"/>
  <c r="A234" i="19"/>
  <c r="A233" i="19"/>
  <c r="A232" i="19"/>
  <c r="A231" i="19"/>
  <c r="A230" i="19"/>
  <c r="A229" i="19"/>
  <c r="A228" i="19"/>
  <c r="A227" i="19"/>
  <c r="A226" i="19"/>
  <c r="A225" i="19"/>
  <c r="A224" i="19"/>
  <c r="A223" i="19"/>
  <c r="A222" i="19"/>
  <c r="A221" i="19"/>
  <c r="A220" i="19"/>
  <c r="A219" i="19"/>
  <c r="A218" i="19"/>
  <c r="A217" i="19"/>
  <c r="A216" i="19"/>
  <c r="A215" i="19"/>
  <c r="A214" i="19"/>
  <c r="A213" i="19"/>
  <c r="A212" i="19"/>
  <c r="A211" i="19"/>
  <c r="A210" i="19"/>
  <c r="A209" i="19"/>
  <c r="A208" i="19"/>
  <c r="A207" i="19"/>
  <c r="A206" i="19"/>
  <c r="A205" i="19"/>
  <c r="A204" i="19"/>
  <c r="A203" i="19"/>
  <c r="A202" i="19"/>
  <c r="A201" i="19"/>
  <c r="A200" i="19"/>
  <c r="A199" i="19"/>
  <c r="A198" i="19"/>
  <c r="A197" i="19"/>
  <c r="A196" i="19"/>
  <c r="A195" i="19"/>
  <c r="A194" i="19"/>
  <c r="A193" i="19"/>
  <c r="A192" i="19"/>
  <c r="A191" i="19"/>
  <c r="A190" i="19"/>
  <c r="A189" i="19"/>
  <c r="A188" i="19"/>
  <c r="A187" i="19"/>
  <c r="A186" i="19"/>
  <c r="A185" i="19"/>
  <c r="A184" i="19"/>
  <c r="A183" i="19"/>
  <c r="A182" i="19"/>
  <c r="A181" i="19"/>
  <c r="A180" i="19"/>
  <c r="A179" i="19"/>
  <c r="A178" i="19"/>
  <c r="A177" i="19"/>
  <c r="A176" i="19"/>
  <c r="A175" i="19"/>
  <c r="A174" i="19"/>
  <c r="A173" i="19"/>
  <c r="A172" i="19"/>
  <c r="A171" i="19"/>
  <c r="A170" i="19"/>
  <c r="A169" i="19"/>
  <c r="A168" i="19"/>
  <c r="A167" i="19"/>
  <c r="A166" i="19"/>
  <c r="A165" i="19"/>
  <c r="A164" i="19"/>
  <c r="A163" i="19"/>
  <c r="A162" i="19"/>
  <c r="A161" i="19"/>
  <c r="A160" i="19"/>
  <c r="A159" i="19"/>
  <c r="A158" i="19"/>
  <c r="A157" i="19"/>
  <c r="A156" i="19"/>
  <c r="A155" i="19"/>
  <c r="A154" i="19"/>
  <c r="A153" i="19"/>
  <c r="A152" i="19"/>
  <c r="A151" i="19"/>
  <c r="A150" i="19"/>
  <c r="A149" i="19"/>
  <c r="A148" i="19"/>
  <c r="A147" i="19"/>
  <c r="A146" i="19"/>
  <c r="A145" i="19"/>
  <c r="A144" i="19"/>
  <c r="A143" i="19"/>
  <c r="A142" i="19"/>
  <c r="A141" i="19"/>
  <c r="A140" i="19"/>
  <c r="A139" i="19"/>
  <c r="A138" i="19"/>
  <c r="A137" i="19"/>
  <c r="A136" i="19"/>
  <c r="A135" i="19"/>
  <c r="A134" i="19"/>
  <c r="A133" i="19"/>
  <c r="A132" i="19"/>
  <c r="A131" i="19"/>
  <c r="A130" i="19"/>
  <c r="A129" i="19"/>
  <c r="A128" i="19"/>
  <c r="A127" i="19"/>
  <c r="A126" i="19"/>
  <c r="A125" i="19"/>
  <c r="A124" i="19"/>
  <c r="A123" i="19"/>
  <c r="A122" i="19"/>
  <c r="A121" i="19"/>
  <c r="A120" i="19"/>
  <c r="A119" i="19"/>
  <c r="A118" i="19"/>
  <c r="A117" i="19"/>
  <c r="A116" i="19"/>
  <c r="A115" i="19"/>
  <c r="A114" i="19"/>
  <c r="A113" i="19"/>
  <c r="A112" i="19"/>
  <c r="A111" i="19"/>
  <c r="A110" i="19"/>
  <c r="A109" i="19"/>
  <c r="A108" i="19"/>
  <c r="A107" i="19"/>
  <c r="A106" i="19"/>
  <c r="A105" i="19"/>
  <c r="A104" i="19"/>
  <c r="A103" i="19"/>
  <c r="A102" i="19"/>
  <c r="A101" i="19"/>
  <c r="A100" i="19"/>
  <c r="A99" i="19"/>
  <c r="A98" i="19"/>
  <c r="A97" i="19"/>
  <c r="A96" i="19"/>
  <c r="A95" i="19"/>
  <c r="A94" i="19"/>
  <c r="A93" i="19"/>
  <c r="A92" i="19"/>
  <c r="A91" i="19"/>
  <c r="A90" i="19"/>
  <c r="A89" i="19"/>
  <c r="A88" i="19"/>
  <c r="A87" i="19"/>
  <c r="A86" i="19"/>
  <c r="A85" i="19"/>
  <c r="A84" i="19"/>
  <c r="A83" i="19"/>
  <c r="A82" i="19"/>
  <c r="A81" i="19"/>
  <c r="A80" i="19"/>
  <c r="A79" i="19"/>
  <c r="A78" i="19"/>
  <c r="A77" i="19"/>
  <c r="A76" i="19"/>
  <c r="A75" i="19"/>
  <c r="A74" i="19"/>
  <c r="A73" i="19"/>
  <c r="A72" i="19"/>
  <c r="A71" i="19"/>
  <c r="A70" i="19"/>
  <c r="A69" i="19"/>
  <c r="A68" i="19"/>
  <c r="A67" i="19"/>
  <c r="A66" i="19"/>
  <c r="A65" i="19"/>
  <c r="A64" i="19"/>
  <c r="A63" i="19"/>
  <c r="A62" i="19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C38" i="19" s="1"/>
  <c r="S38" i="19" l="1"/>
  <c r="S39" i="19" s="1"/>
  <c r="R39" i="19"/>
  <c r="C39" i="18"/>
  <c r="C40" i="18"/>
  <c r="C41" i="18"/>
  <c r="C42" i="18"/>
  <c r="C43" i="18"/>
  <c r="C44" i="18"/>
  <c r="C45" i="18"/>
  <c r="C46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4" i="18"/>
  <c r="C75" i="18"/>
  <c r="C76" i="18"/>
  <c r="C77" i="18"/>
  <c r="C78" i="18"/>
  <c r="C79" i="18"/>
  <c r="C80" i="18"/>
  <c r="C81" i="18"/>
  <c r="C82" i="18"/>
  <c r="C84" i="18"/>
  <c r="C85" i="18"/>
  <c r="C86" i="18"/>
  <c r="C87" i="18"/>
  <c r="C88" i="18"/>
  <c r="C89" i="18"/>
  <c r="C90" i="18"/>
  <c r="C91" i="18"/>
  <c r="C92" i="18"/>
  <c r="C93" i="18"/>
  <c r="C95" i="18"/>
  <c r="C96" i="18"/>
  <c r="C97" i="18"/>
  <c r="C98" i="18"/>
  <c r="C99" i="18"/>
  <c r="C100" i="18"/>
  <c r="C101" i="18"/>
  <c r="C102" i="18"/>
  <c r="C103" i="18"/>
  <c r="C104" i="18"/>
  <c r="C105" i="18"/>
  <c r="C106" i="18"/>
  <c r="C107" i="18"/>
  <c r="C108" i="18"/>
  <c r="C109" i="18"/>
  <c r="C110" i="18"/>
  <c r="C111" i="18"/>
  <c r="C112" i="18"/>
  <c r="C113" i="18"/>
  <c r="C114" i="18"/>
  <c r="C115" i="18"/>
  <c r="C116" i="18"/>
  <c r="C117" i="18"/>
  <c r="C118" i="18"/>
  <c r="C119" i="18"/>
  <c r="C120" i="18"/>
  <c r="C121" i="18"/>
  <c r="C122" i="18"/>
  <c r="C124" i="18"/>
  <c r="C125" i="18"/>
  <c r="C126" i="18"/>
  <c r="C127" i="18"/>
  <c r="C128" i="18"/>
  <c r="C129" i="18"/>
  <c r="C130" i="18"/>
  <c r="C131" i="18"/>
  <c r="C132" i="18"/>
  <c r="C133" i="18"/>
  <c r="C134" i="18"/>
  <c r="C135" i="18"/>
  <c r="C136" i="18"/>
  <c r="C137" i="18"/>
  <c r="C138" i="18"/>
  <c r="C139" i="18"/>
  <c r="C140" i="18"/>
  <c r="C141" i="18"/>
  <c r="C142" i="18"/>
  <c r="C143" i="18"/>
  <c r="C144" i="18"/>
  <c r="C145" i="18"/>
  <c r="C146" i="18"/>
  <c r="C147" i="18"/>
  <c r="C148" i="18"/>
  <c r="C149" i="18"/>
  <c r="C150" i="18"/>
  <c r="C151" i="18"/>
  <c r="C152" i="18"/>
  <c r="C153" i="18"/>
  <c r="C154" i="18"/>
  <c r="C155" i="18"/>
  <c r="C156" i="18"/>
  <c r="C157" i="18"/>
  <c r="C158" i="18"/>
  <c r="C159" i="18"/>
  <c r="C160" i="18"/>
  <c r="C161" i="18"/>
  <c r="C162" i="18"/>
  <c r="C163" i="18"/>
  <c r="C164" i="18"/>
  <c r="C165" i="18"/>
  <c r="C166" i="18"/>
  <c r="C167" i="18"/>
  <c r="C168" i="18"/>
  <c r="C169" i="18"/>
  <c r="C170" i="18"/>
  <c r="C171" i="18"/>
  <c r="C172" i="18"/>
  <c r="C173" i="18"/>
  <c r="C174" i="18"/>
  <c r="C175" i="18"/>
  <c r="C176" i="18"/>
  <c r="C177" i="18"/>
  <c r="C178" i="18"/>
  <c r="C179" i="18"/>
  <c r="C180" i="18"/>
  <c r="C181" i="18"/>
  <c r="C182" i="18"/>
  <c r="C183" i="18"/>
  <c r="C184" i="18"/>
  <c r="C185" i="18"/>
  <c r="C186" i="18"/>
  <c r="C187" i="18"/>
  <c r="C188" i="18"/>
  <c r="C189" i="18"/>
  <c r="C190" i="18"/>
  <c r="C191" i="18"/>
  <c r="C192" i="18"/>
  <c r="C193" i="18"/>
  <c r="C194" i="18"/>
  <c r="C195" i="18"/>
  <c r="C196" i="18"/>
  <c r="C197" i="18"/>
  <c r="C198" i="18"/>
  <c r="C199" i="18"/>
  <c r="C200" i="18"/>
  <c r="C201" i="18"/>
  <c r="C202" i="18"/>
  <c r="C203" i="18"/>
  <c r="C204" i="18"/>
  <c r="C205" i="18"/>
  <c r="C206" i="18"/>
  <c r="C207" i="18"/>
  <c r="C208" i="18"/>
  <c r="C209" i="18"/>
  <c r="C210" i="18"/>
  <c r="C211" i="18"/>
  <c r="C212" i="18"/>
  <c r="C213" i="18"/>
  <c r="C214" i="18"/>
  <c r="C215" i="18"/>
  <c r="C216" i="18"/>
  <c r="C217" i="18"/>
  <c r="C218" i="18"/>
  <c r="C219" i="18"/>
  <c r="C220" i="18"/>
  <c r="C221" i="18"/>
  <c r="C222" i="18"/>
  <c r="C223" i="18"/>
  <c r="C224" i="18"/>
  <c r="C225" i="18"/>
  <c r="C226" i="18"/>
  <c r="C227" i="18"/>
  <c r="C228" i="18"/>
  <c r="C229" i="18"/>
  <c r="C230" i="18"/>
  <c r="C231" i="18"/>
  <c r="C232" i="18"/>
  <c r="C233" i="18"/>
  <c r="C234" i="18"/>
  <c r="C235" i="18"/>
  <c r="C236" i="18"/>
  <c r="C237" i="18"/>
  <c r="C238" i="18"/>
  <c r="C239" i="18"/>
  <c r="C240" i="18"/>
  <c r="C241" i="18"/>
  <c r="C242" i="18"/>
  <c r="C243" i="18"/>
  <c r="C244" i="18"/>
  <c r="C245" i="18"/>
  <c r="C246" i="18"/>
  <c r="C247" i="18"/>
  <c r="C248" i="18"/>
  <c r="C249" i="18"/>
  <c r="C250" i="18"/>
  <c r="C251" i="18"/>
  <c r="C252" i="18"/>
  <c r="C253" i="18"/>
  <c r="C254" i="18"/>
  <c r="C255" i="18"/>
  <c r="C256" i="18"/>
  <c r="C257" i="18"/>
  <c r="C258" i="18"/>
  <c r="C259" i="18"/>
  <c r="C260" i="18"/>
  <c r="C261" i="18"/>
  <c r="C262" i="18"/>
  <c r="C263" i="18"/>
  <c r="C264" i="18"/>
  <c r="C265" i="18"/>
  <c r="C266" i="18"/>
  <c r="C267" i="18"/>
  <c r="C268" i="18"/>
  <c r="C269" i="18"/>
  <c r="C270" i="18"/>
  <c r="C271" i="18"/>
  <c r="C272" i="18"/>
  <c r="C273" i="18"/>
  <c r="C274" i="18"/>
  <c r="C275" i="18"/>
  <c r="C276" i="18"/>
  <c r="C277" i="18"/>
  <c r="C278" i="18"/>
  <c r="C279" i="18"/>
  <c r="C280" i="18"/>
  <c r="C281" i="18"/>
  <c r="C282" i="18"/>
  <c r="C283" i="18"/>
  <c r="C284" i="18"/>
  <c r="C285" i="18"/>
  <c r="C286" i="18"/>
  <c r="C287" i="18"/>
  <c r="C288" i="18"/>
  <c r="C289" i="18"/>
  <c r="C291" i="18"/>
  <c r="C292" i="18"/>
  <c r="C293" i="18"/>
  <c r="C294" i="18"/>
  <c r="A294" i="18"/>
  <c r="A293" i="18"/>
  <c r="A292" i="18"/>
  <c r="A291" i="18"/>
  <c r="A290" i="18"/>
  <c r="A289" i="18"/>
  <c r="A288" i="18"/>
  <c r="A287" i="18"/>
  <c r="A286" i="18"/>
  <c r="A285" i="18"/>
  <c r="A284" i="18"/>
  <c r="A283" i="18"/>
  <c r="A282" i="18"/>
  <c r="A281" i="18"/>
  <c r="A280" i="18"/>
  <c r="A279" i="18"/>
  <c r="A278" i="18"/>
  <c r="A277" i="18"/>
  <c r="A276" i="18"/>
  <c r="A275" i="18"/>
  <c r="A274" i="18"/>
  <c r="A273" i="18"/>
  <c r="A272" i="18"/>
  <c r="A271" i="18"/>
  <c r="A270" i="18"/>
  <c r="A269" i="18"/>
  <c r="A268" i="18"/>
  <c r="A267" i="18"/>
  <c r="A266" i="18"/>
  <c r="A265" i="18"/>
  <c r="A264" i="18"/>
  <c r="A263" i="18"/>
  <c r="A262" i="18"/>
  <c r="A261" i="18"/>
  <c r="A260" i="18"/>
  <c r="A259" i="18"/>
  <c r="A258" i="18"/>
  <c r="A257" i="18"/>
  <c r="A256" i="18"/>
  <c r="A255" i="18"/>
  <c r="A254" i="18"/>
  <c r="A253" i="18"/>
  <c r="A252" i="18"/>
  <c r="A251" i="18"/>
  <c r="A250" i="18"/>
  <c r="A249" i="18"/>
  <c r="A248" i="18"/>
  <c r="A247" i="18"/>
  <c r="A246" i="18"/>
  <c r="A245" i="18"/>
  <c r="A244" i="18"/>
  <c r="A243" i="18"/>
  <c r="A242" i="18"/>
  <c r="A241" i="18"/>
  <c r="A240" i="18"/>
  <c r="A239" i="18"/>
  <c r="A238" i="18"/>
  <c r="A237" i="18"/>
  <c r="A236" i="18"/>
  <c r="A235" i="18"/>
  <c r="A234" i="18"/>
  <c r="A233" i="18"/>
  <c r="A232" i="18"/>
  <c r="A231" i="18"/>
  <c r="A230" i="18"/>
  <c r="A229" i="18"/>
  <c r="A228" i="18"/>
  <c r="A227" i="18"/>
  <c r="A226" i="18"/>
  <c r="A225" i="18"/>
  <c r="A224" i="18"/>
  <c r="A223" i="18"/>
  <c r="A222" i="18"/>
  <c r="A221" i="18"/>
  <c r="A220" i="18"/>
  <c r="A219" i="18"/>
  <c r="A218" i="18"/>
  <c r="A217" i="18"/>
  <c r="A216" i="18"/>
  <c r="A215" i="18"/>
  <c r="A214" i="18"/>
  <c r="A213" i="18"/>
  <c r="A212" i="18"/>
  <c r="A211" i="18"/>
  <c r="A210" i="18"/>
  <c r="A209" i="18"/>
  <c r="A208" i="18"/>
  <c r="A207" i="18"/>
  <c r="A206" i="18"/>
  <c r="A205" i="18"/>
  <c r="A204" i="18"/>
  <c r="A203" i="18"/>
  <c r="A202" i="18"/>
  <c r="A201" i="18"/>
  <c r="A200" i="18"/>
  <c r="A199" i="18"/>
  <c r="A198" i="18"/>
  <c r="A197" i="18"/>
  <c r="A196" i="18"/>
  <c r="A195" i="18"/>
  <c r="A194" i="18"/>
  <c r="A193" i="18"/>
  <c r="A192" i="18"/>
  <c r="A191" i="18"/>
  <c r="A190" i="18"/>
  <c r="A189" i="18"/>
  <c r="A188" i="18"/>
  <c r="A187" i="18"/>
  <c r="A186" i="18"/>
  <c r="A185" i="18"/>
  <c r="A184" i="18"/>
  <c r="A183" i="18"/>
  <c r="A182" i="18"/>
  <c r="A181" i="18"/>
  <c r="A180" i="18"/>
  <c r="A179" i="18"/>
  <c r="A178" i="18"/>
  <c r="A177" i="18"/>
  <c r="A176" i="18"/>
  <c r="A175" i="18"/>
  <c r="A174" i="18"/>
  <c r="A173" i="18"/>
  <c r="A172" i="18"/>
  <c r="A171" i="18"/>
  <c r="A170" i="18"/>
  <c r="A169" i="18"/>
  <c r="A168" i="18"/>
  <c r="A167" i="18"/>
  <c r="A166" i="18"/>
  <c r="A165" i="18"/>
  <c r="A164" i="18"/>
  <c r="A163" i="18"/>
  <c r="A162" i="18"/>
  <c r="A161" i="18"/>
  <c r="A160" i="18"/>
  <c r="A159" i="18"/>
  <c r="A158" i="18"/>
  <c r="A157" i="18"/>
  <c r="A156" i="18"/>
  <c r="A155" i="18"/>
  <c r="A154" i="18"/>
  <c r="A153" i="18"/>
  <c r="A152" i="18"/>
  <c r="A151" i="18"/>
  <c r="A150" i="18"/>
  <c r="A149" i="18"/>
  <c r="A148" i="18"/>
  <c r="A147" i="18"/>
  <c r="A146" i="18"/>
  <c r="A145" i="18"/>
  <c r="A144" i="18"/>
  <c r="A143" i="18"/>
  <c r="A142" i="18"/>
  <c r="A141" i="18"/>
  <c r="A140" i="18"/>
  <c r="A139" i="18"/>
  <c r="A138" i="18"/>
  <c r="A137" i="18"/>
  <c r="A136" i="18"/>
  <c r="A135" i="18"/>
  <c r="A134" i="18"/>
  <c r="A133" i="18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C73" i="18" s="1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C38" i="18" s="1"/>
  <c r="T39" i="19" l="1"/>
  <c r="S38" i="18"/>
  <c r="S39" i="18" s="1"/>
  <c r="R38" i="18"/>
  <c r="R39" i="18" s="1"/>
  <c r="T39" i="18" l="1"/>
  <c r="H219" i="3"/>
  <c r="N34" i="3"/>
  <c r="C34" i="3"/>
  <c r="N33" i="3"/>
  <c r="C33" i="3"/>
  <c r="M32" i="3"/>
  <c r="C32" i="3"/>
  <c r="M31" i="3"/>
  <c r="C31" i="3"/>
  <c r="M30" i="3"/>
  <c r="C30" i="3"/>
  <c r="K29" i="3"/>
  <c r="C29" i="3"/>
  <c r="K28" i="3"/>
  <c r="C28" i="3"/>
  <c r="K27" i="3"/>
  <c r="C27" i="3"/>
  <c r="K26" i="3"/>
  <c r="C26" i="3"/>
  <c r="K25" i="3"/>
  <c r="C25" i="3"/>
  <c r="L24" i="3"/>
  <c r="C24" i="3"/>
  <c r="L23" i="3"/>
  <c r="C23" i="3"/>
  <c r="L22" i="3"/>
  <c r="C22" i="3"/>
  <c r="I21" i="3"/>
  <c r="C21" i="3"/>
  <c r="I20" i="3"/>
  <c r="C20" i="3"/>
  <c r="I19" i="3"/>
  <c r="C19" i="3"/>
  <c r="I18" i="3"/>
  <c r="C18" i="3"/>
  <c r="I17" i="3"/>
  <c r="C17" i="3"/>
  <c r="H16" i="3"/>
  <c r="C16" i="3"/>
  <c r="H15" i="3"/>
  <c r="C15" i="3"/>
  <c r="H14" i="3"/>
  <c r="C14" i="3"/>
  <c r="H13" i="3"/>
  <c r="C13" i="3"/>
  <c r="H12" i="3"/>
  <c r="C12" i="3"/>
  <c r="J11" i="3"/>
  <c r="D11" i="3"/>
  <c r="C11" i="3"/>
  <c r="J10" i="3"/>
  <c r="D10" i="3"/>
  <c r="C10" i="3"/>
  <c r="J9" i="3"/>
  <c r="D9" i="3"/>
  <c r="C9" i="3"/>
  <c r="J8" i="3"/>
  <c r="D8" i="3"/>
  <c r="C8" i="3"/>
  <c r="G7" i="3"/>
  <c r="D7" i="3"/>
  <c r="C7" i="3"/>
  <c r="G6" i="3"/>
  <c r="D6" i="3"/>
  <c r="C6" i="3"/>
  <c r="G5" i="3"/>
  <c r="D5" i="3"/>
  <c r="C5" i="3"/>
  <c r="G4" i="3"/>
  <c r="D4" i="3"/>
  <c r="C4" i="3"/>
  <c r="G3" i="3"/>
  <c r="D3" i="3"/>
  <c r="C3" i="3"/>
</calcChain>
</file>

<file path=xl/sharedStrings.xml><?xml version="1.0" encoding="utf-8"?>
<sst xmlns="http://schemas.openxmlformats.org/spreadsheetml/2006/main" count="682" uniqueCount="78">
  <si>
    <t>testing</t>
    <phoneticPr fontId="1" type="noConversion"/>
  </si>
  <si>
    <t>lower zone D</t>
    <phoneticPr fontId="1" type="noConversion"/>
  </si>
  <si>
    <t>lower zone E</t>
    <phoneticPr fontId="1" type="noConversion"/>
  </si>
  <si>
    <t>YSI</t>
    <phoneticPr fontId="1" type="noConversion"/>
  </si>
  <si>
    <t>x-axis</t>
    <phoneticPr fontId="1" type="noConversion"/>
  </si>
  <si>
    <t>y-axis</t>
    <phoneticPr fontId="1" type="noConversion"/>
  </si>
  <si>
    <t>reference</t>
    <phoneticPr fontId="1" type="noConversion"/>
  </si>
  <si>
    <t>upper zone A</t>
    <phoneticPr fontId="1" type="noConversion"/>
  </si>
  <si>
    <t>lower zone A</t>
    <phoneticPr fontId="1" type="noConversion"/>
  </si>
  <si>
    <t>testing</t>
    <phoneticPr fontId="1" type="noConversion"/>
  </si>
  <si>
    <t>upper zone B</t>
    <phoneticPr fontId="1" type="noConversion"/>
  </si>
  <si>
    <t>lower zone B</t>
    <phoneticPr fontId="1" type="noConversion"/>
  </si>
  <si>
    <t>upper zone C</t>
    <phoneticPr fontId="1" type="noConversion"/>
  </si>
  <si>
    <t>lower zone C</t>
    <phoneticPr fontId="1" type="noConversion"/>
  </si>
  <si>
    <t>upper zone D</t>
    <phoneticPr fontId="1" type="noConversion"/>
  </si>
  <si>
    <t>lower zone D</t>
    <phoneticPr fontId="1" type="noConversion"/>
  </si>
  <si>
    <t>upper zone E</t>
    <phoneticPr fontId="1" type="noConversion"/>
  </si>
  <si>
    <t>lower zone E</t>
    <phoneticPr fontId="1" type="noConversion"/>
  </si>
  <si>
    <t>YSI</t>
    <phoneticPr fontId="1" type="noConversion"/>
  </si>
  <si>
    <t>x-axis</t>
    <phoneticPr fontId="1" type="noConversion"/>
  </si>
  <si>
    <t>y-axis</t>
    <phoneticPr fontId="1" type="noConversion"/>
  </si>
  <si>
    <t>reference</t>
    <phoneticPr fontId="1" type="noConversion"/>
  </si>
  <si>
    <t>upper zone A</t>
    <phoneticPr fontId="1" type="noConversion"/>
  </si>
  <si>
    <t>lower zone A</t>
    <phoneticPr fontId="1" type="noConversion"/>
  </si>
  <si>
    <t>testing</t>
    <phoneticPr fontId="1" type="noConversion"/>
  </si>
  <si>
    <t>upper zone B</t>
    <phoneticPr fontId="1" type="noConversion"/>
  </si>
  <si>
    <t>lower zone B</t>
    <phoneticPr fontId="1" type="noConversion"/>
  </si>
  <si>
    <t>upper zone C</t>
    <phoneticPr fontId="1" type="noConversion"/>
  </si>
  <si>
    <t>lower zone C</t>
    <phoneticPr fontId="1" type="noConversion"/>
  </si>
  <si>
    <t>upper zone D</t>
    <phoneticPr fontId="1" type="noConversion"/>
  </si>
  <si>
    <t>upper zone E</t>
    <phoneticPr fontId="1" type="noConversion"/>
  </si>
  <si>
    <t>ZoneB</t>
    <phoneticPr fontId="1" type="noConversion"/>
  </si>
  <si>
    <t>Glucose solution</t>
    <phoneticPr fontId="1" type="noConversion"/>
  </si>
  <si>
    <t>plasma</t>
    <phoneticPr fontId="1" type="noConversion"/>
  </si>
  <si>
    <t>(2)</t>
    <phoneticPr fontId="1" type="noConversion"/>
  </si>
  <si>
    <t>(3)</t>
    <phoneticPr fontId="1" type="noConversion"/>
  </si>
  <si>
    <t>RW</t>
  </si>
  <si>
    <t>RW</t>
    <phoneticPr fontId="1" type="noConversion"/>
  </si>
  <si>
    <t>(2)</t>
    <phoneticPr fontId="1" type="noConversion"/>
  </si>
  <si>
    <t>(3)</t>
    <phoneticPr fontId="1" type="noConversion"/>
  </si>
  <si>
    <t>(4)</t>
    <phoneticPr fontId="1" type="noConversion"/>
  </si>
  <si>
    <t>(5)</t>
    <phoneticPr fontId="1" type="noConversion"/>
  </si>
  <si>
    <t>(1)</t>
    <phoneticPr fontId="1" type="noConversion"/>
  </si>
  <si>
    <t>Ryan</t>
  </si>
  <si>
    <t>Silver</t>
  </si>
  <si>
    <t>Tester B</t>
  </si>
  <si>
    <t>Roger</t>
  </si>
  <si>
    <t>Tester A</t>
  </si>
  <si>
    <t>Redick</t>
  </si>
  <si>
    <t>Nick</t>
  </si>
  <si>
    <t>Alex</t>
  </si>
  <si>
    <t>Gary</t>
  </si>
  <si>
    <t>Tester E</t>
  </si>
  <si>
    <t>Tester D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</si>
  <si>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</si>
  <si>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</si>
  <si>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</si>
  <si>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</si>
  <si>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</si>
  <si>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</si>
  <si>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</si>
  <si>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</si>
  <si>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</si>
  <si>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Center</t>
    <phoneticPr fontId="1" type="noConversion"/>
  </si>
  <si>
    <t>A</t>
    <phoneticPr fontId="1" type="noConversion"/>
  </si>
  <si>
    <t>B</t>
    <phoneticPr fontId="1" type="noConversion"/>
  </si>
  <si>
    <t>total</t>
    <phoneticPr fontId="1" type="noConversion"/>
  </si>
  <si>
    <t>Count</t>
    <phoneticPr fontId="1" type="noConversion"/>
  </si>
  <si>
    <t>Percentage</t>
    <phoneticPr fontId="1" type="noConversion"/>
  </si>
  <si>
    <t>C</t>
    <phoneticPr fontId="1" type="noConversion"/>
  </si>
  <si>
    <t>C</t>
    <phoneticPr fontId="1" type="noConversion"/>
  </si>
  <si>
    <t>Tester M</t>
  </si>
  <si>
    <t>Nien</t>
  </si>
  <si>
    <t>Helen</t>
  </si>
  <si>
    <t>Monica</t>
  </si>
  <si>
    <t>Elky</t>
  </si>
  <si>
    <t>Moby</t>
  </si>
  <si>
    <t>Ethan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</si>
</sst>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.0%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0"/>
      <name val="Arial Unicode MS"/>
      <family val="2"/>
      <charset val="136"/>
    </font>
    <font>
      <sz val="12"/>
      <name val="Arial Unicode MS"/>
      <family val="2"/>
      <charset val="136"/>
    </font>
    <font>
      <sz val="12"/>
      <color theme="4" tint="-0.249977111117893"/>
      <name val="Arial Unicode MS"/>
      <family val="2"/>
      <charset val="136"/>
    </font>
    <font>
      <sz val="12"/>
      <color rgb="FFFF0000"/>
      <name val="Arial Unicode MS"/>
      <family val="2"/>
      <charset val="136"/>
    </font>
    <font>
      <sz val="12"/>
      <color theme="1"/>
      <name val="新細明體"/>
      <family val="3"/>
      <charset val="136"/>
      <scheme val="minor"/>
    </font>
    <font>
      <sz val="12"/>
      <color theme="1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/>
    </xf>
    <xf numFmtId="176" fontId="0" fillId="0" borderId="1" xfId="1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177" fontId="0" fillId="0" borderId="9" xfId="1" applyNumberFormat="1" applyFont="1" applyBorder="1" applyAlignment="1">
      <alignment horizontal="center"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103-4146-9706-8D5423975E04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F103-4146-9706-8D5423975E04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F103-4146-9706-8D5423975E04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103-4146-9706-8D5423975E04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F103-4146-9706-8D5423975E04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F103-4146-9706-8D5423975E04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F103-4146-9706-8D5423975E04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F103-4146-9706-8D5423975E04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103-4146-9706-8D5423975E04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F103-4146-9706-8D5423975E04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F103-4146-9706-8D5423975E04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F103-4146-9706-8D5423975E04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F103-4146-9706-8D5423975E04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F103-4146-9706-8D5423975E04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F103-4146-9706-8D5423975E04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F103-4146-9706-8D5423975E04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103-4146-9706-8D5423975E04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F103-4146-9706-8D5423975E04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F103-4146-9706-8D5423975E04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F103-4146-9706-8D5423975E04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F103-4146-9706-8D5423975E04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F103-4146-9706-8D5423975E04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F103-4146-9706-8D5423975E04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103-4146-9706-8D5423975E04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F103-4146-9706-8D5423975E04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F103-4146-9706-8D5423975E04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103-4146-9706-8D5423975E04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103-4146-9706-8D5423975E04}"/>
            </c:ext>
          </c:extLst>
        </c:ser>
        <c:ser>
          <c:idx val="6"/>
          <c:order val="5"/>
          <c:tx>
            <c:strRef>
              <c:f>'tester C'!$D$37</c:f>
              <c:strCache>
                <c:ptCount val="1"/>
                <c:pt idx="0">
                  <c:v>940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rgbClr val="00B0F0"/>
              </a:solidFill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C'!$D$38:$D$126</c:f>
              <c:numCache>
                <c:formatCode>0</c:formatCode>
                <c:ptCount val="89"/>
                <c:pt idx="0">
                  <c:v>97.542586447888254</c:v>
                </c:pt>
                <c:pt idx="1">
                  <c:v>80.216154219028553</c:v>
                </c:pt>
                <c:pt idx="2">
                  <c:v>101.03360470245325</c:v>
                </c:pt>
                <c:pt idx="3">
                  <c:v>128.19218932468868</c:v>
                </c:pt>
                <c:pt idx="4">
                  <c:v>294.53088370790732</c:v>
                </c:pt>
                <c:pt idx="5">
                  <c:v>243.39230700401467</c:v>
                </c:pt>
                <c:pt idx="6">
                  <c:v>323.60259368330111</c:v>
                </c:pt>
                <c:pt idx="7">
                  <c:v>120.06624451983592</c:v>
                </c:pt>
                <c:pt idx="8">
                  <c:v>172.48670090030546</c:v>
                </c:pt>
                <c:pt idx="9">
                  <c:v>254.52432416268061</c:v>
                </c:pt>
                <c:pt idx="10">
                  <c:v>278.79584430214737</c:v>
                </c:pt>
                <c:pt idx="11">
                  <c:v>131.61656702574894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103-4146-9706-8D5423975E04}"/>
            </c:ext>
          </c:extLst>
        </c:ser>
        <c:ser>
          <c:idx val="7"/>
          <c:order val="6"/>
          <c:tx>
            <c:strRef>
              <c:f>'tester C'!$E$37</c:f>
              <c:strCache>
                <c:ptCount val="1"/>
                <c:pt idx="0">
                  <c:v>970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C'!$E$38:$E$126</c:f>
              <c:numCache>
                <c:formatCode>0</c:formatCode>
                <c:ptCount val="89"/>
                <c:pt idx="0">
                  <c:v>146.70110524616558</c:v>
                </c:pt>
                <c:pt idx="1">
                  <c:v>139.4385631113976</c:v>
                </c:pt>
                <c:pt idx="2">
                  <c:v>156.34908625410122</c:v>
                </c:pt>
                <c:pt idx="3">
                  <c:v>175.81002746920865</c:v>
                </c:pt>
                <c:pt idx="4">
                  <c:v>238.46230284929933</c:v>
                </c:pt>
                <c:pt idx="5">
                  <c:v>254.29530314583786</c:v>
                </c:pt>
                <c:pt idx="6">
                  <c:v>309.68618678276022</c:v>
                </c:pt>
                <c:pt idx="7">
                  <c:v>145.35481708956473</c:v>
                </c:pt>
                <c:pt idx="8">
                  <c:v>201.02049400645421</c:v>
                </c:pt>
                <c:pt idx="9">
                  <c:v>91.35400070672685</c:v>
                </c:pt>
                <c:pt idx="10">
                  <c:v>208.9394286461532</c:v>
                </c:pt>
                <c:pt idx="11">
                  <c:v>158.58868469233022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103-4146-9706-8D5423975E04}"/>
            </c:ext>
          </c:extLst>
        </c:ser>
        <c:ser>
          <c:idx val="8"/>
          <c:order val="7"/>
          <c:tx>
            <c:strRef>
              <c:f>'tester C'!$F$37</c:f>
              <c:strCache>
                <c:ptCount val="1"/>
                <c:pt idx="0">
                  <c:v>1200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C'!$F$38:$F$126</c:f>
              <c:numCache>
                <c:formatCode>0</c:formatCode>
                <c:ptCount val="89"/>
                <c:pt idx="0">
                  <c:v>136.7205246595058</c:v>
                </c:pt>
                <c:pt idx="1">
                  <c:v>126.51375415024908</c:v>
                </c:pt>
                <c:pt idx="2">
                  <c:v>165.03237410164971</c:v>
                </c:pt>
                <c:pt idx="3">
                  <c:v>171.6993622389711</c:v>
                </c:pt>
                <c:pt idx="4">
                  <c:v>207.58170071634368</c:v>
                </c:pt>
                <c:pt idx="5">
                  <c:v>206.46361799220816</c:v>
                </c:pt>
                <c:pt idx="6">
                  <c:v>272.64855920714461</c:v>
                </c:pt>
                <c:pt idx="7">
                  <c:v>170.01794480548577</c:v>
                </c:pt>
                <c:pt idx="8">
                  <c:v>253.80226791349517</c:v>
                </c:pt>
                <c:pt idx="9">
                  <c:v>34.951711311823644</c:v>
                </c:pt>
                <c:pt idx="10">
                  <c:v>276.86477435937587</c:v>
                </c:pt>
                <c:pt idx="11">
                  <c:v>172.30448095169911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103-4146-9706-8D5423975E04}"/>
            </c:ext>
          </c:extLst>
        </c:ser>
        <c:ser>
          <c:idx val="9"/>
          <c:order val="8"/>
          <c:tx>
            <c:strRef>
              <c:f>'tester C'!$G$37</c:f>
              <c:strCache>
                <c:ptCount val="1"/>
                <c:pt idx="0">
                  <c:v>1300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C'!$G$38:$G$63</c:f>
              <c:numCache>
                <c:formatCode>0</c:formatCode>
                <c:ptCount val="26"/>
                <c:pt idx="0">
                  <c:v>188.16364883389284</c:v>
                </c:pt>
                <c:pt idx="1">
                  <c:v>77.261502506903867</c:v>
                </c:pt>
                <c:pt idx="2">
                  <c:v>113.32341464615784</c:v>
                </c:pt>
                <c:pt idx="3">
                  <c:v>129.75137071600807</c:v>
                </c:pt>
                <c:pt idx="4">
                  <c:v>179.57189012189639</c:v>
                </c:pt>
                <c:pt idx="5">
                  <c:v>377.16890617229751</c:v>
                </c:pt>
                <c:pt idx="6">
                  <c:v>377.16890617229751</c:v>
                </c:pt>
                <c:pt idx="7">
                  <c:v>209.83190308659121</c:v>
                </c:pt>
                <c:pt idx="8">
                  <c:v>189.02210283087845</c:v>
                </c:pt>
                <c:pt idx="9">
                  <c:v>28.55429716967889</c:v>
                </c:pt>
                <c:pt idx="10">
                  <c:v>188.01483366301554</c:v>
                </c:pt>
                <c:pt idx="11">
                  <c:v>168.16722408038203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103-4146-9706-8D5423975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txPr>
        <a:bodyPr/>
        <a:lstStyle/>
        <a:p>
          <a:pPr>
            <a:defRPr sz="1600" b="1">
              <a:latin typeface="Arial" panose="020B0604020202020204" pitchFamily="34" charset="0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661-48D3-A111-11615B3CA978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7661-48D3-A111-11615B3CA978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7661-48D3-A111-11615B3CA978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661-48D3-A111-11615B3CA97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7661-48D3-A111-11615B3CA97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7661-48D3-A111-11615B3CA978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7661-48D3-A111-11615B3CA978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7661-48D3-A111-11615B3CA978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661-48D3-A111-11615B3CA978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7661-48D3-A111-11615B3CA97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7661-48D3-A111-11615B3CA978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7661-48D3-A111-11615B3CA978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7661-48D3-A111-11615B3CA97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7661-48D3-A111-11615B3CA97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7661-48D3-A111-11615B3CA978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7661-48D3-A111-11615B3CA978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661-48D3-A111-11615B3CA978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7661-48D3-A111-11615B3CA97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7661-48D3-A111-11615B3CA978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7661-48D3-A111-11615B3CA978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7661-48D3-A111-11615B3CA97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7661-48D3-A111-11615B3CA97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7661-48D3-A111-11615B3CA978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7661-48D3-A111-11615B3CA978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7661-48D3-A111-11615B3CA97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7661-48D3-A111-11615B3CA978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7661-48D3-A111-11615B3CA978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7661-48D3-A111-11615B3CA978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7661-48D3-A111-11615B3CA978}"/>
            </c:ext>
          </c:extLst>
        </c:ser>
        <c:ser>
          <c:idx val="6"/>
          <c:order val="6"/>
          <c:tx>
            <c:strRef>
              <c:f>'tester C'!$D$37</c:f>
              <c:strCache>
                <c:ptCount val="1"/>
                <c:pt idx="0">
                  <c:v>940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C'!$D$38:$D$126</c:f>
              <c:numCache>
                <c:formatCode>0</c:formatCode>
                <c:ptCount val="89"/>
                <c:pt idx="0">
                  <c:v>97.542586447888254</c:v>
                </c:pt>
                <c:pt idx="1">
                  <c:v>80.216154219028553</c:v>
                </c:pt>
                <c:pt idx="2">
                  <c:v>101.03360470245325</c:v>
                </c:pt>
                <c:pt idx="3">
                  <c:v>128.19218932468868</c:v>
                </c:pt>
                <c:pt idx="4">
                  <c:v>294.53088370790732</c:v>
                </c:pt>
                <c:pt idx="5">
                  <c:v>243.39230700401467</c:v>
                </c:pt>
                <c:pt idx="6">
                  <c:v>323.60259368330111</c:v>
                </c:pt>
                <c:pt idx="7">
                  <c:v>120.06624451983592</c:v>
                </c:pt>
                <c:pt idx="8">
                  <c:v>172.48670090030546</c:v>
                </c:pt>
                <c:pt idx="9">
                  <c:v>254.52432416268061</c:v>
                </c:pt>
                <c:pt idx="10">
                  <c:v>278.79584430214737</c:v>
                </c:pt>
                <c:pt idx="11">
                  <c:v>131.61656702574894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7661-48D3-A111-11615B3CA978}"/>
            </c:ext>
          </c:extLst>
        </c:ser>
        <c:ser>
          <c:idx val="7"/>
          <c:order val="7"/>
          <c:tx>
            <c:strRef>
              <c:f>'tester C'!$E$37</c:f>
              <c:strCache>
                <c:ptCount val="1"/>
                <c:pt idx="0">
                  <c:v>970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C'!$E$38:$E$126</c:f>
              <c:numCache>
                <c:formatCode>0</c:formatCode>
                <c:ptCount val="89"/>
                <c:pt idx="0">
                  <c:v>146.70110524616558</c:v>
                </c:pt>
                <c:pt idx="1">
                  <c:v>139.4385631113976</c:v>
                </c:pt>
                <c:pt idx="2">
                  <c:v>156.34908625410122</c:v>
                </c:pt>
                <c:pt idx="3">
                  <c:v>175.81002746920865</c:v>
                </c:pt>
                <c:pt idx="4">
                  <c:v>238.46230284929933</c:v>
                </c:pt>
                <c:pt idx="5">
                  <c:v>254.29530314583786</c:v>
                </c:pt>
                <c:pt idx="6">
                  <c:v>309.68618678276022</c:v>
                </c:pt>
                <c:pt idx="7">
                  <c:v>145.35481708956473</c:v>
                </c:pt>
                <c:pt idx="8">
                  <c:v>201.02049400645421</c:v>
                </c:pt>
                <c:pt idx="9">
                  <c:v>91.35400070672685</c:v>
                </c:pt>
                <c:pt idx="10">
                  <c:v>208.9394286461532</c:v>
                </c:pt>
                <c:pt idx="11">
                  <c:v>158.58868469233022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7661-48D3-A111-11615B3CA978}"/>
            </c:ext>
          </c:extLst>
        </c:ser>
        <c:ser>
          <c:idx val="8"/>
          <c:order val="8"/>
          <c:tx>
            <c:strRef>
              <c:f>'tester C'!$F$37</c:f>
              <c:strCache>
                <c:ptCount val="1"/>
                <c:pt idx="0">
                  <c:v>1200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C'!$F$38:$F$126</c:f>
              <c:numCache>
                <c:formatCode>0</c:formatCode>
                <c:ptCount val="89"/>
                <c:pt idx="0">
                  <c:v>136.7205246595058</c:v>
                </c:pt>
                <c:pt idx="1">
                  <c:v>126.51375415024908</c:v>
                </c:pt>
                <c:pt idx="2">
                  <c:v>165.03237410164971</c:v>
                </c:pt>
                <c:pt idx="3">
                  <c:v>171.6993622389711</c:v>
                </c:pt>
                <c:pt idx="4">
                  <c:v>207.58170071634368</c:v>
                </c:pt>
                <c:pt idx="5">
                  <c:v>206.46361799220816</c:v>
                </c:pt>
                <c:pt idx="6">
                  <c:v>272.64855920714461</c:v>
                </c:pt>
                <c:pt idx="7">
                  <c:v>170.01794480548577</c:v>
                </c:pt>
                <c:pt idx="8">
                  <c:v>253.80226791349517</c:v>
                </c:pt>
                <c:pt idx="9">
                  <c:v>34.951711311823644</c:v>
                </c:pt>
                <c:pt idx="10">
                  <c:v>276.86477435937587</c:v>
                </c:pt>
                <c:pt idx="11">
                  <c:v>172.30448095169911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7661-48D3-A111-11615B3CA978}"/>
            </c:ext>
          </c:extLst>
        </c:ser>
        <c:ser>
          <c:idx val="9"/>
          <c:order val="9"/>
          <c:tx>
            <c:strRef>
              <c:f>'tester C'!$G$37</c:f>
              <c:strCache>
                <c:ptCount val="1"/>
                <c:pt idx="0">
                  <c:v>1300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C'!$G$38:$G$63</c:f>
              <c:numCache>
                <c:formatCode>0</c:formatCode>
                <c:ptCount val="26"/>
                <c:pt idx="0">
                  <c:v>188.16364883389284</c:v>
                </c:pt>
                <c:pt idx="1">
                  <c:v>77.261502506903867</c:v>
                </c:pt>
                <c:pt idx="2">
                  <c:v>113.32341464615784</c:v>
                </c:pt>
                <c:pt idx="3">
                  <c:v>129.75137071600807</c:v>
                </c:pt>
                <c:pt idx="4">
                  <c:v>179.57189012189639</c:v>
                </c:pt>
                <c:pt idx="5">
                  <c:v>377.16890617229751</c:v>
                </c:pt>
                <c:pt idx="6">
                  <c:v>377.16890617229751</c:v>
                </c:pt>
                <c:pt idx="7">
                  <c:v>209.83190308659121</c:v>
                </c:pt>
                <c:pt idx="8">
                  <c:v>189.02210283087845</c:v>
                </c:pt>
                <c:pt idx="9">
                  <c:v>28.55429716967889</c:v>
                </c:pt>
                <c:pt idx="10">
                  <c:v>188.01483366301554</c:v>
                </c:pt>
                <c:pt idx="11">
                  <c:v>168.16722408038203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7661-48D3-A111-11615B3CA978}"/>
            </c:ext>
          </c:extLst>
        </c:ser>
        <c:ser>
          <c:idx val="10"/>
          <c:order val="10"/>
          <c:tx>
            <c:strRef>
              <c:f>'tester C'!$H$37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C'!$H$38:$H$63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7661-48D3-A111-11615B3CA978}"/>
            </c:ext>
          </c:extLst>
        </c:ser>
        <c:ser>
          <c:idx val="11"/>
          <c:order val="11"/>
          <c:tx>
            <c:strRef>
              <c:f>'tester C'!$I$37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C'!$I$38:$I$63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7661-48D3-A111-11615B3CA978}"/>
            </c:ext>
          </c:extLst>
        </c:ser>
        <c:ser>
          <c:idx val="12"/>
          <c:order val="12"/>
          <c:tx>
            <c:strRef>
              <c:f>'tester C'!$J$37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C'!$J$38:$J$63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7661-48D3-A111-11615B3CA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2EE-4A38-9355-B159D92ABA4B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2EE-4A38-9355-B159D92ABA4B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52EE-4A38-9355-B159D92ABA4B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2EE-4A38-9355-B159D92ABA4B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52EE-4A38-9355-B159D92ABA4B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52EE-4A38-9355-B159D92ABA4B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52EE-4A38-9355-B159D92ABA4B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52EE-4A38-9355-B159D92ABA4B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2EE-4A38-9355-B159D92ABA4B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52EE-4A38-9355-B159D92ABA4B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52EE-4A38-9355-B159D92ABA4B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52EE-4A38-9355-B159D92ABA4B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52EE-4A38-9355-B159D92ABA4B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52EE-4A38-9355-B159D92ABA4B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52EE-4A38-9355-B159D92ABA4B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52EE-4A38-9355-B159D92ABA4B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52EE-4A38-9355-B159D92ABA4B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52EE-4A38-9355-B159D92ABA4B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52EE-4A38-9355-B159D92ABA4B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52EE-4A38-9355-B159D92ABA4B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52EE-4A38-9355-B159D92ABA4B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52EE-4A38-9355-B159D92ABA4B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52EE-4A38-9355-B159D92ABA4B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52EE-4A38-9355-B159D92ABA4B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52EE-4A38-9355-B159D92ABA4B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52EE-4A38-9355-B159D92ABA4B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52EE-4A38-9355-B159D92ABA4B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52EE-4A38-9355-B159D92ABA4B}"/>
            </c:ext>
          </c:extLst>
        </c:ser>
        <c:ser>
          <c:idx val="6"/>
          <c:order val="5"/>
          <c:tx>
            <c:strRef>
              <c:f>'tester A'!$D$37</c:f>
              <c:strCache>
                <c:ptCount val="1"/>
                <c:pt idx="0">
                  <c:v>940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rgbClr val="00B0F0"/>
              </a:solidFill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A'!$D$38:$D$126</c:f>
              <c:numCache>
                <c:formatCode>0</c:formatCode>
                <c:ptCount val="89"/>
                <c:pt idx="0">
                  <c:v>157.14254588727411</c:v>
                </c:pt>
                <c:pt idx="1">
                  <c:v>128.86005310609346</c:v>
                </c:pt>
                <c:pt idx="2">
                  <c:v>246.298594510805</c:v>
                </c:pt>
                <c:pt idx="3">
                  <c:v>303.16295261169091</c:v>
                </c:pt>
                <c:pt idx="4">
                  <c:v>160.53585388413663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52EE-4A38-9355-B159D92ABA4B}"/>
            </c:ext>
          </c:extLst>
        </c:ser>
        <c:ser>
          <c:idx val="7"/>
          <c:order val="6"/>
          <c:tx>
            <c:strRef>
              <c:f>'tester A'!$E$37</c:f>
              <c:strCache>
                <c:ptCount val="1"/>
                <c:pt idx="0">
                  <c:v>970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A'!$E$38:$E$126</c:f>
              <c:numCache>
                <c:formatCode>0</c:formatCode>
                <c:ptCount val="89"/>
                <c:pt idx="0">
                  <c:v>135.72288734538432</c:v>
                </c:pt>
                <c:pt idx="1">
                  <c:v>137.93052064908017</c:v>
                </c:pt>
                <c:pt idx="2">
                  <c:v>155.29926167316012</c:v>
                </c:pt>
                <c:pt idx="3">
                  <c:v>279.96422934639804</c:v>
                </c:pt>
                <c:pt idx="4">
                  <c:v>287.08310098597735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52EE-4A38-9355-B159D92ABA4B}"/>
            </c:ext>
          </c:extLst>
        </c:ser>
        <c:ser>
          <c:idx val="8"/>
          <c:order val="7"/>
          <c:tx>
            <c:strRef>
              <c:f>'tester A'!$F$37</c:f>
              <c:strCache>
                <c:ptCount val="1"/>
                <c:pt idx="0">
                  <c:v>1200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A'!$F$38:$F$126</c:f>
              <c:numCache>
                <c:formatCode>0</c:formatCode>
                <c:ptCount val="89"/>
                <c:pt idx="0">
                  <c:v>12.944642702932633</c:v>
                </c:pt>
                <c:pt idx="1">
                  <c:v>58.607024568448594</c:v>
                </c:pt>
                <c:pt idx="2">
                  <c:v>109.79792226473732</c:v>
                </c:pt>
                <c:pt idx="3">
                  <c:v>105.74635428557421</c:v>
                </c:pt>
                <c:pt idx="4">
                  <c:v>708.90405617830743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52EE-4A38-9355-B159D92ABA4B}"/>
            </c:ext>
          </c:extLst>
        </c:ser>
        <c:ser>
          <c:idx val="9"/>
          <c:order val="8"/>
          <c:tx>
            <c:strRef>
              <c:f>'tester A'!$G$37</c:f>
              <c:strCache>
                <c:ptCount val="1"/>
                <c:pt idx="0">
                  <c:v>1300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A'!$G$38:$G$63</c:f>
              <c:numCache>
                <c:formatCode>0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52EE-4A38-9355-B159D92AB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txPr>
        <a:bodyPr/>
        <a:lstStyle/>
        <a:p>
          <a:pPr>
            <a:defRPr sz="1600" b="1">
              <a:latin typeface="Arial" panose="020B0604020202020204" pitchFamily="34" charset="0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120-4934-8DDD-0CD0DEC3654E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0120-4934-8DDD-0CD0DEC3654E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0120-4934-8DDD-0CD0DEC3654E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120-4934-8DDD-0CD0DEC3654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0120-4934-8DDD-0CD0DEC3654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0120-4934-8DDD-0CD0DEC3654E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0120-4934-8DDD-0CD0DEC3654E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0120-4934-8DDD-0CD0DEC3654E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0120-4934-8DDD-0CD0DEC3654E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0120-4934-8DDD-0CD0DEC3654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0120-4934-8DDD-0CD0DEC3654E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0120-4934-8DDD-0CD0DEC3654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0120-4934-8DDD-0CD0DEC3654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0120-4934-8DDD-0CD0DEC3654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0120-4934-8DDD-0CD0DEC3654E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0120-4934-8DDD-0CD0DEC3654E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0120-4934-8DDD-0CD0DEC3654E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0120-4934-8DDD-0CD0DEC3654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0120-4934-8DDD-0CD0DEC3654E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0120-4934-8DDD-0CD0DEC3654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0120-4934-8DDD-0CD0DEC3654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0120-4934-8DDD-0CD0DEC3654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0120-4934-8DDD-0CD0DEC3654E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0120-4934-8DDD-0CD0DEC3654E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0120-4934-8DDD-0CD0DEC3654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0120-4934-8DDD-0CD0DEC3654E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0120-4934-8DDD-0CD0DEC3654E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0120-4934-8DDD-0CD0DEC3654E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0120-4934-8DDD-0CD0DEC3654E}"/>
            </c:ext>
          </c:extLst>
        </c:ser>
        <c:ser>
          <c:idx val="6"/>
          <c:order val="6"/>
          <c:tx>
            <c:strRef>
              <c:f>'tester A'!$D$37</c:f>
              <c:strCache>
                <c:ptCount val="1"/>
                <c:pt idx="0">
                  <c:v>940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A'!$D$38:$D$126</c:f>
              <c:numCache>
                <c:formatCode>0</c:formatCode>
                <c:ptCount val="89"/>
                <c:pt idx="0">
                  <c:v>157.14254588727411</c:v>
                </c:pt>
                <c:pt idx="1">
                  <c:v>128.86005310609346</c:v>
                </c:pt>
                <c:pt idx="2">
                  <c:v>246.298594510805</c:v>
                </c:pt>
                <c:pt idx="3">
                  <c:v>303.16295261169091</c:v>
                </c:pt>
                <c:pt idx="4">
                  <c:v>160.53585388413663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0120-4934-8DDD-0CD0DEC3654E}"/>
            </c:ext>
          </c:extLst>
        </c:ser>
        <c:ser>
          <c:idx val="7"/>
          <c:order val="7"/>
          <c:tx>
            <c:strRef>
              <c:f>'tester A'!$E$37</c:f>
              <c:strCache>
                <c:ptCount val="1"/>
                <c:pt idx="0">
                  <c:v>970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A'!$E$38:$E$126</c:f>
              <c:numCache>
                <c:formatCode>0</c:formatCode>
                <c:ptCount val="89"/>
                <c:pt idx="0">
                  <c:v>135.72288734538432</c:v>
                </c:pt>
                <c:pt idx="1">
                  <c:v>137.93052064908017</c:v>
                </c:pt>
                <c:pt idx="2">
                  <c:v>155.29926167316012</c:v>
                </c:pt>
                <c:pt idx="3">
                  <c:v>279.96422934639804</c:v>
                </c:pt>
                <c:pt idx="4">
                  <c:v>287.08310098597735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0120-4934-8DDD-0CD0DEC3654E}"/>
            </c:ext>
          </c:extLst>
        </c:ser>
        <c:ser>
          <c:idx val="8"/>
          <c:order val="8"/>
          <c:tx>
            <c:strRef>
              <c:f>'tester A'!$F$37</c:f>
              <c:strCache>
                <c:ptCount val="1"/>
                <c:pt idx="0">
                  <c:v>1200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A'!$F$38:$F$126</c:f>
              <c:numCache>
                <c:formatCode>0</c:formatCode>
                <c:ptCount val="89"/>
                <c:pt idx="0">
                  <c:v>12.944642702932633</c:v>
                </c:pt>
                <c:pt idx="1">
                  <c:v>58.607024568448594</c:v>
                </c:pt>
                <c:pt idx="2">
                  <c:v>109.79792226473732</c:v>
                </c:pt>
                <c:pt idx="3">
                  <c:v>105.74635428557421</c:v>
                </c:pt>
                <c:pt idx="4">
                  <c:v>708.90405617830743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0120-4934-8DDD-0CD0DEC3654E}"/>
            </c:ext>
          </c:extLst>
        </c:ser>
        <c:ser>
          <c:idx val="9"/>
          <c:order val="9"/>
          <c:tx>
            <c:strRef>
              <c:f>'tester A'!$G$37</c:f>
              <c:strCache>
                <c:ptCount val="1"/>
                <c:pt idx="0">
                  <c:v>1300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A'!$G$38:$G$63</c:f>
              <c:numCache>
                <c:formatCode>0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0120-4934-8DDD-0CD0DEC3654E}"/>
            </c:ext>
          </c:extLst>
        </c:ser>
        <c:ser>
          <c:idx val="10"/>
          <c:order val="10"/>
          <c:tx>
            <c:strRef>
              <c:f>'tester A'!$H$37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A'!$H$38:$H$63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0120-4934-8DDD-0CD0DEC3654E}"/>
            </c:ext>
          </c:extLst>
        </c:ser>
        <c:ser>
          <c:idx val="11"/>
          <c:order val="11"/>
          <c:tx>
            <c:strRef>
              <c:f>'tester A'!$I$37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A'!$I$38:$I$63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0120-4934-8DDD-0CD0DEC3654E}"/>
            </c:ext>
          </c:extLst>
        </c:ser>
        <c:ser>
          <c:idx val="12"/>
          <c:order val="12"/>
          <c:tx>
            <c:strRef>
              <c:f>'tester A'!$J$37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A'!$J$38:$J$63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0120-4934-8DDD-0CD0DEC36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8D6-4DFE-96C5-9F55BE11C071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8D6-4DFE-96C5-9F55BE11C071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E8D6-4DFE-96C5-9F55BE11C071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8D6-4DFE-96C5-9F55BE11C071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E8D6-4DFE-96C5-9F55BE11C071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E8D6-4DFE-96C5-9F55BE11C071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E8D6-4DFE-96C5-9F55BE11C071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E8D6-4DFE-96C5-9F55BE11C071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8D6-4DFE-96C5-9F55BE11C071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E8D6-4DFE-96C5-9F55BE11C071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E8D6-4DFE-96C5-9F55BE11C071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E8D6-4DFE-96C5-9F55BE11C071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E8D6-4DFE-96C5-9F55BE11C071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E8D6-4DFE-96C5-9F55BE11C071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E8D6-4DFE-96C5-9F55BE11C071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E8D6-4DFE-96C5-9F55BE11C071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E8D6-4DFE-96C5-9F55BE11C071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E8D6-4DFE-96C5-9F55BE11C071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E8D6-4DFE-96C5-9F55BE11C071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E8D6-4DFE-96C5-9F55BE11C071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E8D6-4DFE-96C5-9F55BE11C071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E8D6-4DFE-96C5-9F55BE11C071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E8D6-4DFE-96C5-9F55BE11C071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E8D6-4DFE-96C5-9F55BE11C071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E8D6-4DFE-96C5-9F55BE11C071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E8D6-4DFE-96C5-9F55BE11C071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E8D6-4DFE-96C5-9F55BE11C071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E8D6-4DFE-96C5-9F55BE11C071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E8D6-4DFE-96C5-9F55BE11C071}"/>
            </c:ext>
          </c:extLst>
        </c:ser>
        <c:ser>
          <c:idx val="6"/>
          <c:order val="6"/>
          <c:tx>
            <c:strRef>
              <c:f>乘DC!$D$37</c:f>
              <c:strCache>
                <c:ptCount val="1"/>
                <c:pt idx="0">
                  <c:v>RW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乘DC!$C$38:$C$126</c:f>
              <c:numCache>
                <c:formatCode>General</c:formatCode>
                <c:ptCount val="89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乘DC!$D$38:$D$126</c:f>
              <c:numCache>
                <c:formatCode>General</c:formatCode>
                <c:ptCount val="89"/>
                <c:pt idx="0">
                  <c:v>103.62552746723463</c:v>
                </c:pt>
                <c:pt idx="1">
                  <c:v>96.496752710613691</c:v>
                </c:pt>
                <c:pt idx="2">
                  <c:v>132.71487627033957</c:v>
                </c:pt>
                <c:pt idx="3">
                  <c:v>78.467246865961442</c:v>
                </c:pt>
                <c:pt idx="4">
                  <c:v>102.3843406965733</c:v>
                </c:pt>
                <c:pt idx="5">
                  <c:v>91.57375257353624</c:v>
                </c:pt>
                <c:pt idx="6">
                  <c:v>130.31613771205684</c:v>
                </c:pt>
                <c:pt idx="7">
                  <c:v>124.11543829585776</c:v>
                </c:pt>
                <c:pt idx="8">
                  <c:v>114.96226594755763</c:v>
                </c:pt>
                <c:pt idx="9">
                  <c:v>108.99415964159812</c:v>
                </c:pt>
                <c:pt idx="10">
                  <c:v>150.75892375369995</c:v>
                </c:pt>
                <c:pt idx="11">
                  <c:v>86.13156525958982</c:v>
                </c:pt>
                <c:pt idx="12">
                  <c:v>136.63575905499124</c:v>
                </c:pt>
                <c:pt idx="13">
                  <c:v>90.946563200401442</c:v>
                </c:pt>
                <c:pt idx="14">
                  <c:v>311.73858647308225</c:v>
                </c:pt>
                <c:pt idx="15">
                  <c:v>261.32102521709726</c:v>
                </c:pt>
                <c:pt idx="16">
                  <c:v>156.15034738026293</c:v>
                </c:pt>
                <c:pt idx="17">
                  <c:v>200.84675827762817</c:v>
                </c:pt>
                <c:pt idx="18">
                  <c:v>100.81997320194341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E8D6-4DFE-96C5-9F55BE11C071}"/>
            </c:ext>
          </c:extLst>
        </c:ser>
        <c:ser>
          <c:idx val="7"/>
          <c:order val="7"/>
          <c:tx>
            <c:strRef>
              <c:f>乘DC!$E$37</c:f>
              <c:strCache>
                <c:ptCount val="1"/>
                <c:pt idx="0">
                  <c:v>(2)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乘DC!$C$38:$C$126</c:f>
              <c:numCache>
                <c:formatCode>General</c:formatCode>
                <c:ptCount val="89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乘DC!$E$38:$E$126</c:f>
              <c:numCache>
                <c:formatCode>General</c:formatCode>
                <c:ptCount val="89"/>
                <c:pt idx="0">
                  <c:v>103.85252522607593</c:v>
                </c:pt>
                <c:pt idx="1">
                  <c:v>97.645975060457971</c:v>
                </c:pt>
                <c:pt idx="2">
                  <c:v>138.52061277644015</c:v>
                </c:pt>
                <c:pt idx="3">
                  <c:v>108.91302480270809</c:v>
                </c:pt>
                <c:pt idx="4">
                  <c:v>141.5465431058968</c:v>
                </c:pt>
                <c:pt idx="5">
                  <c:v>93.339969311346962</c:v>
                </c:pt>
                <c:pt idx="6">
                  <c:v>133.02904326984111</c:v>
                </c:pt>
                <c:pt idx="7">
                  <c:v>140.97345010552499</c:v>
                </c:pt>
                <c:pt idx="8">
                  <c:v>126.81410064327511</c:v>
                </c:pt>
                <c:pt idx="9">
                  <c:v>108.89224636429086</c:v>
                </c:pt>
                <c:pt idx="10">
                  <c:v>126.33112764212643</c:v>
                </c:pt>
                <c:pt idx="11">
                  <c:v>80.400404686198982</c:v>
                </c:pt>
                <c:pt idx="12">
                  <c:v>117.85249162413695</c:v>
                </c:pt>
                <c:pt idx="13">
                  <c:v>101.4551800178341</c:v>
                </c:pt>
                <c:pt idx="14">
                  <c:v>300.49112527370249</c:v>
                </c:pt>
                <c:pt idx="15">
                  <c:v>276.60607557556267</c:v>
                </c:pt>
                <c:pt idx="16">
                  <c:v>139.21540379417658</c:v>
                </c:pt>
                <c:pt idx="17">
                  <c:v>160.65358464858161</c:v>
                </c:pt>
                <c:pt idx="18">
                  <c:v>82.467116071813507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E8D6-4DFE-96C5-9F55BE11C071}"/>
            </c:ext>
          </c:extLst>
        </c:ser>
        <c:ser>
          <c:idx val="8"/>
          <c:order val="8"/>
          <c:tx>
            <c:strRef>
              <c:f>乘DC!$F$37</c:f>
              <c:strCache>
                <c:ptCount val="1"/>
                <c:pt idx="0">
                  <c:v>(3)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乘DC!$C$38:$C$126</c:f>
              <c:numCache>
                <c:formatCode>General</c:formatCode>
                <c:ptCount val="89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乘DC!$F$38:$F$126</c:f>
              <c:numCache>
                <c:formatCode>General</c:formatCode>
                <c:ptCount val="89"/>
                <c:pt idx="0">
                  <c:v>137.74952203399241</c:v>
                </c:pt>
                <c:pt idx="1">
                  <c:v>106.8767088640931</c:v>
                </c:pt>
                <c:pt idx="2">
                  <c:v>101.76462175728506</c:v>
                </c:pt>
                <c:pt idx="3">
                  <c:v>82.503246879678855</c:v>
                </c:pt>
                <c:pt idx="4">
                  <c:v>91.849667022084603</c:v>
                </c:pt>
                <c:pt idx="5">
                  <c:v>98.599322623768671</c:v>
                </c:pt>
                <c:pt idx="6">
                  <c:v>148.92937976894333</c:v>
                </c:pt>
                <c:pt idx="7">
                  <c:v>143.67858450438862</c:v>
                </c:pt>
                <c:pt idx="8">
                  <c:v>144.3543213490569</c:v>
                </c:pt>
                <c:pt idx="9">
                  <c:v>115.92820008645519</c:v>
                </c:pt>
                <c:pt idx="10">
                  <c:v>104.84908482868771</c:v>
                </c:pt>
                <c:pt idx="11">
                  <c:v>82.584267043693998</c:v>
                </c:pt>
                <c:pt idx="12">
                  <c:v>129.17812340742674</c:v>
                </c:pt>
                <c:pt idx="13">
                  <c:v>91.426830317230952</c:v>
                </c:pt>
                <c:pt idx="14">
                  <c:v>289.20608524226964</c:v>
                </c:pt>
                <c:pt idx="15">
                  <c:v>242.7817414665823</c:v>
                </c:pt>
                <c:pt idx="16">
                  <c:v>140.37530348814155</c:v>
                </c:pt>
                <c:pt idx="17">
                  <c:v>227.74484928201059</c:v>
                </c:pt>
                <c:pt idx="18">
                  <c:v>98.620140034202706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E8D6-4DFE-96C5-9F55BE11C071}"/>
            </c:ext>
          </c:extLst>
        </c:ser>
        <c:ser>
          <c:idx val="9"/>
          <c:order val="9"/>
          <c:tx>
            <c:strRef>
              <c:f>乘DC!$G$37</c:f>
              <c:strCache>
                <c:ptCount val="1"/>
                <c:pt idx="0">
                  <c:v>(4)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乘DC!$C$38:$C$74</c:f>
              <c:numCache>
                <c:formatCode>General</c:formatCode>
                <c:ptCount val="37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乘DC!$G$38:$G$63</c:f>
              <c:numCache>
                <c:formatCode>General</c:formatCode>
                <c:ptCount val="26"/>
                <c:pt idx="0">
                  <c:v>95.519755925093847</c:v>
                </c:pt>
                <c:pt idx="1">
                  <c:v>89.266612852490653</c:v>
                </c:pt>
                <c:pt idx="2">
                  <c:v>162.66026555923236</c:v>
                </c:pt>
                <c:pt idx="3">
                  <c:v>72.122645636206698</c:v>
                </c:pt>
                <c:pt idx="4">
                  <c:v>145.56805314864278</c:v>
                </c:pt>
                <c:pt idx="5">
                  <c:v>117.07021638666356</c:v>
                </c:pt>
                <c:pt idx="6">
                  <c:v>127.46181924146815</c:v>
                </c:pt>
                <c:pt idx="7">
                  <c:v>143.57895627580592</c:v>
                </c:pt>
                <c:pt idx="8">
                  <c:v>131.41132724357294</c:v>
                </c:pt>
                <c:pt idx="9">
                  <c:v>101.24844077034913</c:v>
                </c:pt>
                <c:pt idx="10">
                  <c:v>136.11793376748074</c:v>
                </c:pt>
                <c:pt idx="11">
                  <c:v>98.422590112757348</c:v>
                </c:pt>
                <c:pt idx="12">
                  <c:v>102.01859501454612</c:v>
                </c:pt>
                <c:pt idx="13">
                  <c:v>94.4485736108212</c:v>
                </c:pt>
                <c:pt idx="14">
                  <c:v>313.25778764405339</c:v>
                </c:pt>
                <c:pt idx="15">
                  <c:v>234.92543886369731</c:v>
                </c:pt>
                <c:pt idx="16">
                  <c:v>147.61478249331321</c:v>
                </c:pt>
                <c:pt idx="17">
                  <c:v>141.73121872212005</c:v>
                </c:pt>
                <c:pt idx="18">
                  <c:v>124.55498673170609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E8D6-4DFE-96C5-9F55BE11C071}"/>
            </c:ext>
          </c:extLst>
        </c:ser>
        <c:ser>
          <c:idx val="10"/>
          <c:order val="10"/>
          <c:tx>
            <c:strRef>
              <c:f>乘DC!$H$37</c:f>
              <c:strCache>
                <c:ptCount val="1"/>
                <c:pt idx="0">
                  <c:v>(5)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乘DC!$C$38:$C$74</c:f>
              <c:numCache>
                <c:formatCode>General</c:formatCode>
                <c:ptCount val="37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乘DC!$H$38:$H$63</c:f>
              <c:numCache>
                <c:formatCode>General</c:formatCode>
                <c:ptCount val="26"/>
                <c:pt idx="0">
                  <c:v>103.31927768920575</c:v>
                </c:pt>
                <c:pt idx="1">
                  <c:v>114.51120685574824</c:v>
                </c:pt>
                <c:pt idx="2">
                  <c:v>118.7760699647564</c:v>
                </c:pt>
                <c:pt idx="3">
                  <c:v>145.1540588550547</c:v>
                </c:pt>
                <c:pt idx="4">
                  <c:v>133.94796361183967</c:v>
                </c:pt>
                <c:pt idx="5">
                  <c:v>97.259237405316981</c:v>
                </c:pt>
                <c:pt idx="6">
                  <c:v>123.06469254930369</c:v>
                </c:pt>
                <c:pt idx="7">
                  <c:v>107.03799207953682</c:v>
                </c:pt>
                <c:pt idx="8">
                  <c:v>125.89660838587383</c:v>
                </c:pt>
                <c:pt idx="9">
                  <c:v>104.07590204351754</c:v>
                </c:pt>
                <c:pt idx="10">
                  <c:v>122.36809244153062</c:v>
                </c:pt>
                <c:pt idx="11">
                  <c:v>77.714594351920766</c:v>
                </c:pt>
                <c:pt idx="12">
                  <c:v>129.0544027499372</c:v>
                </c:pt>
                <c:pt idx="13">
                  <c:v>93.813345778329278</c:v>
                </c:pt>
                <c:pt idx="14">
                  <c:v>293.2736932403327</c:v>
                </c:pt>
                <c:pt idx="15">
                  <c:v>260.52603872008694</c:v>
                </c:pt>
                <c:pt idx="16">
                  <c:v>120.38788552892174</c:v>
                </c:pt>
                <c:pt idx="17">
                  <c:v>209.14333957430063</c:v>
                </c:pt>
                <c:pt idx="18">
                  <c:v>99.675598174476818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E8D6-4DFE-96C5-9F55BE11C071}"/>
            </c:ext>
          </c:extLst>
        </c:ser>
        <c:ser>
          <c:idx val="11"/>
          <c:order val="11"/>
          <c:tx>
            <c:strRef>
              <c:f>乘DC!$I$37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乘DC!$C$38:$C$74</c:f>
              <c:numCache>
                <c:formatCode>General</c:formatCode>
                <c:ptCount val="37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乘DC!$I$38:$I$63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E8D6-4DFE-96C5-9F55BE11C071}"/>
            </c:ext>
          </c:extLst>
        </c:ser>
        <c:ser>
          <c:idx val="12"/>
          <c:order val="12"/>
          <c:tx>
            <c:strRef>
              <c:f>乘DC!$J$37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乘DC!$C$38:$C$74</c:f>
              <c:numCache>
                <c:formatCode>General</c:formatCode>
                <c:ptCount val="37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乘DC!$J$38:$J$63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E8D6-4DFE-96C5-9F55BE11C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11"/>
        <c:delete val="1"/>
      </c:legendEntry>
      <c:legendEntry>
        <c:idx val="12"/>
        <c:delete val="1"/>
      </c:legendEntry>
      <c:overlay val="0"/>
      <c:txPr>
        <a:bodyPr/>
        <a:lstStyle/>
        <a:p>
          <a:pPr>
            <a:defRPr sz="1600" b="1">
              <a:latin typeface="Arial" panose="020B0604020202020204" pitchFamily="34" charset="0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85843904845946"/>
          <c:y val="3.6701493872255471E-2"/>
          <c:w val="0.81924254043858213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12E-41D5-A12F-36DDE641B80E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A12E-41D5-A12F-36DDE641B80E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A12E-41D5-A12F-36DDE641B80E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12E-41D5-A12F-36DDE641B80E}"/>
              </c:ext>
            </c:extLst>
          </c:dPt>
          <c:dPt>
            <c:idx val="6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A12E-41D5-A12F-36DDE641B80E}"/>
              </c:ext>
            </c:extLst>
          </c:dPt>
          <c:dPt>
            <c:idx val="7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A12E-41D5-A12F-36DDE641B80E}"/>
              </c:ext>
            </c:extLst>
          </c:dPt>
          <c:dPt>
            <c:idx val="8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A12E-41D5-A12F-36DDE641B80E}"/>
              </c:ext>
            </c:extLst>
          </c:dPt>
          <c:dPt>
            <c:idx val="9"/>
            <c:bubble3D val="0"/>
            <c:spPr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A12E-41D5-A12F-36DDE641B80E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12E-41D5-A12F-36DDE641B80E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A12E-41D5-A12F-36DDE641B80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A12E-41D5-A12F-36DDE641B80E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A12E-41D5-A12F-36DDE641B80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A12E-41D5-A12F-36DDE641B80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A12E-41D5-A12F-36DDE641B80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A12E-41D5-A12F-36DDE641B80E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A12E-41D5-A12F-36DDE641B80E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12E-41D5-A12F-36DDE641B80E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A12E-41D5-A12F-36DDE641B80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A12E-41D5-A12F-36DDE641B80E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A12E-41D5-A12F-36DDE641B80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A12E-41D5-A12F-36DDE641B80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A12E-41D5-A12F-36DDE641B80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A12E-41D5-A12F-36DDE641B80E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A12E-41D5-A12F-36DDE641B80E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A12E-41D5-A12F-36DDE641B80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A12E-41D5-A12F-36DDE641B80E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A12E-41D5-A12F-36DDE641B80E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A12E-41D5-A12F-36DDE641B80E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A12E-41D5-A12F-36DDE641B80E}"/>
            </c:ext>
          </c:extLst>
        </c:ser>
        <c:ser>
          <c:idx val="6"/>
          <c:order val="6"/>
          <c:tx>
            <c:strRef>
              <c:f>'20  feature-with Elky'!$E$37</c:f>
              <c:strCache>
                <c:ptCount val="1"/>
                <c:pt idx="0">
                  <c:v>(1)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  <c:pt idx="224">
                  <c:v>97</c:v>
                </c:pt>
                <c:pt idx="225">
                  <c:v>169</c:v>
                </c:pt>
                <c:pt idx="226">
                  <c:v>114</c:v>
                </c:pt>
                <c:pt idx="227">
                  <c:v>137</c:v>
                </c:pt>
                <c:pt idx="228">
                  <c:v>119</c:v>
                </c:pt>
                <c:pt idx="229">
                  <c:v>107</c:v>
                </c:pt>
                <c:pt idx="230">
                  <c:v>94</c:v>
                </c:pt>
                <c:pt idx="231">
                  <c:v>114</c:v>
                </c:pt>
                <c:pt idx="232">
                  <c:v>117</c:v>
                </c:pt>
                <c:pt idx="233">
                  <c:v>110</c:v>
                </c:pt>
                <c:pt idx="234">
                  <c:v>78</c:v>
                </c:pt>
                <c:pt idx="235">
                  <c:v>125</c:v>
                </c:pt>
                <c:pt idx="236">
                  <c:v>143</c:v>
                </c:pt>
                <c:pt idx="237">
                  <c:v>122</c:v>
                </c:pt>
                <c:pt idx="238">
                  <c:v>108</c:v>
                </c:pt>
                <c:pt idx="239">
                  <c:v>90</c:v>
                </c:pt>
                <c:pt idx="240">
                  <c:v>109</c:v>
                </c:pt>
                <c:pt idx="241">
                  <c:v>149</c:v>
                </c:pt>
                <c:pt idx="242">
                  <c:v>153</c:v>
                </c:pt>
                <c:pt idx="243">
                  <c:v>87</c:v>
                </c:pt>
                <c:pt idx="244">
                  <c:v>115</c:v>
                </c:pt>
                <c:pt idx="245">
                  <c:v>112</c:v>
                </c:pt>
                <c:pt idx="246">
                  <c:v>113</c:v>
                </c:pt>
                <c:pt idx="247">
                  <c:v>122</c:v>
                </c:pt>
                <c:pt idx="248">
                  <c:v>116</c:v>
                </c:pt>
                <c:pt idx="249">
                  <c:v>109</c:v>
                </c:pt>
                <c:pt idx="250">
                  <c:v>124</c:v>
                </c:pt>
                <c:pt idx="251">
                  <c:v>93</c:v>
                </c:pt>
                <c:pt idx="252">
                  <c:v>72</c:v>
                </c:pt>
                <c:pt idx="253">
                  <c:v>81</c:v>
                </c:pt>
                <c:pt idx="254">
                  <c:v>124</c:v>
                </c:pt>
                <c:pt idx="255">
                  <c:v>115</c:v>
                </c:pt>
                <c:pt idx="256">
                  <c:v>108</c:v>
                </c:pt>
              </c:numCache>
            </c:numRef>
          </c:xVal>
          <c:yVal>
            <c:numRef>
              <c:f>'20  feature-with Elky'!$E$38:$E$500</c:f>
              <c:numCache>
                <c:formatCode>General</c:formatCode>
                <c:ptCount val="463"/>
                <c:pt idx="0">
                  <c:v>109.34214577596499</c:v>
                </c:pt>
                <c:pt idx="1">
                  <c:v>130.54420359317999</c:v>
                </c:pt>
                <c:pt idx="2">
                  <c:v>125.09770486605299</c:v>
                </c:pt>
                <c:pt idx="3">
                  <c:v>121.45203280724</c:v>
                </c:pt>
                <c:pt idx="4">
                  <c:v>114.92629786189001</c:v>
                </c:pt>
                <c:pt idx="5">
                  <c:v>124.942612023927</c:v>
                </c:pt>
                <c:pt idx="6">
                  <c:v>107.578205512219</c:v>
                </c:pt>
                <c:pt idx="7">
                  <c:v>124.290593279109</c:v>
                </c:pt>
                <c:pt idx="8">
                  <c:v>131.94170496279199</c:v>
                </c:pt>
                <c:pt idx="9">
                  <c:v>116.629248697875</c:v>
                </c:pt>
                <c:pt idx="10">
                  <c:v>115.616032760438</c:v>
                </c:pt>
                <c:pt idx="11">
                  <c:v>105.55434649327999</c:v>
                </c:pt>
                <c:pt idx="12">
                  <c:v>105.727425304048</c:v>
                </c:pt>
                <c:pt idx="13">
                  <c:v>113.33860157685299</c:v>
                </c:pt>
                <c:pt idx="14">
                  <c:v>96.970172686161405</c:v>
                </c:pt>
                <c:pt idx="15">
                  <c:v>93.111822946793794</c:v>
                </c:pt>
                <c:pt idx="16">
                  <c:v>90.517027123133005</c:v>
                </c:pt>
                <c:pt idx="17">
                  <c:v>128.45339061769599</c:v>
                </c:pt>
                <c:pt idx="18">
                  <c:v>106.718743004015</c:v>
                </c:pt>
                <c:pt idx="19">
                  <c:v>103.357695476487</c:v>
                </c:pt>
                <c:pt idx="20">
                  <c:v>82.295649261432999</c:v>
                </c:pt>
                <c:pt idx="21">
                  <c:v>113.69180583616399</c:v>
                </c:pt>
                <c:pt idx="22">
                  <c:v>91.230535888199597</c:v>
                </c:pt>
                <c:pt idx="23">
                  <c:v>98.753661152644199</c:v>
                </c:pt>
                <c:pt idx="24">
                  <c:v>150.79943764734301</c:v>
                </c:pt>
                <c:pt idx="25">
                  <c:v>175.08701480118199</c:v>
                </c:pt>
                <c:pt idx="26">
                  <c:v>191.147474378016</c:v>
                </c:pt>
                <c:pt idx="27">
                  <c:v>227.07685258591499</c:v>
                </c:pt>
                <c:pt idx="28">
                  <c:v>342.86150147848298</c:v>
                </c:pt>
                <c:pt idx="29">
                  <c:v>105.552564168022</c:v>
                </c:pt>
                <c:pt idx="30">
                  <c:v>129.26981332613801</c:v>
                </c:pt>
                <c:pt idx="31">
                  <c:v>119.03579658845101</c:v>
                </c:pt>
                <c:pt idx="32">
                  <c:v>117.34671487314399</c:v>
                </c:pt>
                <c:pt idx="33">
                  <c:v>105.758293318002</c:v>
                </c:pt>
                <c:pt idx="34">
                  <c:v>140.14000151371701</c:v>
                </c:pt>
                <c:pt idx="35">
                  <c:v>148.888097302266</c:v>
                </c:pt>
                <c:pt idx="36">
                  <c:v>112.206449463859</c:v>
                </c:pt>
                <c:pt idx="37">
                  <c:v>106.801829182867</c:v>
                </c:pt>
                <c:pt idx="38">
                  <c:v>119.54526310202</c:v>
                </c:pt>
                <c:pt idx="39">
                  <c:v>135.49715934940599</c:v>
                </c:pt>
                <c:pt idx="40">
                  <c:v>112.63356101881</c:v>
                </c:pt>
                <c:pt idx="41">
                  <c:v>177.86189810668699</c:v>
                </c:pt>
                <c:pt idx="42">
                  <c:v>175.18235581653099</c:v>
                </c:pt>
                <c:pt idx="43">
                  <c:v>175.36167133347701</c:v>
                </c:pt>
                <c:pt idx="44">
                  <c:v>200.11954972123499</c:v>
                </c:pt>
                <c:pt idx="45">
                  <c:v>154.74264290744199</c:v>
                </c:pt>
                <c:pt idx="46">
                  <c:v>158.823923922906</c:v>
                </c:pt>
                <c:pt idx="47">
                  <c:v>165.76801592390001</c:v>
                </c:pt>
                <c:pt idx="48">
                  <c:v>89.4757409075998</c:v>
                </c:pt>
                <c:pt idx="49">
                  <c:v>113.40051217816</c:v>
                </c:pt>
                <c:pt idx="50">
                  <c:v>122.880473815047</c:v>
                </c:pt>
                <c:pt idx="51">
                  <c:v>109.75138200597</c:v>
                </c:pt>
                <c:pt idx="52">
                  <c:v>92.824997158285498</c:v>
                </c:pt>
                <c:pt idx="53">
                  <c:v>122.15636351840701</c:v>
                </c:pt>
                <c:pt idx="54">
                  <c:v>125.304964637604</c:v>
                </c:pt>
                <c:pt idx="55">
                  <c:v>96.773337221245797</c:v>
                </c:pt>
                <c:pt idx="56">
                  <c:v>100.087469377612</c:v>
                </c:pt>
                <c:pt idx="57">
                  <c:v>103.957852138159</c:v>
                </c:pt>
                <c:pt idx="58">
                  <c:v>109.725287914547</c:v>
                </c:pt>
                <c:pt idx="59">
                  <c:v>104.07805542372201</c:v>
                </c:pt>
                <c:pt idx="60">
                  <c:v>98.8197594227602</c:v>
                </c:pt>
                <c:pt idx="61">
                  <c:v>100.069692447642</c:v>
                </c:pt>
                <c:pt idx="62">
                  <c:v>109.26921232521001</c:v>
                </c:pt>
                <c:pt idx="63">
                  <c:v>108.878183964708</c:v>
                </c:pt>
                <c:pt idx="64">
                  <c:v>119.523869618554</c:v>
                </c:pt>
                <c:pt idx="65">
                  <c:v>146.05706322826401</c:v>
                </c:pt>
                <c:pt idx="66">
                  <c:v>124.045459095083</c:v>
                </c:pt>
                <c:pt idx="67">
                  <c:v>117.463442169883</c:v>
                </c:pt>
                <c:pt idx="68">
                  <c:v>119.479265879766</c:v>
                </c:pt>
                <c:pt idx="69">
                  <c:v>184.30868638077999</c:v>
                </c:pt>
                <c:pt idx="70">
                  <c:v>189.57559587665099</c:v>
                </c:pt>
                <c:pt idx="71">
                  <c:v>175.53883357810599</c:v>
                </c:pt>
                <c:pt idx="72">
                  <c:v>180.52259024181001</c:v>
                </c:pt>
                <c:pt idx="73">
                  <c:v>159.14054037178801</c:v>
                </c:pt>
                <c:pt idx="74">
                  <c:v>218.73505846353399</c:v>
                </c:pt>
                <c:pt idx="75">
                  <c:v>182.38240682176999</c:v>
                </c:pt>
                <c:pt idx="76">
                  <c:v>185.12321438748799</c:v>
                </c:pt>
                <c:pt idx="77">
                  <c:v>142.824850770149</c:v>
                </c:pt>
                <c:pt idx="78">
                  <c:v>174.18745924027601</c:v>
                </c:pt>
                <c:pt idx="79">
                  <c:v>197.23142952692399</c:v>
                </c:pt>
                <c:pt idx="80">
                  <c:v>267.41294278626799</c:v>
                </c:pt>
                <c:pt idx="81">
                  <c:v>229.21746713976901</c:v>
                </c:pt>
                <c:pt idx="82">
                  <c:v>225.3438032631</c:v>
                </c:pt>
                <c:pt idx="83">
                  <c:v>180.51766362321601</c:v>
                </c:pt>
                <c:pt idx="84">
                  <c:v>186.58340422964901</c:v>
                </c:pt>
                <c:pt idx="85">
                  <c:v>105.03857450285101</c:v>
                </c:pt>
                <c:pt idx="86">
                  <c:v>99.548106737568901</c:v>
                </c:pt>
                <c:pt idx="87">
                  <c:v>91.840374279622694</c:v>
                </c:pt>
                <c:pt idx="88">
                  <c:v>83.907862474878002</c:v>
                </c:pt>
                <c:pt idx="89">
                  <c:v>107.929186047388</c:v>
                </c:pt>
                <c:pt idx="90">
                  <c:v>99.384023085190805</c:v>
                </c:pt>
                <c:pt idx="91">
                  <c:v>101.707205067188</c:v>
                </c:pt>
                <c:pt idx="92">
                  <c:v>229.10692709444899</c:v>
                </c:pt>
                <c:pt idx="93">
                  <c:v>232.57126256002999</c:v>
                </c:pt>
                <c:pt idx="94">
                  <c:v>207.951069013032</c:v>
                </c:pt>
                <c:pt idx="95">
                  <c:v>201.912147395847</c:v>
                </c:pt>
                <c:pt idx="96">
                  <c:v>216.83784822465901</c:v>
                </c:pt>
                <c:pt idx="97">
                  <c:v>239.83818951229401</c:v>
                </c:pt>
                <c:pt idx="98">
                  <c:v>108.406567732551</c:v>
                </c:pt>
                <c:pt idx="99">
                  <c:v>147.597846695718</c:v>
                </c:pt>
                <c:pt idx="100">
                  <c:v>145.77306983311399</c:v>
                </c:pt>
                <c:pt idx="101">
                  <c:v>149.04596275442401</c:v>
                </c:pt>
                <c:pt idx="102">
                  <c:v>109.95836826644801</c:v>
                </c:pt>
                <c:pt idx="103">
                  <c:v>113.597346201185</c:v>
                </c:pt>
                <c:pt idx="104">
                  <c:v>111.44491244192299</c:v>
                </c:pt>
                <c:pt idx="105">
                  <c:v>104.44983041733801</c:v>
                </c:pt>
                <c:pt idx="106">
                  <c:v>107.2426674443</c:v>
                </c:pt>
                <c:pt idx="107">
                  <c:v>121.63353238507</c:v>
                </c:pt>
                <c:pt idx="108">
                  <c:v>122.96858675097501</c:v>
                </c:pt>
                <c:pt idx="109">
                  <c:v>118.309163453506</c:v>
                </c:pt>
                <c:pt idx="110">
                  <c:v>155.65232166401199</c:v>
                </c:pt>
                <c:pt idx="111">
                  <c:v>138.88738592377999</c:v>
                </c:pt>
                <c:pt idx="112">
                  <c:v>105.341122153198</c:v>
                </c:pt>
                <c:pt idx="113">
                  <c:v>104.829889155434</c:v>
                </c:pt>
                <c:pt idx="114">
                  <c:v>110.528354042399</c:v>
                </c:pt>
                <c:pt idx="115">
                  <c:v>118.828444120406</c:v>
                </c:pt>
                <c:pt idx="116">
                  <c:v>110.620030879094</c:v>
                </c:pt>
                <c:pt idx="117">
                  <c:v>102.206587217635</c:v>
                </c:pt>
                <c:pt idx="118">
                  <c:v>108.012998037451</c:v>
                </c:pt>
                <c:pt idx="119">
                  <c:v>87.262906988679603</c:v>
                </c:pt>
                <c:pt idx="120">
                  <c:v>73.954568246547694</c:v>
                </c:pt>
                <c:pt idx="121">
                  <c:v>94.994904606636894</c:v>
                </c:pt>
                <c:pt idx="122">
                  <c:v>96.283181917447806</c:v>
                </c:pt>
                <c:pt idx="123">
                  <c:v>101.179737157945</c:v>
                </c:pt>
                <c:pt idx="124">
                  <c:v>107.28231270793501</c:v>
                </c:pt>
                <c:pt idx="125">
                  <c:v>101.401152333902</c:v>
                </c:pt>
                <c:pt idx="126">
                  <c:v>111.964972358944</c:v>
                </c:pt>
                <c:pt idx="127">
                  <c:v>113.32967741665701</c:v>
                </c:pt>
                <c:pt idx="128">
                  <c:v>114.548673555289</c:v>
                </c:pt>
                <c:pt idx="129">
                  <c:v>114.994805065752</c:v>
                </c:pt>
                <c:pt idx="130">
                  <c:v>111.58928762215101</c:v>
                </c:pt>
                <c:pt idx="131">
                  <c:v>111.827333466426</c:v>
                </c:pt>
                <c:pt idx="132">
                  <c:v>110.54151056313501</c:v>
                </c:pt>
                <c:pt idx="133">
                  <c:v>111.899269443921</c:v>
                </c:pt>
                <c:pt idx="134">
                  <c:v>113.07324531099999</c:v>
                </c:pt>
                <c:pt idx="135">
                  <c:v>114.278819436028</c:v>
                </c:pt>
                <c:pt idx="136">
                  <c:v>96.246242253689303</c:v>
                </c:pt>
                <c:pt idx="137">
                  <c:v>82.135913034879295</c:v>
                </c:pt>
                <c:pt idx="138">
                  <c:v>69.481109317360904</c:v>
                </c:pt>
                <c:pt idx="139">
                  <c:v>102.56434967817501</c:v>
                </c:pt>
                <c:pt idx="140">
                  <c:v>100.667456200755</c:v>
                </c:pt>
                <c:pt idx="141">
                  <c:v>73.247976880995694</c:v>
                </c:pt>
                <c:pt idx="142">
                  <c:v>94.0706143081416</c:v>
                </c:pt>
                <c:pt idx="143">
                  <c:v>101.790323304403</c:v>
                </c:pt>
                <c:pt idx="144">
                  <c:v>95.037881947336103</c:v>
                </c:pt>
                <c:pt idx="145">
                  <c:v>77.648488168549306</c:v>
                </c:pt>
                <c:pt idx="146">
                  <c:v>98.781684027602296</c:v>
                </c:pt>
                <c:pt idx="147">
                  <c:v>95.905842263549204</c:v>
                </c:pt>
                <c:pt idx="148">
                  <c:v>92.078999786081198</c:v>
                </c:pt>
                <c:pt idx="149">
                  <c:v>89.461030782446898</c:v>
                </c:pt>
                <c:pt idx="150">
                  <c:v>80.740690013183993</c:v>
                </c:pt>
                <c:pt idx="151">
                  <c:v>113.117137848418</c:v>
                </c:pt>
                <c:pt idx="152">
                  <c:v>97.128526013573094</c:v>
                </c:pt>
                <c:pt idx="153">
                  <c:v>78.494205854245806</c:v>
                </c:pt>
                <c:pt idx="154">
                  <c:v>111.395132752191</c:v>
                </c:pt>
                <c:pt idx="155">
                  <c:v>103.223912136751</c:v>
                </c:pt>
                <c:pt idx="156">
                  <c:v>81.907898773545298</c:v>
                </c:pt>
                <c:pt idx="157">
                  <c:v>83.889175473007597</c:v>
                </c:pt>
                <c:pt idx="158">
                  <c:v>78.385578836297697</c:v>
                </c:pt>
                <c:pt idx="159">
                  <c:v>87.6185537726642</c:v>
                </c:pt>
                <c:pt idx="160">
                  <c:v>83.116621700818698</c:v>
                </c:pt>
                <c:pt idx="161">
                  <c:v>93.635113646716903</c:v>
                </c:pt>
                <c:pt idx="162">
                  <c:v>76.327000101634397</c:v>
                </c:pt>
                <c:pt idx="163">
                  <c:v>99.996800576414998</c:v>
                </c:pt>
                <c:pt idx="164">
                  <c:v>98.898591060966893</c:v>
                </c:pt>
                <c:pt idx="165">
                  <c:v>95.940547759131803</c:v>
                </c:pt>
                <c:pt idx="166">
                  <c:v>61.969968194743203</c:v>
                </c:pt>
                <c:pt idx="167">
                  <c:v>88.355312540244299</c:v>
                </c:pt>
                <c:pt idx="168">
                  <c:v>97.090280554980097</c:v>
                </c:pt>
                <c:pt idx="169">
                  <c:v>102.761419086864</c:v>
                </c:pt>
                <c:pt idx="170">
                  <c:v>98.280555730042906</c:v>
                </c:pt>
                <c:pt idx="171">
                  <c:v>97.392955916108406</c:v>
                </c:pt>
                <c:pt idx="172">
                  <c:v>105.808245846956</c:v>
                </c:pt>
                <c:pt idx="173">
                  <c:v>104.83637741642499</c:v>
                </c:pt>
                <c:pt idx="174">
                  <c:v>100.143560183231</c:v>
                </c:pt>
                <c:pt idx="175">
                  <c:v>106.015245771769</c:v>
                </c:pt>
                <c:pt idx="176">
                  <c:v>103.895286343922</c:v>
                </c:pt>
                <c:pt idx="177">
                  <c:v>73.539176697131794</c:v>
                </c:pt>
                <c:pt idx="178">
                  <c:v>89.731776351193702</c:v>
                </c:pt>
                <c:pt idx="179">
                  <c:v>87.026079121278201</c:v>
                </c:pt>
                <c:pt idx="180">
                  <c:v>103.957473304744</c:v>
                </c:pt>
                <c:pt idx="181">
                  <c:v>88.146943224192498</c:v>
                </c:pt>
                <c:pt idx="182">
                  <c:v>88.707034717196393</c:v>
                </c:pt>
                <c:pt idx="183">
                  <c:v>109.720541539829</c:v>
                </c:pt>
                <c:pt idx="184">
                  <c:v>110.57812180844</c:v>
                </c:pt>
                <c:pt idx="185">
                  <c:v>87.311934166671705</c:v>
                </c:pt>
                <c:pt idx="186">
                  <c:v>103.781643761819</c:v>
                </c:pt>
                <c:pt idx="187">
                  <c:v>102.827921278001</c:v>
                </c:pt>
                <c:pt idx="188">
                  <c:v>98.281375915916001</c:v>
                </c:pt>
                <c:pt idx="189">
                  <c:v>71.917517203438194</c:v>
                </c:pt>
                <c:pt idx="190">
                  <c:v>103.00551656076</c:v>
                </c:pt>
                <c:pt idx="191">
                  <c:v>103.54469047316201</c:v>
                </c:pt>
                <c:pt idx="192">
                  <c:v>109.24459455573999</c:v>
                </c:pt>
                <c:pt idx="193">
                  <c:v>88.337525487734993</c:v>
                </c:pt>
                <c:pt idx="194">
                  <c:v>107.7917482412</c:v>
                </c:pt>
                <c:pt idx="195">
                  <c:v>108.407269576555</c:v>
                </c:pt>
                <c:pt idx="196">
                  <c:v>110.655520244412</c:v>
                </c:pt>
                <c:pt idx="197">
                  <c:v>101.113862745822</c:v>
                </c:pt>
                <c:pt idx="198">
                  <c:v>106.499049960975</c:v>
                </c:pt>
                <c:pt idx="199">
                  <c:v>95.881310310212797</c:v>
                </c:pt>
                <c:pt idx="200">
                  <c:v>83.267558311304995</c:v>
                </c:pt>
                <c:pt idx="201">
                  <c:v>68.993804606620401</c:v>
                </c:pt>
                <c:pt idx="202">
                  <c:v>72.678455658580802</c:v>
                </c:pt>
                <c:pt idx="203">
                  <c:v>72.001779543219001</c:v>
                </c:pt>
                <c:pt idx="204">
                  <c:v>57.723049040981302</c:v>
                </c:pt>
                <c:pt idx="205">
                  <c:v>87.1241157330264</c:v>
                </c:pt>
                <c:pt idx="206">
                  <c:v>79.336369580903906</c:v>
                </c:pt>
                <c:pt idx="207">
                  <c:v>102.083670198265</c:v>
                </c:pt>
                <c:pt idx="208">
                  <c:v>69.034807166666297</c:v>
                </c:pt>
                <c:pt idx="209">
                  <c:v>132.137134577099</c:v>
                </c:pt>
                <c:pt idx="210">
                  <c:v>95.689596029531302</c:v>
                </c:pt>
                <c:pt idx="211">
                  <c:v>96.116444065796998</c:v>
                </c:pt>
                <c:pt idx="212">
                  <c:v>87.819162255421006</c:v>
                </c:pt>
                <c:pt idx="213">
                  <c:v>109.425459568246</c:v>
                </c:pt>
                <c:pt idx="214">
                  <c:v>108.537773271712</c:v>
                </c:pt>
                <c:pt idx="215">
                  <c:v>79.934562094707303</c:v>
                </c:pt>
                <c:pt idx="216">
                  <c:v>76.261527754256306</c:v>
                </c:pt>
                <c:pt idx="217">
                  <c:v>73.3306201112499</c:v>
                </c:pt>
                <c:pt idx="218">
                  <c:v>103.420362082903</c:v>
                </c:pt>
                <c:pt idx="219">
                  <c:v>80.798970216760907</c:v>
                </c:pt>
                <c:pt idx="220">
                  <c:v>79.004200784159394</c:v>
                </c:pt>
                <c:pt idx="221">
                  <c:v>109.890581125317</c:v>
                </c:pt>
                <c:pt idx="222">
                  <c:v>106.231865134564</c:v>
                </c:pt>
                <c:pt idx="223">
                  <c:v>81.302080903861295</c:v>
                </c:pt>
                <c:pt idx="224">
                  <c:v>112.155380643382</c:v>
                </c:pt>
                <c:pt idx="225">
                  <c:v>106.544223288381</c:v>
                </c:pt>
                <c:pt idx="226">
                  <c:v>120.624861540792</c:v>
                </c:pt>
                <c:pt idx="227">
                  <c:v>111.640757260447</c:v>
                </c:pt>
                <c:pt idx="228">
                  <c:v>112.280288888692</c:v>
                </c:pt>
                <c:pt idx="229">
                  <c:v>106.319894731029</c:v>
                </c:pt>
                <c:pt idx="230">
                  <c:v>91.954475028882101</c:v>
                </c:pt>
                <c:pt idx="231">
                  <c:v>112.67772155051</c:v>
                </c:pt>
                <c:pt idx="232">
                  <c:v>119.131575850822</c:v>
                </c:pt>
                <c:pt idx="233">
                  <c:v>108.799949606837</c:v>
                </c:pt>
                <c:pt idx="234">
                  <c:v>97.925690205456405</c:v>
                </c:pt>
                <c:pt idx="235">
                  <c:v>150.10024469843199</c:v>
                </c:pt>
                <c:pt idx="236">
                  <c:v>132.134733583116</c:v>
                </c:pt>
                <c:pt idx="237">
                  <c:v>110.77412479281401</c:v>
                </c:pt>
                <c:pt idx="238">
                  <c:v>108.803092686087</c:v>
                </c:pt>
                <c:pt idx="239">
                  <c:v>103.591433731778</c:v>
                </c:pt>
                <c:pt idx="240">
                  <c:v>103.191999832131</c:v>
                </c:pt>
                <c:pt idx="241">
                  <c:v>101.506805562423</c:v>
                </c:pt>
                <c:pt idx="242">
                  <c:v>102.513690198012</c:v>
                </c:pt>
                <c:pt idx="243">
                  <c:v>99.344322560490497</c:v>
                </c:pt>
                <c:pt idx="244">
                  <c:v>112.47117992362899</c:v>
                </c:pt>
                <c:pt idx="245">
                  <c:v>110.56890474157299</c:v>
                </c:pt>
                <c:pt idx="246">
                  <c:v>109.46611577093201</c:v>
                </c:pt>
                <c:pt idx="247">
                  <c:v>107.03172200071999</c:v>
                </c:pt>
                <c:pt idx="248">
                  <c:v>106.920031049298</c:v>
                </c:pt>
                <c:pt idx="249">
                  <c:v>104.11502678703</c:v>
                </c:pt>
                <c:pt idx="250">
                  <c:v>107.420691632008</c:v>
                </c:pt>
                <c:pt idx="251">
                  <c:v>101.589464915256</c:v>
                </c:pt>
                <c:pt idx="252">
                  <c:v>83.855088050108805</c:v>
                </c:pt>
                <c:pt idx="253">
                  <c:v>64.751067417833795</c:v>
                </c:pt>
                <c:pt idx="254">
                  <c:v>111.181570858938</c:v>
                </c:pt>
                <c:pt idx="255">
                  <c:v>119.61074807519999</c:v>
                </c:pt>
                <c:pt idx="256">
                  <c:v>105.035492392009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A12E-41D5-A12F-36DDE641B80E}"/>
            </c:ext>
          </c:extLst>
        </c:ser>
        <c:ser>
          <c:idx val="7"/>
          <c:order val="7"/>
          <c:tx>
            <c:strRef>
              <c:f>'20  feature-with Elky'!$F$37</c:f>
              <c:strCache>
                <c:ptCount val="1"/>
                <c:pt idx="0">
                  <c:v>(2)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  <c:pt idx="224">
                  <c:v>97</c:v>
                </c:pt>
                <c:pt idx="225">
                  <c:v>169</c:v>
                </c:pt>
                <c:pt idx="226">
                  <c:v>114</c:v>
                </c:pt>
                <c:pt idx="227">
                  <c:v>137</c:v>
                </c:pt>
                <c:pt idx="228">
                  <c:v>119</c:v>
                </c:pt>
                <c:pt idx="229">
                  <c:v>107</c:v>
                </c:pt>
                <c:pt idx="230">
                  <c:v>94</c:v>
                </c:pt>
                <c:pt idx="231">
                  <c:v>114</c:v>
                </c:pt>
                <c:pt idx="232">
                  <c:v>117</c:v>
                </c:pt>
                <c:pt idx="233">
                  <c:v>110</c:v>
                </c:pt>
                <c:pt idx="234">
                  <c:v>78</c:v>
                </c:pt>
                <c:pt idx="235">
                  <c:v>125</c:v>
                </c:pt>
                <c:pt idx="236">
                  <c:v>143</c:v>
                </c:pt>
                <c:pt idx="237">
                  <c:v>122</c:v>
                </c:pt>
                <c:pt idx="238">
                  <c:v>108</c:v>
                </c:pt>
                <c:pt idx="239">
                  <c:v>90</c:v>
                </c:pt>
                <c:pt idx="240">
                  <c:v>109</c:v>
                </c:pt>
                <c:pt idx="241">
                  <c:v>149</c:v>
                </c:pt>
                <c:pt idx="242">
                  <c:v>153</c:v>
                </c:pt>
                <c:pt idx="243">
                  <c:v>87</c:v>
                </c:pt>
                <c:pt idx="244">
                  <c:v>115</c:v>
                </c:pt>
                <c:pt idx="245">
                  <c:v>112</c:v>
                </c:pt>
                <c:pt idx="246">
                  <c:v>113</c:v>
                </c:pt>
                <c:pt idx="247">
                  <c:v>122</c:v>
                </c:pt>
                <c:pt idx="248">
                  <c:v>116</c:v>
                </c:pt>
                <c:pt idx="249">
                  <c:v>109</c:v>
                </c:pt>
                <c:pt idx="250">
                  <c:v>124</c:v>
                </c:pt>
                <c:pt idx="251">
                  <c:v>93</c:v>
                </c:pt>
                <c:pt idx="252">
                  <c:v>72</c:v>
                </c:pt>
                <c:pt idx="253">
                  <c:v>81</c:v>
                </c:pt>
                <c:pt idx="254">
                  <c:v>124</c:v>
                </c:pt>
                <c:pt idx="255">
                  <c:v>115</c:v>
                </c:pt>
                <c:pt idx="256">
                  <c:v>108</c:v>
                </c:pt>
              </c:numCache>
            </c:numRef>
          </c:xVal>
          <c:yVal>
            <c:numRef>
              <c:f>'20  feature-with Elky'!$F$38:$F$500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A12E-41D5-A12F-36DDE641B80E}"/>
            </c:ext>
          </c:extLst>
        </c:ser>
        <c:ser>
          <c:idx val="8"/>
          <c:order val="8"/>
          <c:tx>
            <c:strRef>
              <c:f>'20  feature-with Elky'!$G$37</c:f>
              <c:strCache>
                <c:ptCount val="1"/>
                <c:pt idx="0">
                  <c:v>(3)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  <c:pt idx="224">
                  <c:v>97</c:v>
                </c:pt>
                <c:pt idx="225">
                  <c:v>169</c:v>
                </c:pt>
                <c:pt idx="226">
                  <c:v>114</c:v>
                </c:pt>
                <c:pt idx="227">
                  <c:v>137</c:v>
                </c:pt>
                <c:pt idx="228">
                  <c:v>119</c:v>
                </c:pt>
                <c:pt idx="229">
                  <c:v>107</c:v>
                </c:pt>
                <c:pt idx="230">
                  <c:v>94</c:v>
                </c:pt>
                <c:pt idx="231">
                  <c:v>114</c:v>
                </c:pt>
                <c:pt idx="232">
                  <c:v>117</c:v>
                </c:pt>
                <c:pt idx="233">
                  <c:v>110</c:v>
                </c:pt>
                <c:pt idx="234">
                  <c:v>78</c:v>
                </c:pt>
                <c:pt idx="235">
                  <c:v>125</c:v>
                </c:pt>
                <c:pt idx="236">
                  <c:v>143</c:v>
                </c:pt>
                <c:pt idx="237">
                  <c:v>122</c:v>
                </c:pt>
                <c:pt idx="238">
                  <c:v>108</c:v>
                </c:pt>
                <c:pt idx="239">
                  <c:v>90</c:v>
                </c:pt>
                <c:pt idx="240">
                  <c:v>109</c:v>
                </c:pt>
                <c:pt idx="241">
                  <c:v>149</c:v>
                </c:pt>
                <c:pt idx="242">
                  <c:v>153</c:v>
                </c:pt>
                <c:pt idx="243">
                  <c:v>87</c:v>
                </c:pt>
                <c:pt idx="244">
                  <c:v>115</c:v>
                </c:pt>
                <c:pt idx="245">
                  <c:v>112</c:v>
                </c:pt>
                <c:pt idx="246">
                  <c:v>113</c:v>
                </c:pt>
                <c:pt idx="247">
                  <c:v>122</c:v>
                </c:pt>
                <c:pt idx="248">
                  <c:v>116</c:v>
                </c:pt>
                <c:pt idx="249">
                  <c:v>109</c:v>
                </c:pt>
                <c:pt idx="250">
                  <c:v>124</c:v>
                </c:pt>
                <c:pt idx="251">
                  <c:v>93</c:v>
                </c:pt>
                <c:pt idx="252">
                  <c:v>72</c:v>
                </c:pt>
                <c:pt idx="253">
                  <c:v>81</c:v>
                </c:pt>
                <c:pt idx="254">
                  <c:v>124</c:v>
                </c:pt>
                <c:pt idx="255">
                  <c:v>115</c:v>
                </c:pt>
                <c:pt idx="256">
                  <c:v>108</c:v>
                </c:pt>
              </c:numCache>
            </c:numRef>
          </c:xVal>
          <c:yVal>
            <c:numRef>
              <c:f>'20  feature-with Elky'!$G$38:$G$500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A12E-41D5-A12F-36DDE641B80E}"/>
            </c:ext>
          </c:extLst>
        </c:ser>
        <c:ser>
          <c:idx val="9"/>
          <c:order val="9"/>
          <c:tx>
            <c:strRef>
              <c:f>'20  feature-with Elky'!$H$37</c:f>
              <c:strCache>
                <c:ptCount val="1"/>
                <c:pt idx="0">
                  <c:v>(4)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  <c:pt idx="224">
                  <c:v>97</c:v>
                </c:pt>
                <c:pt idx="225">
                  <c:v>169</c:v>
                </c:pt>
                <c:pt idx="226">
                  <c:v>114</c:v>
                </c:pt>
                <c:pt idx="227">
                  <c:v>137</c:v>
                </c:pt>
                <c:pt idx="228">
                  <c:v>119</c:v>
                </c:pt>
                <c:pt idx="229">
                  <c:v>107</c:v>
                </c:pt>
                <c:pt idx="230">
                  <c:v>94</c:v>
                </c:pt>
                <c:pt idx="231">
                  <c:v>114</c:v>
                </c:pt>
                <c:pt idx="232">
                  <c:v>117</c:v>
                </c:pt>
                <c:pt idx="233">
                  <c:v>110</c:v>
                </c:pt>
                <c:pt idx="234">
                  <c:v>78</c:v>
                </c:pt>
                <c:pt idx="235">
                  <c:v>125</c:v>
                </c:pt>
                <c:pt idx="236">
                  <c:v>143</c:v>
                </c:pt>
                <c:pt idx="237">
                  <c:v>122</c:v>
                </c:pt>
                <c:pt idx="238">
                  <c:v>108</c:v>
                </c:pt>
                <c:pt idx="239">
                  <c:v>90</c:v>
                </c:pt>
                <c:pt idx="240">
                  <c:v>109</c:v>
                </c:pt>
                <c:pt idx="241">
                  <c:v>149</c:v>
                </c:pt>
                <c:pt idx="242">
                  <c:v>153</c:v>
                </c:pt>
                <c:pt idx="243">
                  <c:v>87</c:v>
                </c:pt>
                <c:pt idx="244">
                  <c:v>115</c:v>
                </c:pt>
                <c:pt idx="245">
                  <c:v>112</c:v>
                </c:pt>
                <c:pt idx="246">
                  <c:v>113</c:v>
                </c:pt>
                <c:pt idx="247">
                  <c:v>122</c:v>
                </c:pt>
                <c:pt idx="248">
                  <c:v>116</c:v>
                </c:pt>
                <c:pt idx="249">
                  <c:v>109</c:v>
                </c:pt>
                <c:pt idx="250">
                  <c:v>124</c:v>
                </c:pt>
                <c:pt idx="251">
                  <c:v>93</c:v>
                </c:pt>
                <c:pt idx="252">
                  <c:v>72</c:v>
                </c:pt>
                <c:pt idx="253">
                  <c:v>81</c:v>
                </c:pt>
                <c:pt idx="254">
                  <c:v>124</c:v>
                </c:pt>
                <c:pt idx="255">
                  <c:v>115</c:v>
                </c:pt>
                <c:pt idx="256">
                  <c:v>108</c:v>
                </c:pt>
              </c:numCache>
            </c:numRef>
          </c:xVal>
          <c:yVal>
            <c:numRef>
              <c:f>'20  feature-with Elky'!$H$38:$H$500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A12E-41D5-A12F-36DDE641B80E}"/>
            </c:ext>
          </c:extLst>
        </c:ser>
        <c:ser>
          <c:idx val="10"/>
          <c:order val="10"/>
          <c:tx>
            <c:strRef>
              <c:f>'20  feature-with Elky'!$I$37</c:f>
              <c:strCache>
                <c:ptCount val="1"/>
                <c:pt idx="0">
                  <c:v>(5)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  <c:pt idx="224">
                  <c:v>97</c:v>
                </c:pt>
                <c:pt idx="225">
                  <c:v>169</c:v>
                </c:pt>
                <c:pt idx="226">
                  <c:v>114</c:v>
                </c:pt>
                <c:pt idx="227">
                  <c:v>137</c:v>
                </c:pt>
                <c:pt idx="228">
                  <c:v>119</c:v>
                </c:pt>
                <c:pt idx="229">
                  <c:v>107</c:v>
                </c:pt>
                <c:pt idx="230">
                  <c:v>94</c:v>
                </c:pt>
                <c:pt idx="231">
                  <c:v>114</c:v>
                </c:pt>
                <c:pt idx="232">
                  <c:v>117</c:v>
                </c:pt>
                <c:pt idx="233">
                  <c:v>110</c:v>
                </c:pt>
                <c:pt idx="234">
                  <c:v>78</c:v>
                </c:pt>
                <c:pt idx="235">
                  <c:v>125</c:v>
                </c:pt>
                <c:pt idx="236">
                  <c:v>143</c:v>
                </c:pt>
                <c:pt idx="237">
                  <c:v>122</c:v>
                </c:pt>
                <c:pt idx="238">
                  <c:v>108</c:v>
                </c:pt>
                <c:pt idx="239">
                  <c:v>90</c:v>
                </c:pt>
                <c:pt idx="240">
                  <c:v>109</c:v>
                </c:pt>
                <c:pt idx="241">
                  <c:v>149</c:v>
                </c:pt>
                <c:pt idx="242">
                  <c:v>153</c:v>
                </c:pt>
                <c:pt idx="243">
                  <c:v>87</c:v>
                </c:pt>
                <c:pt idx="244">
                  <c:v>115</c:v>
                </c:pt>
                <c:pt idx="245">
                  <c:v>112</c:v>
                </c:pt>
                <c:pt idx="246">
                  <c:v>113</c:v>
                </c:pt>
                <c:pt idx="247">
                  <c:v>122</c:v>
                </c:pt>
                <c:pt idx="248">
                  <c:v>116</c:v>
                </c:pt>
                <c:pt idx="249">
                  <c:v>109</c:v>
                </c:pt>
                <c:pt idx="250">
                  <c:v>124</c:v>
                </c:pt>
                <c:pt idx="251">
                  <c:v>93</c:v>
                </c:pt>
                <c:pt idx="252">
                  <c:v>72</c:v>
                </c:pt>
                <c:pt idx="253">
                  <c:v>81</c:v>
                </c:pt>
                <c:pt idx="254">
                  <c:v>124</c:v>
                </c:pt>
                <c:pt idx="255">
                  <c:v>115</c:v>
                </c:pt>
                <c:pt idx="256">
                  <c:v>108</c:v>
                </c:pt>
              </c:numCache>
            </c:numRef>
          </c:xVal>
          <c:yVal>
            <c:numRef>
              <c:f>'20  feature-with Elky'!$I$38:$I$500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12E-41D5-A12F-36DDE641B80E}"/>
            </c:ext>
          </c:extLst>
        </c:ser>
        <c:ser>
          <c:idx val="11"/>
          <c:order val="11"/>
          <c:tx>
            <c:strRef>
              <c:f>'20  feature-with Elky'!$J$37</c:f>
              <c:strCache>
                <c:ptCount val="1"/>
                <c:pt idx="0">
                  <c:v>(6)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  <c:pt idx="224">
                  <c:v>97</c:v>
                </c:pt>
                <c:pt idx="225">
                  <c:v>169</c:v>
                </c:pt>
                <c:pt idx="226">
                  <c:v>114</c:v>
                </c:pt>
                <c:pt idx="227">
                  <c:v>137</c:v>
                </c:pt>
                <c:pt idx="228">
                  <c:v>119</c:v>
                </c:pt>
                <c:pt idx="229">
                  <c:v>107</c:v>
                </c:pt>
                <c:pt idx="230">
                  <c:v>94</c:v>
                </c:pt>
                <c:pt idx="231">
                  <c:v>114</c:v>
                </c:pt>
                <c:pt idx="232">
                  <c:v>117</c:v>
                </c:pt>
                <c:pt idx="233">
                  <c:v>110</c:v>
                </c:pt>
                <c:pt idx="234">
                  <c:v>78</c:v>
                </c:pt>
                <c:pt idx="235">
                  <c:v>125</c:v>
                </c:pt>
                <c:pt idx="236">
                  <c:v>143</c:v>
                </c:pt>
                <c:pt idx="237">
                  <c:v>122</c:v>
                </c:pt>
                <c:pt idx="238">
                  <c:v>108</c:v>
                </c:pt>
                <c:pt idx="239">
                  <c:v>90</c:v>
                </c:pt>
                <c:pt idx="240">
                  <c:v>109</c:v>
                </c:pt>
                <c:pt idx="241">
                  <c:v>149</c:v>
                </c:pt>
                <c:pt idx="242">
                  <c:v>153</c:v>
                </c:pt>
                <c:pt idx="243">
                  <c:v>87</c:v>
                </c:pt>
                <c:pt idx="244">
                  <c:v>115</c:v>
                </c:pt>
                <c:pt idx="245">
                  <c:v>112</c:v>
                </c:pt>
                <c:pt idx="246">
                  <c:v>113</c:v>
                </c:pt>
                <c:pt idx="247">
                  <c:v>122</c:v>
                </c:pt>
                <c:pt idx="248">
                  <c:v>116</c:v>
                </c:pt>
                <c:pt idx="249">
                  <c:v>109</c:v>
                </c:pt>
                <c:pt idx="250">
                  <c:v>124</c:v>
                </c:pt>
                <c:pt idx="251">
                  <c:v>93</c:v>
                </c:pt>
                <c:pt idx="252">
                  <c:v>72</c:v>
                </c:pt>
                <c:pt idx="253">
                  <c:v>81</c:v>
                </c:pt>
                <c:pt idx="254">
                  <c:v>124</c:v>
                </c:pt>
                <c:pt idx="255">
                  <c:v>115</c:v>
                </c:pt>
                <c:pt idx="256">
                  <c:v>108</c:v>
                </c:pt>
              </c:numCache>
            </c:numRef>
          </c:xVal>
          <c:yVal>
            <c:numRef>
              <c:f>'20  feature-with Elky'!$J$38:$J$500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12E-41D5-A12F-36DDE641B80E}"/>
            </c:ext>
          </c:extLst>
        </c:ser>
        <c:ser>
          <c:idx val="12"/>
          <c:order val="12"/>
          <c:tx>
            <c:strRef>
              <c:f>'20  feature-with Elky'!$K$37</c:f>
              <c:strCache>
                <c:ptCount val="1"/>
                <c:pt idx="0">
                  <c:v>(7)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  <c:pt idx="224">
                  <c:v>97</c:v>
                </c:pt>
                <c:pt idx="225">
                  <c:v>169</c:v>
                </c:pt>
                <c:pt idx="226">
                  <c:v>114</c:v>
                </c:pt>
                <c:pt idx="227">
                  <c:v>137</c:v>
                </c:pt>
                <c:pt idx="228">
                  <c:v>119</c:v>
                </c:pt>
                <c:pt idx="229">
                  <c:v>107</c:v>
                </c:pt>
                <c:pt idx="230">
                  <c:v>94</c:v>
                </c:pt>
                <c:pt idx="231">
                  <c:v>114</c:v>
                </c:pt>
                <c:pt idx="232">
                  <c:v>117</c:v>
                </c:pt>
                <c:pt idx="233">
                  <c:v>110</c:v>
                </c:pt>
                <c:pt idx="234">
                  <c:v>78</c:v>
                </c:pt>
                <c:pt idx="235">
                  <c:v>125</c:v>
                </c:pt>
                <c:pt idx="236">
                  <c:v>143</c:v>
                </c:pt>
                <c:pt idx="237">
                  <c:v>122</c:v>
                </c:pt>
                <c:pt idx="238">
                  <c:v>108</c:v>
                </c:pt>
                <c:pt idx="239">
                  <c:v>90</c:v>
                </c:pt>
                <c:pt idx="240">
                  <c:v>109</c:v>
                </c:pt>
                <c:pt idx="241">
                  <c:v>149</c:v>
                </c:pt>
                <c:pt idx="242">
                  <c:v>153</c:v>
                </c:pt>
                <c:pt idx="243">
                  <c:v>87</c:v>
                </c:pt>
                <c:pt idx="244">
                  <c:v>115</c:v>
                </c:pt>
                <c:pt idx="245">
                  <c:v>112</c:v>
                </c:pt>
                <c:pt idx="246">
                  <c:v>113</c:v>
                </c:pt>
                <c:pt idx="247">
                  <c:v>122</c:v>
                </c:pt>
                <c:pt idx="248">
                  <c:v>116</c:v>
                </c:pt>
                <c:pt idx="249">
                  <c:v>109</c:v>
                </c:pt>
                <c:pt idx="250">
                  <c:v>124</c:v>
                </c:pt>
                <c:pt idx="251">
                  <c:v>93</c:v>
                </c:pt>
                <c:pt idx="252">
                  <c:v>72</c:v>
                </c:pt>
                <c:pt idx="253">
                  <c:v>81</c:v>
                </c:pt>
                <c:pt idx="254">
                  <c:v>124</c:v>
                </c:pt>
                <c:pt idx="255">
                  <c:v>115</c:v>
                </c:pt>
                <c:pt idx="256">
                  <c:v>108</c:v>
                </c:pt>
              </c:numCache>
            </c:numRef>
          </c:xVal>
          <c:yVal>
            <c:numRef>
              <c:f>'20  feature-with Elky'!$K$38:$K$500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12E-41D5-A12F-36DDE641B80E}"/>
            </c:ext>
          </c:extLst>
        </c:ser>
        <c:ser>
          <c:idx val="13"/>
          <c:order val="13"/>
          <c:tx>
            <c:strRef>
              <c:f>'20  feature-with Elky'!$L$37</c:f>
              <c:strCache>
                <c:ptCount val="1"/>
                <c:pt idx="0">
                  <c:v>(8)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  <c:pt idx="224">
                  <c:v>97</c:v>
                </c:pt>
                <c:pt idx="225">
                  <c:v>169</c:v>
                </c:pt>
                <c:pt idx="226">
                  <c:v>114</c:v>
                </c:pt>
                <c:pt idx="227">
                  <c:v>137</c:v>
                </c:pt>
                <c:pt idx="228">
                  <c:v>119</c:v>
                </c:pt>
                <c:pt idx="229">
                  <c:v>107</c:v>
                </c:pt>
                <c:pt idx="230">
                  <c:v>94</c:v>
                </c:pt>
                <c:pt idx="231">
                  <c:v>114</c:v>
                </c:pt>
                <c:pt idx="232">
                  <c:v>117</c:v>
                </c:pt>
                <c:pt idx="233">
                  <c:v>110</c:v>
                </c:pt>
                <c:pt idx="234">
                  <c:v>78</c:v>
                </c:pt>
                <c:pt idx="235">
                  <c:v>125</c:v>
                </c:pt>
                <c:pt idx="236">
                  <c:v>143</c:v>
                </c:pt>
                <c:pt idx="237">
                  <c:v>122</c:v>
                </c:pt>
                <c:pt idx="238">
                  <c:v>108</c:v>
                </c:pt>
                <c:pt idx="239">
                  <c:v>90</c:v>
                </c:pt>
                <c:pt idx="240">
                  <c:v>109</c:v>
                </c:pt>
                <c:pt idx="241">
                  <c:v>149</c:v>
                </c:pt>
                <c:pt idx="242">
                  <c:v>153</c:v>
                </c:pt>
                <c:pt idx="243">
                  <c:v>87</c:v>
                </c:pt>
                <c:pt idx="244">
                  <c:v>115</c:v>
                </c:pt>
                <c:pt idx="245">
                  <c:v>112</c:v>
                </c:pt>
                <c:pt idx="246">
                  <c:v>113</c:v>
                </c:pt>
                <c:pt idx="247">
                  <c:v>122</c:v>
                </c:pt>
                <c:pt idx="248">
                  <c:v>116</c:v>
                </c:pt>
                <c:pt idx="249">
                  <c:v>109</c:v>
                </c:pt>
                <c:pt idx="250">
                  <c:v>124</c:v>
                </c:pt>
                <c:pt idx="251">
                  <c:v>93</c:v>
                </c:pt>
                <c:pt idx="252">
                  <c:v>72</c:v>
                </c:pt>
                <c:pt idx="253">
                  <c:v>81</c:v>
                </c:pt>
                <c:pt idx="254">
                  <c:v>124</c:v>
                </c:pt>
                <c:pt idx="255">
                  <c:v>115</c:v>
                </c:pt>
                <c:pt idx="256">
                  <c:v>108</c:v>
                </c:pt>
              </c:numCache>
            </c:numRef>
          </c:xVal>
          <c:yVal>
            <c:numRef>
              <c:f>'20  feature-with Elky'!$L$38:$L$500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12E-41D5-A12F-36DDE641B80E}"/>
            </c:ext>
          </c:extLst>
        </c:ser>
        <c:ser>
          <c:idx val="14"/>
          <c:order val="14"/>
          <c:tx>
            <c:strRef>
              <c:f>'20  feature-with Elky'!$M$37</c:f>
              <c:strCache>
                <c:ptCount val="1"/>
                <c:pt idx="0">
                  <c:v>(9)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  <c:pt idx="224">
                  <c:v>97</c:v>
                </c:pt>
                <c:pt idx="225">
                  <c:v>169</c:v>
                </c:pt>
                <c:pt idx="226">
                  <c:v>114</c:v>
                </c:pt>
                <c:pt idx="227">
                  <c:v>137</c:v>
                </c:pt>
                <c:pt idx="228">
                  <c:v>119</c:v>
                </c:pt>
                <c:pt idx="229">
                  <c:v>107</c:v>
                </c:pt>
                <c:pt idx="230">
                  <c:v>94</c:v>
                </c:pt>
                <c:pt idx="231">
                  <c:v>114</c:v>
                </c:pt>
                <c:pt idx="232">
                  <c:v>117</c:v>
                </c:pt>
                <c:pt idx="233">
                  <c:v>110</c:v>
                </c:pt>
                <c:pt idx="234">
                  <c:v>78</c:v>
                </c:pt>
                <c:pt idx="235">
                  <c:v>125</c:v>
                </c:pt>
                <c:pt idx="236">
                  <c:v>143</c:v>
                </c:pt>
                <c:pt idx="237">
                  <c:v>122</c:v>
                </c:pt>
                <c:pt idx="238">
                  <c:v>108</c:v>
                </c:pt>
                <c:pt idx="239">
                  <c:v>90</c:v>
                </c:pt>
                <c:pt idx="240">
                  <c:v>109</c:v>
                </c:pt>
                <c:pt idx="241">
                  <c:v>149</c:v>
                </c:pt>
                <c:pt idx="242">
                  <c:v>153</c:v>
                </c:pt>
                <c:pt idx="243">
                  <c:v>87</c:v>
                </c:pt>
                <c:pt idx="244">
                  <c:v>115</c:v>
                </c:pt>
                <c:pt idx="245">
                  <c:v>112</c:v>
                </c:pt>
                <c:pt idx="246">
                  <c:v>113</c:v>
                </c:pt>
                <c:pt idx="247">
                  <c:v>122</c:v>
                </c:pt>
                <c:pt idx="248">
                  <c:v>116</c:v>
                </c:pt>
                <c:pt idx="249">
                  <c:v>109</c:v>
                </c:pt>
                <c:pt idx="250">
                  <c:v>124</c:v>
                </c:pt>
                <c:pt idx="251">
                  <c:v>93</c:v>
                </c:pt>
                <c:pt idx="252">
                  <c:v>72</c:v>
                </c:pt>
                <c:pt idx="253">
                  <c:v>81</c:v>
                </c:pt>
                <c:pt idx="254">
                  <c:v>124</c:v>
                </c:pt>
                <c:pt idx="255">
                  <c:v>115</c:v>
                </c:pt>
                <c:pt idx="256">
                  <c:v>108</c:v>
                </c:pt>
              </c:numCache>
            </c:numRef>
          </c:xVal>
          <c:yVal>
            <c:numRef>
              <c:f>'20  feature-with Elky'!$M$38:$M$500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12E-41D5-A12F-36DDE641B80E}"/>
            </c:ext>
          </c:extLst>
        </c:ser>
        <c:ser>
          <c:idx val="15"/>
          <c:order val="15"/>
          <c:tx>
            <c:strRef>
              <c:f>'20  feature-with Elky'!$N$37</c:f>
              <c:strCache>
                <c:ptCount val="1"/>
                <c:pt idx="0">
                  <c:v>(10)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  <c:pt idx="224">
                  <c:v>97</c:v>
                </c:pt>
                <c:pt idx="225">
                  <c:v>169</c:v>
                </c:pt>
                <c:pt idx="226">
                  <c:v>114</c:v>
                </c:pt>
                <c:pt idx="227">
                  <c:v>137</c:v>
                </c:pt>
                <c:pt idx="228">
                  <c:v>119</c:v>
                </c:pt>
                <c:pt idx="229">
                  <c:v>107</c:v>
                </c:pt>
                <c:pt idx="230">
                  <c:v>94</c:v>
                </c:pt>
                <c:pt idx="231">
                  <c:v>114</c:v>
                </c:pt>
                <c:pt idx="232">
                  <c:v>117</c:v>
                </c:pt>
                <c:pt idx="233">
                  <c:v>110</c:v>
                </c:pt>
                <c:pt idx="234">
                  <c:v>78</c:v>
                </c:pt>
                <c:pt idx="235">
                  <c:v>125</c:v>
                </c:pt>
                <c:pt idx="236">
                  <c:v>143</c:v>
                </c:pt>
                <c:pt idx="237">
                  <c:v>122</c:v>
                </c:pt>
                <c:pt idx="238">
                  <c:v>108</c:v>
                </c:pt>
                <c:pt idx="239">
                  <c:v>90</c:v>
                </c:pt>
                <c:pt idx="240">
                  <c:v>109</c:v>
                </c:pt>
                <c:pt idx="241">
                  <c:v>149</c:v>
                </c:pt>
                <c:pt idx="242">
                  <c:v>153</c:v>
                </c:pt>
                <c:pt idx="243">
                  <c:v>87</c:v>
                </c:pt>
                <c:pt idx="244">
                  <c:v>115</c:v>
                </c:pt>
                <c:pt idx="245">
                  <c:v>112</c:v>
                </c:pt>
                <c:pt idx="246">
                  <c:v>113</c:v>
                </c:pt>
                <c:pt idx="247">
                  <c:v>122</c:v>
                </c:pt>
                <c:pt idx="248">
                  <c:v>116</c:v>
                </c:pt>
                <c:pt idx="249">
                  <c:v>109</c:v>
                </c:pt>
                <c:pt idx="250">
                  <c:v>124</c:v>
                </c:pt>
                <c:pt idx="251">
                  <c:v>93</c:v>
                </c:pt>
                <c:pt idx="252">
                  <c:v>72</c:v>
                </c:pt>
                <c:pt idx="253">
                  <c:v>81</c:v>
                </c:pt>
                <c:pt idx="254">
                  <c:v>124</c:v>
                </c:pt>
                <c:pt idx="255">
                  <c:v>115</c:v>
                </c:pt>
                <c:pt idx="256">
                  <c:v>108</c:v>
                </c:pt>
              </c:numCache>
            </c:numRef>
          </c:xVal>
          <c:yVal>
            <c:numRef>
              <c:f>'20  feature-with Elky'!$N$38:$N$500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12E-41D5-A12F-36DDE641B80E}"/>
            </c:ext>
          </c:extLst>
        </c:ser>
        <c:ser>
          <c:idx val="16"/>
          <c:order val="16"/>
          <c:tx>
            <c:strRef>
              <c:f>'20  feature-with Elky'!$O$37</c:f>
              <c:strCache>
                <c:ptCount val="1"/>
                <c:pt idx="0">
                  <c:v>(11)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  <c:pt idx="224">
                  <c:v>97</c:v>
                </c:pt>
                <c:pt idx="225">
                  <c:v>169</c:v>
                </c:pt>
                <c:pt idx="226">
                  <c:v>114</c:v>
                </c:pt>
                <c:pt idx="227">
                  <c:v>137</c:v>
                </c:pt>
                <c:pt idx="228">
                  <c:v>119</c:v>
                </c:pt>
                <c:pt idx="229">
                  <c:v>107</c:v>
                </c:pt>
                <c:pt idx="230">
                  <c:v>94</c:v>
                </c:pt>
                <c:pt idx="231">
                  <c:v>114</c:v>
                </c:pt>
                <c:pt idx="232">
                  <c:v>117</c:v>
                </c:pt>
                <c:pt idx="233">
                  <c:v>110</c:v>
                </c:pt>
                <c:pt idx="234">
                  <c:v>78</c:v>
                </c:pt>
                <c:pt idx="235">
                  <c:v>125</c:v>
                </c:pt>
                <c:pt idx="236">
                  <c:v>143</c:v>
                </c:pt>
                <c:pt idx="237">
                  <c:v>122</c:v>
                </c:pt>
                <c:pt idx="238">
                  <c:v>108</c:v>
                </c:pt>
                <c:pt idx="239">
                  <c:v>90</c:v>
                </c:pt>
                <c:pt idx="240">
                  <c:v>109</c:v>
                </c:pt>
                <c:pt idx="241">
                  <c:v>149</c:v>
                </c:pt>
                <c:pt idx="242">
                  <c:v>153</c:v>
                </c:pt>
                <c:pt idx="243">
                  <c:v>87</c:v>
                </c:pt>
                <c:pt idx="244">
                  <c:v>115</c:v>
                </c:pt>
                <c:pt idx="245">
                  <c:v>112</c:v>
                </c:pt>
                <c:pt idx="246">
                  <c:v>113</c:v>
                </c:pt>
                <c:pt idx="247">
                  <c:v>122</c:v>
                </c:pt>
                <c:pt idx="248">
                  <c:v>116</c:v>
                </c:pt>
                <c:pt idx="249">
                  <c:v>109</c:v>
                </c:pt>
                <c:pt idx="250">
                  <c:v>124</c:v>
                </c:pt>
                <c:pt idx="251">
                  <c:v>93</c:v>
                </c:pt>
                <c:pt idx="252">
                  <c:v>72</c:v>
                </c:pt>
                <c:pt idx="253">
                  <c:v>81</c:v>
                </c:pt>
                <c:pt idx="254">
                  <c:v>124</c:v>
                </c:pt>
                <c:pt idx="255">
                  <c:v>115</c:v>
                </c:pt>
                <c:pt idx="256">
                  <c:v>108</c:v>
                </c:pt>
              </c:numCache>
            </c:numRef>
          </c:xVal>
          <c:yVal>
            <c:numRef>
              <c:f>'20  feature-with Elky'!$O$38:$O$500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12E-41D5-A12F-36DDE641B80E}"/>
            </c:ext>
          </c:extLst>
        </c:ser>
        <c:ser>
          <c:idx val="17"/>
          <c:order val="17"/>
          <c:tx>
            <c:strRef>
              <c:f>'20  feature-with Elky'!$P$37</c:f>
              <c:strCache>
                <c:ptCount val="1"/>
                <c:pt idx="0">
                  <c:v>(12)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  <c:pt idx="224">
                  <c:v>97</c:v>
                </c:pt>
                <c:pt idx="225">
                  <c:v>169</c:v>
                </c:pt>
                <c:pt idx="226">
                  <c:v>114</c:v>
                </c:pt>
                <c:pt idx="227">
                  <c:v>137</c:v>
                </c:pt>
                <c:pt idx="228">
                  <c:v>119</c:v>
                </c:pt>
                <c:pt idx="229">
                  <c:v>107</c:v>
                </c:pt>
                <c:pt idx="230">
                  <c:v>94</c:v>
                </c:pt>
                <c:pt idx="231">
                  <c:v>114</c:v>
                </c:pt>
                <c:pt idx="232">
                  <c:v>117</c:v>
                </c:pt>
                <c:pt idx="233">
                  <c:v>110</c:v>
                </c:pt>
                <c:pt idx="234">
                  <c:v>78</c:v>
                </c:pt>
                <c:pt idx="235">
                  <c:v>125</c:v>
                </c:pt>
                <c:pt idx="236">
                  <c:v>143</c:v>
                </c:pt>
                <c:pt idx="237">
                  <c:v>122</c:v>
                </c:pt>
                <c:pt idx="238">
                  <c:v>108</c:v>
                </c:pt>
                <c:pt idx="239">
                  <c:v>90</c:v>
                </c:pt>
                <c:pt idx="240">
                  <c:v>109</c:v>
                </c:pt>
                <c:pt idx="241">
                  <c:v>149</c:v>
                </c:pt>
                <c:pt idx="242">
                  <c:v>153</c:v>
                </c:pt>
                <c:pt idx="243">
                  <c:v>87</c:v>
                </c:pt>
                <c:pt idx="244">
                  <c:v>115</c:v>
                </c:pt>
                <c:pt idx="245">
                  <c:v>112</c:v>
                </c:pt>
                <c:pt idx="246">
                  <c:v>113</c:v>
                </c:pt>
                <c:pt idx="247">
                  <c:v>122</c:v>
                </c:pt>
                <c:pt idx="248">
                  <c:v>116</c:v>
                </c:pt>
                <c:pt idx="249">
                  <c:v>109</c:v>
                </c:pt>
                <c:pt idx="250">
                  <c:v>124</c:v>
                </c:pt>
                <c:pt idx="251">
                  <c:v>93</c:v>
                </c:pt>
                <c:pt idx="252">
                  <c:v>72</c:v>
                </c:pt>
                <c:pt idx="253">
                  <c:v>81</c:v>
                </c:pt>
                <c:pt idx="254">
                  <c:v>124</c:v>
                </c:pt>
                <c:pt idx="255">
                  <c:v>115</c:v>
                </c:pt>
                <c:pt idx="256">
                  <c:v>108</c:v>
                </c:pt>
              </c:numCache>
            </c:numRef>
          </c:xVal>
          <c:yVal>
            <c:numRef>
              <c:f>'20  feature-with Elky'!$P$38:$P$500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12E-41D5-A12F-36DDE641B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Commercial Glucose Meter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85843904845946"/>
          <c:y val="3.6701493872255471E-2"/>
          <c:w val="0.81924254043858213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C66-4193-A33C-308236D16DD6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FC66-4193-A33C-308236D16DD6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FC66-4193-A33C-308236D16DD6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C66-4193-A33C-308236D16DD6}"/>
              </c:ext>
            </c:extLst>
          </c:dPt>
          <c:dPt>
            <c:idx val="6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FC66-4193-A33C-308236D16DD6}"/>
              </c:ext>
            </c:extLst>
          </c:dPt>
          <c:dPt>
            <c:idx val="7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FC66-4193-A33C-308236D16DD6}"/>
              </c:ext>
            </c:extLst>
          </c:dPt>
          <c:dPt>
            <c:idx val="8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FC66-4193-A33C-308236D16DD6}"/>
              </c:ext>
            </c:extLst>
          </c:dPt>
          <c:dPt>
            <c:idx val="9"/>
            <c:bubble3D val="0"/>
            <c:spPr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FC66-4193-A33C-308236D16DD6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C66-4193-A33C-308236D16DD6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FC66-4193-A33C-308236D16DD6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FC66-4193-A33C-308236D16DD6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FC66-4193-A33C-308236D16DD6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FC66-4193-A33C-308236D16DD6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FC66-4193-A33C-308236D16DD6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FC66-4193-A33C-308236D16DD6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FC66-4193-A33C-308236D16DD6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C66-4193-A33C-308236D16DD6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FC66-4193-A33C-308236D16DD6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FC66-4193-A33C-308236D16DD6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FC66-4193-A33C-308236D16DD6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FC66-4193-A33C-308236D16DD6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FC66-4193-A33C-308236D16DD6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FC66-4193-A33C-308236D16DD6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C66-4193-A33C-308236D16DD6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FC66-4193-A33C-308236D16DD6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FC66-4193-A33C-308236D16DD6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C66-4193-A33C-308236D16DD6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C66-4193-A33C-308236D16DD6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FC66-4193-A33C-308236D16DD6}"/>
            </c:ext>
          </c:extLst>
        </c:ser>
        <c:ser>
          <c:idx val="6"/>
          <c:order val="6"/>
          <c:tx>
            <c:strRef>
              <c:f>'20  feature-with Elky (2)'!$E$37</c:f>
              <c:strCache>
                <c:ptCount val="1"/>
                <c:pt idx="0">
                  <c:v>(1)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'20  feature-with Elky (2)'!$D$38:$D$500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  <c:pt idx="224">
                  <c:v>97</c:v>
                </c:pt>
                <c:pt idx="225">
                  <c:v>169</c:v>
                </c:pt>
                <c:pt idx="226">
                  <c:v>114</c:v>
                </c:pt>
                <c:pt idx="227">
                  <c:v>137</c:v>
                </c:pt>
                <c:pt idx="228">
                  <c:v>119</c:v>
                </c:pt>
                <c:pt idx="229">
                  <c:v>107</c:v>
                </c:pt>
                <c:pt idx="230">
                  <c:v>94</c:v>
                </c:pt>
                <c:pt idx="231">
                  <c:v>114</c:v>
                </c:pt>
                <c:pt idx="232">
                  <c:v>117</c:v>
                </c:pt>
                <c:pt idx="233">
                  <c:v>110</c:v>
                </c:pt>
                <c:pt idx="234">
                  <c:v>78</c:v>
                </c:pt>
                <c:pt idx="235">
                  <c:v>125</c:v>
                </c:pt>
                <c:pt idx="236">
                  <c:v>143</c:v>
                </c:pt>
                <c:pt idx="237">
                  <c:v>122</c:v>
                </c:pt>
                <c:pt idx="238">
                  <c:v>108</c:v>
                </c:pt>
                <c:pt idx="239">
                  <c:v>90</c:v>
                </c:pt>
                <c:pt idx="240">
                  <c:v>109</c:v>
                </c:pt>
                <c:pt idx="241">
                  <c:v>149</c:v>
                </c:pt>
                <c:pt idx="242">
                  <c:v>153</c:v>
                </c:pt>
                <c:pt idx="243">
                  <c:v>87</c:v>
                </c:pt>
                <c:pt idx="244">
                  <c:v>115</c:v>
                </c:pt>
                <c:pt idx="245">
                  <c:v>112</c:v>
                </c:pt>
                <c:pt idx="246">
                  <c:v>113</c:v>
                </c:pt>
                <c:pt idx="247">
                  <c:v>122</c:v>
                </c:pt>
                <c:pt idx="248">
                  <c:v>116</c:v>
                </c:pt>
                <c:pt idx="249">
                  <c:v>109</c:v>
                </c:pt>
                <c:pt idx="250">
                  <c:v>124</c:v>
                </c:pt>
                <c:pt idx="251">
                  <c:v>93</c:v>
                </c:pt>
                <c:pt idx="252">
                  <c:v>72</c:v>
                </c:pt>
                <c:pt idx="253">
                  <c:v>81</c:v>
                </c:pt>
                <c:pt idx="254">
                  <c:v>124</c:v>
                </c:pt>
                <c:pt idx="255">
                  <c:v>115</c:v>
                </c:pt>
                <c:pt idx="256">
                  <c:v>108</c:v>
                </c:pt>
              </c:numCache>
            </c:numRef>
          </c:xVal>
          <c:yVal>
            <c:numRef>
              <c:f>'20  feature-with Elky (2)'!$E$38:$E$500</c:f>
              <c:numCache>
                <c:formatCode>General</c:formatCode>
                <c:ptCount val="463"/>
                <c:pt idx="0">
                  <c:v>104.511424367397</c:v>
                </c:pt>
                <c:pt idx="1">
                  <c:v>150.62036079619801</c:v>
                </c:pt>
                <c:pt idx="2">
                  <c:v>149.26403720011001</c:v>
                </c:pt>
                <c:pt idx="3">
                  <c:v>134.892962828989</c:v>
                </c:pt>
                <c:pt idx="4">
                  <c:v>197.50633746990499</c:v>
                </c:pt>
                <c:pt idx="5">
                  <c:v>147.89590753428399</c:v>
                </c:pt>
                <c:pt idx="6">
                  <c:v>91.073567448148296</c:v>
                </c:pt>
                <c:pt idx="7">
                  <c:v>166.54082291277001</c:v>
                </c:pt>
                <c:pt idx="8">
                  <c:v>183.58581530265701</c:v>
                </c:pt>
                <c:pt idx="11">
                  <c:v>117.448325869069</c:v>
                </c:pt>
                <c:pt idx="12">
                  <c:v>125.170978981882</c:v>
                </c:pt>
                <c:pt idx="13">
                  <c:v>139.96850692723501</c:v>
                </c:pt>
                <c:pt idx="14">
                  <c:v>110.265505234028</c:v>
                </c:pt>
                <c:pt idx="15">
                  <c:v>129.612087797192</c:v>
                </c:pt>
                <c:pt idx="16">
                  <c:v>123.352320691619</c:v>
                </c:pt>
                <c:pt idx="17">
                  <c:v>175.989297321067</c:v>
                </c:pt>
                <c:pt idx="18">
                  <c:v>142.63434569792301</c:v>
                </c:pt>
                <c:pt idx="19">
                  <c:v>127.146466987501</c:v>
                </c:pt>
                <c:pt idx="20">
                  <c:v>111.245839932718</c:v>
                </c:pt>
                <c:pt idx="21">
                  <c:v>120.832822397923</c:v>
                </c:pt>
                <c:pt idx="22">
                  <c:v>112.087881249121</c:v>
                </c:pt>
                <c:pt idx="23">
                  <c:v>112.94577401628</c:v>
                </c:pt>
                <c:pt idx="24">
                  <c:v>157.63755108005401</c:v>
                </c:pt>
                <c:pt idx="25">
                  <c:v>246.81627022785699</c:v>
                </c:pt>
                <c:pt idx="26">
                  <c:v>248.80232290872399</c:v>
                </c:pt>
                <c:pt idx="27">
                  <c:v>194.71883949231699</c:v>
                </c:pt>
                <c:pt idx="28">
                  <c:v>323.264433831426</c:v>
                </c:pt>
                <c:pt idx="29">
                  <c:v>121.197450419782</c:v>
                </c:pt>
                <c:pt idx="30">
                  <c:v>140.18299759144401</c:v>
                </c:pt>
                <c:pt idx="31">
                  <c:v>129.581233999246</c:v>
                </c:pt>
                <c:pt idx="32">
                  <c:v>116.267878861402</c:v>
                </c:pt>
                <c:pt idx="33">
                  <c:v>119.315139965554</c:v>
                </c:pt>
                <c:pt idx="34">
                  <c:v>172.190918859795</c:v>
                </c:pt>
                <c:pt idx="35">
                  <c:v>188.54195536912201</c:v>
                </c:pt>
                <c:pt idx="36">
                  <c:v>119.32872563918799</c:v>
                </c:pt>
                <c:pt idx="37">
                  <c:v>117.13868627584399</c:v>
                </c:pt>
                <c:pt idx="38">
                  <c:v>130.53005201533401</c:v>
                </c:pt>
                <c:pt idx="39">
                  <c:v>161.282990481414</c:v>
                </c:pt>
                <c:pt idx="40">
                  <c:v>125.99724603557701</c:v>
                </c:pt>
                <c:pt idx="41">
                  <c:v>226.49172165083499</c:v>
                </c:pt>
                <c:pt idx="42">
                  <c:v>227.459300066292</c:v>
                </c:pt>
                <c:pt idx="43">
                  <c:v>235.21119002066601</c:v>
                </c:pt>
                <c:pt idx="44">
                  <c:v>239.873040117426</c:v>
                </c:pt>
                <c:pt idx="46">
                  <c:v>188.002637303093</c:v>
                </c:pt>
                <c:pt idx="47">
                  <c:v>218.01605856786799</c:v>
                </c:pt>
                <c:pt idx="48">
                  <c:v>114.666395462278</c:v>
                </c:pt>
                <c:pt idx="49">
                  <c:v>137.23878521067601</c:v>
                </c:pt>
                <c:pt idx="50">
                  <c:v>144.50525535926801</c:v>
                </c:pt>
                <c:pt idx="51">
                  <c:v>130.141852532146</c:v>
                </c:pt>
                <c:pt idx="52">
                  <c:v>117.173374973197</c:v>
                </c:pt>
                <c:pt idx="53">
                  <c:v>189.94006844126201</c:v>
                </c:pt>
                <c:pt idx="54">
                  <c:v>213.607871645182</c:v>
                </c:pt>
                <c:pt idx="55">
                  <c:v>123.69224242005799</c:v>
                </c:pt>
                <c:pt idx="57">
                  <c:v>128.114268743043</c:v>
                </c:pt>
                <c:pt idx="58">
                  <c:v>129.000628967625</c:v>
                </c:pt>
                <c:pt idx="59">
                  <c:v>126.11751565334301</c:v>
                </c:pt>
                <c:pt idx="60">
                  <c:v>121.21502010279301</c:v>
                </c:pt>
                <c:pt idx="61">
                  <c:v>124.130268005974</c:v>
                </c:pt>
                <c:pt idx="62">
                  <c:v>129.54116608199999</c:v>
                </c:pt>
                <c:pt idx="63">
                  <c:v>128.18929452366501</c:v>
                </c:pt>
                <c:pt idx="64">
                  <c:v>141.13410761841101</c:v>
                </c:pt>
                <c:pt idx="65">
                  <c:v>154.793393686173</c:v>
                </c:pt>
                <c:pt idx="66">
                  <c:v>148.055555710308</c:v>
                </c:pt>
                <c:pt idx="67">
                  <c:v>198.39060426545601</c:v>
                </c:pt>
                <c:pt idx="68">
                  <c:v>138.55219241741801</c:v>
                </c:pt>
                <c:pt idx="69">
                  <c:v>162.97828167333299</c:v>
                </c:pt>
                <c:pt idx="70">
                  <c:v>195.01242483098599</c:v>
                </c:pt>
                <c:pt idx="71">
                  <c:v>298.09814883340499</c:v>
                </c:pt>
                <c:pt idx="72">
                  <c:v>219.83615136607401</c:v>
                </c:pt>
                <c:pt idx="73">
                  <c:v>178.11474856032299</c:v>
                </c:pt>
                <c:pt idx="74">
                  <c:v>274.72197303485399</c:v>
                </c:pt>
                <c:pt idx="75">
                  <c:v>292.31696514672302</c:v>
                </c:pt>
                <c:pt idx="76">
                  <c:v>280.06463611811301</c:v>
                </c:pt>
                <c:pt idx="77">
                  <c:v>155.586240806028</c:v>
                </c:pt>
                <c:pt idx="78">
                  <c:v>212.33190152143001</c:v>
                </c:pt>
                <c:pt idx="79">
                  <c:v>246.216156027057</c:v>
                </c:pt>
                <c:pt idx="80">
                  <c:v>259.23191973185402</c:v>
                </c:pt>
                <c:pt idx="81">
                  <c:v>235.83683495785101</c:v>
                </c:pt>
                <c:pt idx="82">
                  <c:v>237.36813917534701</c:v>
                </c:pt>
                <c:pt idx="83">
                  <c:v>219.042766506166</c:v>
                </c:pt>
                <c:pt idx="84">
                  <c:v>235.15028979301499</c:v>
                </c:pt>
                <c:pt idx="86">
                  <c:v>123.87821750682301</c:v>
                </c:pt>
                <c:pt idx="87">
                  <c:v>115.416671163972</c:v>
                </c:pt>
                <c:pt idx="88">
                  <c:v>103.340004326146</c:v>
                </c:pt>
                <c:pt idx="89">
                  <c:v>151.440152743688</c:v>
                </c:pt>
                <c:pt idx="90">
                  <c:v>126.333957379482</c:v>
                </c:pt>
                <c:pt idx="91">
                  <c:v>130.522738956349</c:v>
                </c:pt>
                <c:pt idx="92">
                  <c:v>289.156211444061</c:v>
                </c:pt>
                <c:pt idx="93">
                  <c:v>241.23007293520001</c:v>
                </c:pt>
                <c:pt idx="94">
                  <c:v>275.86020599623799</c:v>
                </c:pt>
                <c:pt idx="95">
                  <c:v>316.641248773889</c:v>
                </c:pt>
                <c:pt idx="96">
                  <c:v>264.21341283707301</c:v>
                </c:pt>
                <c:pt idx="97">
                  <c:v>295.468690324058</c:v>
                </c:pt>
                <c:pt idx="98">
                  <c:v>133.036032621229</c:v>
                </c:pt>
                <c:pt idx="99">
                  <c:v>220.62782606291799</c:v>
                </c:pt>
                <c:pt idx="100">
                  <c:v>202.18590694485101</c:v>
                </c:pt>
                <c:pt idx="101">
                  <c:v>208.928442134683</c:v>
                </c:pt>
                <c:pt idx="102">
                  <c:v>129.47145116963199</c:v>
                </c:pt>
                <c:pt idx="103">
                  <c:v>134.50996608274301</c:v>
                </c:pt>
                <c:pt idx="104">
                  <c:v>136.56796837018399</c:v>
                </c:pt>
                <c:pt idx="105">
                  <c:v>130.441364055192</c:v>
                </c:pt>
                <c:pt idx="106">
                  <c:v>130.057851317776</c:v>
                </c:pt>
                <c:pt idx="107">
                  <c:v>135.53772194143099</c:v>
                </c:pt>
                <c:pt idx="108">
                  <c:v>139.104488541178</c:v>
                </c:pt>
                <c:pt idx="109">
                  <c:v>141.429974762824</c:v>
                </c:pt>
                <c:pt idx="110">
                  <c:v>149.62714572808301</c:v>
                </c:pt>
                <c:pt idx="111">
                  <c:v>156.86792949067299</c:v>
                </c:pt>
                <c:pt idx="112">
                  <c:v>132.79830428220001</c:v>
                </c:pt>
                <c:pt idx="113">
                  <c:v>132.62035821482201</c:v>
                </c:pt>
                <c:pt idx="114">
                  <c:v>132.353640104991</c:v>
                </c:pt>
                <c:pt idx="115">
                  <c:v>139.400365145927</c:v>
                </c:pt>
                <c:pt idx="116">
                  <c:v>134.27223464769901</c:v>
                </c:pt>
                <c:pt idx="117">
                  <c:v>128.230902453428</c:v>
                </c:pt>
                <c:pt idx="118">
                  <c:v>136.929913665079</c:v>
                </c:pt>
                <c:pt idx="119">
                  <c:v>124.781090163069</c:v>
                </c:pt>
                <c:pt idx="120">
                  <c:v>120.13246843938801</c:v>
                </c:pt>
                <c:pt idx="121">
                  <c:v>125.730913516634</c:v>
                </c:pt>
                <c:pt idx="122">
                  <c:v>126.352646194646</c:v>
                </c:pt>
                <c:pt idx="123">
                  <c:v>127.71751625011601</c:v>
                </c:pt>
                <c:pt idx="124">
                  <c:v>128.75405847738901</c:v>
                </c:pt>
                <c:pt idx="125">
                  <c:v>123.842966165173</c:v>
                </c:pt>
                <c:pt idx="126">
                  <c:v>139.68510031514299</c:v>
                </c:pt>
                <c:pt idx="127">
                  <c:v>129.89711800293301</c:v>
                </c:pt>
                <c:pt idx="128">
                  <c:v>130.26840278233601</c:v>
                </c:pt>
                <c:pt idx="129">
                  <c:v>136.17870648665999</c:v>
                </c:pt>
                <c:pt idx="130">
                  <c:v>163.71109125623801</c:v>
                </c:pt>
                <c:pt idx="131">
                  <c:v>136.088204790443</c:v>
                </c:pt>
                <c:pt idx="132">
                  <c:v>135.84051228206701</c:v>
                </c:pt>
                <c:pt idx="133">
                  <c:v>132.83132192766499</c:v>
                </c:pt>
                <c:pt idx="134">
                  <c:v>138.248258926147</c:v>
                </c:pt>
                <c:pt idx="135">
                  <c:v>137.49381803567201</c:v>
                </c:pt>
                <c:pt idx="136">
                  <c:v>116.505190003636</c:v>
                </c:pt>
                <c:pt idx="137">
                  <c:v>98.843929671119298</c:v>
                </c:pt>
                <c:pt idx="138">
                  <c:v>99.6561644729737</c:v>
                </c:pt>
                <c:pt idx="139">
                  <c:v>125.864310874586</c:v>
                </c:pt>
                <c:pt idx="140">
                  <c:v>124.214738340526</c:v>
                </c:pt>
                <c:pt idx="141">
                  <c:v>107.837791178495</c:v>
                </c:pt>
                <c:pt idx="142">
                  <c:v>115.112535728553</c:v>
                </c:pt>
                <c:pt idx="143">
                  <c:v>131.40032878818201</c:v>
                </c:pt>
                <c:pt idx="144">
                  <c:v>124.221653931391</c:v>
                </c:pt>
                <c:pt idx="145">
                  <c:v>104.714279880597</c:v>
                </c:pt>
                <c:pt idx="146">
                  <c:v>123.9592155487</c:v>
                </c:pt>
                <c:pt idx="147">
                  <c:v>117.164299376264</c:v>
                </c:pt>
                <c:pt idx="148">
                  <c:v>115.26022489883201</c:v>
                </c:pt>
                <c:pt idx="149">
                  <c:v>109.525391709464</c:v>
                </c:pt>
                <c:pt idx="150">
                  <c:v>108.866041878339</c:v>
                </c:pt>
                <c:pt idx="151">
                  <c:v>136.535408629069</c:v>
                </c:pt>
                <c:pt idx="152">
                  <c:v>121.512577305712</c:v>
                </c:pt>
                <c:pt idx="153">
                  <c:v>109.37856638456</c:v>
                </c:pt>
                <c:pt idx="154">
                  <c:v>137.623657305298</c:v>
                </c:pt>
                <c:pt idx="155">
                  <c:v>125.86921407981499</c:v>
                </c:pt>
                <c:pt idx="156">
                  <c:v>98.8927451431978</c:v>
                </c:pt>
                <c:pt idx="157">
                  <c:v>108.04327891616801</c:v>
                </c:pt>
                <c:pt idx="158">
                  <c:v>95.415635657706005</c:v>
                </c:pt>
                <c:pt idx="159">
                  <c:v>104.170824386528</c:v>
                </c:pt>
                <c:pt idx="160">
                  <c:v>105.930166777029</c:v>
                </c:pt>
                <c:pt idx="161">
                  <c:v>115.839681215309</c:v>
                </c:pt>
                <c:pt idx="162">
                  <c:v>104.274135866394</c:v>
                </c:pt>
                <c:pt idx="163">
                  <c:v>121.108243203263</c:v>
                </c:pt>
                <c:pt idx="164">
                  <c:v>120.75109941147301</c:v>
                </c:pt>
                <c:pt idx="165">
                  <c:v>117.46634731269501</c:v>
                </c:pt>
                <c:pt idx="166">
                  <c:v>104.586177379803</c:v>
                </c:pt>
                <c:pt idx="167">
                  <c:v>103.354226905689</c:v>
                </c:pt>
                <c:pt idx="168">
                  <c:v>115.361317793545</c:v>
                </c:pt>
                <c:pt idx="169">
                  <c:v>137.16229364472301</c:v>
                </c:pt>
                <c:pt idx="170">
                  <c:v>115.68575943129299</c:v>
                </c:pt>
                <c:pt idx="171">
                  <c:v>94.3684394785124</c:v>
                </c:pt>
                <c:pt idx="172">
                  <c:v>136.574928064587</c:v>
                </c:pt>
                <c:pt idx="173">
                  <c:v>132.00835151472199</c:v>
                </c:pt>
                <c:pt idx="174">
                  <c:v>120.87740748794501</c:v>
                </c:pt>
                <c:pt idx="175">
                  <c:v>136.93510871151301</c:v>
                </c:pt>
                <c:pt idx="176">
                  <c:v>127.39349939228801</c:v>
                </c:pt>
                <c:pt idx="177">
                  <c:v>95.590670241741194</c:v>
                </c:pt>
                <c:pt idx="178">
                  <c:v>113.319817646027</c:v>
                </c:pt>
                <c:pt idx="179">
                  <c:v>107.19044166448801</c:v>
                </c:pt>
                <c:pt idx="180">
                  <c:v>127.54320293147801</c:v>
                </c:pt>
                <c:pt idx="181">
                  <c:v>120.07382015977799</c:v>
                </c:pt>
                <c:pt idx="182">
                  <c:v>122.080490266612</c:v>
                </c:pt>
                <c:pt idx="183">
                  <c:v>133.89362236750699</c:v>
                </c:pt>
                <c:pt idx="184">
                  <c:v>129.90150910575599</c:v>
                </c:pt>
                <c:pt idx="185">
                  <c:v>93.520723862589193</c:v>
                </c:pt>
                <c:pt idx="186">
                  <c:v>150.85314116648399</c:v>
                </c:pt>
                <c:pt idx="187">
                  <c:v>126.195315698535</c:v>
                </c:pt>
                <c:pt idx="188">
                  <c:v>111.18448804682799</c:v>
                </c:pt>
                <c:pt idx="189">
                  <c:v>111.10836611968</c:v>
                </c:pt>
                <c:pt idx="190">
                  <c:v>124.569625751742</c:v>
                </c:pt>
                <c:pt idx="191">
                  <c:v>133.26817609061499</c:v>
                </c:pt>
                <c:pt idx="192">
                  <c:v>132.794473473328</c:v>
                </c:pt>
                <c:pt idx="193">
                  <c:v>100.25355459497401</c:v>
                </c:pt>
                <c:pt idx="194">
                  <c:v>155.12506345762401</c:v>
                </c:pt>
                <c:pt idx="195">
                  <c:v>152.78077321959699</c:v>
                </c:pt>
                <c:pt idx="196">
                  <c:v>154.64351701421799</c:v>
                </c:pt>
                <c:pt idx="197">
                  <c:v>118.669899059119</c:v>
                </c:pt>
                <c:pt idx="198">
                  <c:v>136.75723716985999</c:v>
                </c:pt>
                <c:pt idx="199">
                  <c:v>110.972257825318</c:v>
                </c:pt>
                <c:pt idx="200">
                  <c:v>113.09531082295</c:v>
                </c:pt>
                <c:pt idx="201">
                  <c:v>91.438758640705203</c:v>
                </c:pt>
                <c:pt idx="202">
                  <c:v>105.78324109673601</c:v>
                </c:pt>
                <c:pt idx="203">
                  <c:v>112.72125457656399</c:v>
                </c:pt>
                <c:pt idx="204">
                  <c:v>113.679885714636</c:v>
                </c:pt>
                <c:pt idx="205">
                  <c:v>111.18824613809601</c:v>
                </c:pt>
                <c:pt idx="206">
                  <c:v>110.632292556408</c:v>
                </c:pt>
                <c:pt idx="207">
                  <c:v>102.543452524527</c:v>
                </c:pt>
                <c:pt idx="208">
                  <c:v>107.230243716328</c:v>
                </c:pt>
                <c:pt idx="209">
                  <c:v>129.695990968828</c:v>
                </c:pt>
                <c:pt idx="210">
                  <c:v>121.741926943267</c:v>
                </c:pt>
                <c:pt idx="211">
                  <c:v>113.08296896648299</c:v>
                </c:pt>
                <c:pt idx="212">
                  <c:v>111.37078976857801</c:v>
                </c:pt>
                <c:pt idx="213">
                  <c:v>137.41632123051201</c:v>
                </c:pt>
                <c:pt idx="214">
                  <c:v>134.87987679102599</c:v>
                </c:pt>
                <c:pt idx="215">
                  <c:v>89.179365096986999</c:v>
                </c:pt>
                <c:pt idx="216">
                  <c:v>106.426578804249</c:v>
                </c:pt>
                <c:pt idx="217">
                  <c:v>103.998427762763</c:v>
                </c:pt>
                <c:pt idx="218">
                  <c:v>123.620887094301</c:v>
                </c:pt>
                <c:pt idx="219">
                  <c:v>103.70828807182301</c:v>
                </c:pt>
                <c:pt idx="220">
                  <c:v>102.736041332756</c:v>
                </c:pt>
                <c:pt idx="221">
                  <c:v>132.17680071566701</c:v>
                </c:pt>
                <c:pt idx="222">
                  <c:v>128.64563159303</c:v>
                </c:pt>
                <c:pt idx="223">
                  <c:v>102.698356618839</c:v>
                </c:pt>
                <c:pt idx="224">
                  <c:v>158.73685639962</c:v>
                </c:pt>
                <c:pt idx="225">
                  <c:v>222.12090344014601</c:v>
                </c:pt>
                <c:pt idx="226">
                  <c:v>139.39981421178001</c:v>
                </c:pt>
                <c:pt idx="227">
                  <c:v>166.05814545319001</c:v>
                </c:pt>
                <c:pt idx="228">
                  <c:v>139.840203635644</c:v>
                </c:pt>
                <c:pt idx="229">
                  <c:v>129.672536005583</c:v>
                </c:pt>
                <c:pt idx="230">
                  <c:v>102.530403122012</c:v>
                </c:pt>
                <c:pt idx="231">
                  <c:v>177.909421152135</c:v>
                </c:pt>
                <c:pt idx="232">
                  <c:v>151.82235715694799</c:v>
                </c:pt>
                <c:pt idx="233">
                  <c:v>131.09066623088799</c:v>
                </c:pt>
                <c:pt idx="234">
                  <c:v>121.40934495394799</c:v>
                </c:pt>
                <c:pt idx="235">
                  <c:v>149.83029474965599</c:v>
                </c:pt>
                <c:pt idx="236">
                  <c:v>146.81073319841801</c:v>
                </c:pt>
                <c:pt idx="237">
                  <c:v>128.083872534596</c:v>
                </c:pt>
                <c:pt idx="238">
                  <c:v>133.83498227379101</c:v>
                </c:pt>
                <c:pt idx="239">
                  <c:v>131.40002009873501</c:v>
                </c:pt>
                <c:pt idx="240">
                  <c:v>128.174062698721</c:v>
                </c:pt>
                <c:pt idx="241">
                  <c:v>128.944261946903</c:v>
                </c:pt>
                <c:pt idx="242">
                  <c:v>128.58448191627701</c:v>
                </c:pt>
                <c:pt idx="243">
                  <c:v>127.57857140345401</c:v>
                </c:pt>
                <c:pt idx="244">
                  <c:v>134.94263585658899</c:v>
                </c:pt>
                <c:pt idx="245">
                  <c:v>152.928391576498</c:v>
                </c:pt>
                <c:pt idx="246">
                  <c:v>136.40408041863401</c:v>
                </c:pt>
                <c:pt idx="247">
                  <c:v>131.460759193173</c:v>
                </c:pt>
                <c:pt idx="248">
                  <c:v>136.69319527222399</c:v>
                </c:pt>
                <c:pt idx="249">
                  <c:v>130.604778833887</c:v>
                </c:pt>
                <c:pt idx="250">
                  <c:v>142.338450178323</c:v>
                </c:pt>
                <c:pt idx="251">
                  <c:v>131.499411254942</c:v>
                </c:pt>
                <c:pt idx="253">
                  <c:v>102.077700031319</c:v>
                </c:pt>
                <c:pt idx="254">
                  <c:v>149.840438388959</c:v>
                </c:pt>
                <c:pt idx="255">
                  <c:v>142.46038851325699</c:v>
                </c:pt>
                <c:pt idx="256">
                  <c:v>140.89752781888299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C66-4193-A33C-308236D16DD6}"/>
            </c:ext>
          </c:extLst>
        </c:ser>
        <c:ser>
          <c:idx val="7"/>
          <c:order val="7"/>
          <c:tx>
            <c:strRef>
              <c:f>'20  feature-with Elky (2)'!$F$37</c:f>
              <c:strCache>
                <c:ptCount val="1"/>
                <c:pt idx="0">
                  <c:v>(2)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'20  feature-with Elky (2)'!$D$38:$D$500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  <c:pt idx="224">
                  <c:v>97</c:v>
                </c:pt>
                <c:pt idx="225">
                  <c:v>169</c:v>
                </c:pt>
                <c:pt idx="226">
                  <c:v>114</c:v>
                </c:pt>
                <c:pt idx="227">
                  <c:v>137</c:v>
                </c:pt>
                <c:pt idx="228">
                  <c:v>119</c:v>
                </c:pt>
                <c:pt idx="229">
                  <c:v>107</c:v>
                </c:pt>
                <c:pt idx="230">
                  <c:v>94</c:v>
                </c:pt>
                <c:pt idx="231">
                  <c:v>114</c:v>
                </c:pt>
                <c:pt idx="232">
                  <c:v>117</c:v>
                </c:pt>
                <c:pt idx="233">
                  <c:v>110</c:v>
                </c:pt>
                <c:pt idx="234">
                  <c:v>78</c:v>
                </c:pt>
                <c:pt idx="235">
                  <c:v>125</c:v>
                </c:pt>
                <c:pt idx="236">
                  <c:v>143</c:v>
                </c:pt>
                <c:pt idx="237">
                  <c:v>122</c:v>
                </c:pt>
                <c:pt idx="238">
                  <c:v>108</c:v>
                </c:pt>
                <c:pt idx="239">
                  <c:v>90</c:v>
                </c:pt>
                <c:pt idx="240">
                  <c:v>109</c:v>
                </c:pt>
                <c:pt idx="241">
                  <c:v>149</c:v>
                </c:pt>
                <c:pt idx="242">
                  <c:v>153</c:v>
                </c:pt>
                <c:pt idx="243">
                  <c:v>87</c:v>
                </c:pt>
                <c:pt idx="244">
                  <c:v>115</c:v>
                </c:pt>
                <c:pt idx="245">
                  <c:v>112</c:v>
                </c:pt>
                <c:pt idx="246">
                  <c:v>113</c:v>
                </c:pt>
                <c:pt idx="247">
                  <c:v>122</c:v>
                </c:pt>
                <c:pt idx="248">
                  <c:v>116</c:v>
                </c:pt>
                <c:pt idx="249">
                  <c:v>109</c:v>
                </c:pt>
                <c:pt idx="250">
                  <c:v>124</c:v>
                </c:pt>
                <c:pt idx="251">
                  <c:v>93</c:v>
                </c:pt>
                <c:pt idx="252">
                  <c:v>72</c:v>
                </c:pt>
                <c:pt idx="253">
                  <c:v>81</c:v>
                </c:pt>
                <c:pt idx="254">
                  <c:v>124</c:v>
                </c:pt>
                <c:pt idx="255">
                  <c:v>115</c:v>
                </c:pt>
                <c:pt idx="256">
                  <c:v>108</c:v>
                </c:pt>
              </c:numCache>
            </c:numRef>
          </c:xVal>
          <c:yVal>
            <c:numRef>
              <c:f>'20  feature-with Elky (2)'!$F$38:$F$500</c:f>
              <c:numCache>
                <c:formatCode>General</c:formatCode>
                <c:ptCount val="463"/>
                <c:pt idx="9">
                  <c:v>181.39125639379299</c:v>
                </c:pt>
                <c:pt idx="10">
                  <c:v>168.728241405689</c:v>
                </c:pt>
                <c:pt idx="45">
                  <c:v>271.48480493426001</c:v>
                </c:pt>
                <c:pt idx="56">
                  <c:v>123.910311502181</c:v>
                </c:pt>
                <c:pt idx="85">
                  <c:v>136.50272954691599</c:v>
                </c:pt>
                <c:pt idx="252">
                  <c:v>118.510166147872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C66-4193-A33C-308236D16DD6}"/>
            </c:ext>
          </c:extLst>
        </c:ser>
        <c:ser>
          <c:idx val="8"/>
          <c:order val="8"/>
          <c:tx>
            <c:strRef>
              <c:f>'20  feature-with Elky (2)'!$G$37</c:f>
              <c:strCache>
                <c:ptCount val="1"/>
                <c:pt idx="0">
                  <c:v>(3)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feature-with Elky (2)'!$D$38:$D$500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  <c:pt idx="224">
                  <c:v>97</c:v>
                </c:pt>
                <c:pt idx="225">
                  <c:v>169</c:v>
                </c:pt>
                <c:pt idx="226">
                  <c:v>114</c:v>
                </c:pt>
                <c:pt idx="227">
                  <c:v>137</c:v>
                </c:pt>
                <c:pt idx="228">
                  <c:v>119</c:v>
                </c:pt>
                <c:pt idx="229">
                  <c:v>107</c:v>
                </c:pt>
                <c:pt idx="230">
                  <c:v>94</c:v>
                </c:pt>
                <c:pt idx="231">
                  <c:v>114</c:v>
                </c:pt>
                <c:pt idx="232">
                  <c:v>117</c:v>
                </c:pt>
                <c:pt idx="233">
                  <c:v>110</c:v>
                </c:pt>
                <c:pt idx="234">
                  <c:v>78</c:v>
                </c:pt>
                <c:pt idx="235">
                  <c:v>125</c:v>
                </c:pt>
                <c:pt idx="236">
                  <c:v>143</c:v>
                </c:pt>
                <c:pt idx="237">
                  <c:v>122</c:v>
                </c:pt>
                <c:pt idx="238">
                  <c:v>108</c:v>
                </c:pt>
                <c:pt idx="239">
                  <c:v>90</c:v>
                </c:pt>
                <c:pt idx="240">
                  <c:v>109</c:v>
                </c:pt>
                <c:pt idx="241">
                  <c:v>149</c:v>
                </c:pt>
                <c:pt idx="242">
                  <c:v>153</c:v>
                </c:pt>
                <c:pt idx="243">
                  <c:v>87</c:v>
                </c:pt>
                <c:pt idx="244">
                  <c:v>115</c:v>
                </c:pt>
                <c:pt idx="245">
                  <c:v>112</c:v>
                </c:pt>
                <c:pt idx="246">
                  <c:v>113</c:v>
                </c:pt>
                <c:pt idx="247">
                  <c:v>122</c:v>
                </c:pt>
                <c:pt idx="248">
                  <c:v>116</c:v>
                </c:pt>
                <c:pt idx="249">
                  <c:v>109</c:v>
                </c:pt>
                <c:pt idx="250">
                  <c:v>124</c:v>
                </c:pt>
                <c:pt idx="251">
                  <c:v>93</c:v>
                </c:pt>
                <c:pt idx="252">
                  <c:v>72</c:v>
                </c:pt>
                <c:pt idx="253">
                  <c:v>81</c:v>
                </c:pt>
                <c:pt idx="254">
                  <c:v>124</c:v>
                </c:pt>
                <c:pt idx="255">
                  <c:v>115</c:v>
                </c:pt>
                <c:pt idx="256">
                  <c:v>108</c:v>
                </c:pt>
              </c:numCache>
            </c:numRef>
          </c:xVal>
          <c:yVal>
            <c:numRef>
              <c:f>'20  feature-with Elky (2)'!$G$38:$G$500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C66-4193-A33C-308236D16DD6}"/>
            </c:ext>
          </c:extLst>
        </c:ser>
        <c:ser>
          <c:idx val="9"/>
          <c:order val="9"/>
          <c:tx>
            <c:strRef>
              <c:f>'20  feature-with Elky (2)'!$H$37</c:f>
              <c:strCache>
                <c:ptCount val="1"/>
                <c:pt idx="0">
                  <c:v>(4)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feature-with Elky (2)'!$D$38:$D$500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  <c:pt idx="224">
                  <c:v>97</c:v>
                </c:pt>
                <c:pt idx="225">
                  <c:v>169</c:v>
                </c:pt>
                <c:pt idx="226">
                  <c:v>114</c:v>
                </c:pt>
                <c:pt idx="227">
                  <c:v>137</c:v>
                </c:pt>
                <c:pt idx="228">
                  <c:v>119</c:v>
                </c:pt>
                <c:pt idx="229">
                  <c:v>107</c:v>
                </c:pt>
                <c:pt idx="230">
                  <c:v>94</c:v>
                </c:pt>
                <c:pt idx="231">
                  <c:v>114</c:v>
                </c:pt>
                <c:pt idx="232">
                  <c:v>117</c:v>
                </c:pt>
                <c:pt idx="233">
                  <c:v>110</c:v>
                </c:pt>
                <c:pt idx="234">
                  <c:v>78</c:v>
                </c:pt>
                <c:pt idx="235">
                  <c:v>125</c:v>
                </c:pt>
                <c:pt idx="236">
                  <c:v>143</c:v>
                </c:pt>
                <c:pt idx="237">
                  <c:v>122</c:v>
                </c:pt>
                <c:pt idx="238">
                  <c:v>108</c:v>
                </c:pt>
                <c:pt idx="239">
                  <c:v>90</c:v>
                </c:pt>
                <c:pt idx="240">
                  <c:v>109</c:v>
                </c:pt>
                <c:pt idx="241">
                  <c:v>149</c:v>
                </c:pt>
                <c:pt idx="242">
                  <c:v>153</c:v>
                </c:pt>
                <c:pt idx="243">
                  <c:v>87</c:v>
                </c:pt>
                <c:pt idx="244">
                  <c:v>115</c:v>
                </c:pt>
                <c:pt idx="245">
                  <c:v>112</c:v>
                </c:pt>
                <c:pt idx="246">
                  <c:v>113</c:v>
                </c:pt>
                <c:pt idx="247">
                  <c:v>122</c:v>
                </c:pt>
                <c:pt idx="248">
                  <c:v>116</c:v>
                </c:pt>
                <c:pt idx="249">
                  <c:v>109</c:v>
                </c:pt>
                <c:pt idx="250">
                  <c:v>124</c:v>
                </c:pt>
                <c:pt idx="251">
                  <c:v>93</c:v>
                </c:pt>
                <c:pt idx="252">
                  <c:v>72</c:v>
                </c:pt>
                <c:pt idx="253">
                  <c:v>81</c:v>
                </c:pt>
                <c:pt idx="254">
                  <c:v>124</c:v>
                </c:pt>
                <c:pt idx="255">
                  <c:v>115</c:v>
                </c:pt>
                <c:pt idx="256">
                  <c:v>108</c:v>
                </c:pt>
              </c:numCache>
            </c:numRef>
          </c:xVal>
          <c:yVal>
            <c:numRef>
              <c:f>'20  feature-with Elky (2)'!$H$38:$H$500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C66-4193-A33C-308236D16DD6}"/>
            </c:ext>
          </c:extLst>
        </c:ser>
        <c:ser>
          <c:idx val="10"/>
          <c:order val="10"/>
          <c:tx>
            <c:strRef>
              <c:f>'20  feature-with Elky (2)'!$I$37</c:f>
              <c:strCache>
                <c:ptCount val="1"/>
                <c:pt idx="0">
                  <c:v>(5)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feature-with Elky (2)'!$D$38:$D$500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  <c:pt idx="224">
                  <c:v>97</c:v>
                </c:pt>
                <c:pt idx="225">
                  <c:v>169</c:v>
                </c:pt>
                <c:pt idx="226">
                  <c:v>114</c:v>
                </c:pt>
                <c:pt idx="227">
                  <c:v>137</c:v>
                </c:pt>
                <c:pt idx="228">
                  <c:v>119</c:v>
                </c:pt>
                <c:pt idx="229">
                  <c:v>107</c:v>
                </c:pt>
                <c:pt idx="230">
                  <c:v>94</c:v>
                </c:pt>
                <c:pt idx="231">
                  <c:v>114</c:v>
                </c:pt>
                <c:pt idx="232">
                  <c:v>117</c:v>
                </c:pt>
                <c:pt idx="233">
                  <c:v>110</c:v>
                </c:pt>
                <c:pt idx="234">
                  <c:v>78</c:v>
                </c:pt>
                <c:pt idx="235">
                  <c:v>125</c:v>
                </c:pt>
                <c:pt idx="236">
                  <c:v>143</c:v>
                </c:pt>
                <c:pt idx="237">
                  <c:v>122</c:v>
                </c:pt>
                <c:pt idx="238">
                  <c:v>108</c:v>
                </c:pt>
                <c:pt idx="239">
                  <c:v>90</c:v>
                </c:pt>
                <c:pt idx="240">
                  <c:v>109</c:v>
                </c:pt>
                <c:pt idx="241">
                  <c:v>149</c:v>
                </c:pt>
                <c:pt idx="242">
                  <c:v>153</c:v>
                </c:pt>
                <c:pt idx="243">
                  <c:v>87</c:v>
                </c:pt>
                <c:pt idx="244">
                  <c:v>115</c:v>
                </c:pt>
                <c:pt idx="245">
                  <c:v>112</c:v>
                </c:pt>
                <c:pt idx="246">
                  <c:v>113</c:v>
                </c:pt>
                <c:pt idx="247">
                  <c:v>122</c:v>
                </c:pt>
                <c:pt idx="248">
                  <c:v>116</c:v>
                </c:pt>
                <c:pt idx="249">
                  <c:v>109</c:v>
                </c:pt>
                <c:pt idx="250">
                  <c:v>124</c:v>
                </c:pt>
                <c:pt idx="251">
                  <c:v>93</c:v>
                </c:pt>
                <c:pt idx="252">
                  <c:v>72</c:v>
                </c:pt>
                <c:pt idx="253">
                  <c:v>81</c:v>
                </c:pt>
                <c:pt idx="254">
                  <c:v>124</c:v>
                </c:pt>
                <c:pt idx="255">
                  <c:v>115</c:v>
                </c:pt>
                <c:pt idx="256">
                  <c:v>108</c:v>
                </c:pt>
              </c:numCache>
            </c:numRef>
          </c:xVal>
          <c:yVal>
            <c:numRef>
              <c:f>'20  feature-with Elky (2)'!$I$38:$I$500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FC66-4193-A33C-308236D16DD6}"/>
            </c:ext>
          </c:extLst>
        </c:ser>
        <c:ser>
          <c:idx val="11"/>
          <c:order val="11"/>
          <c:tx>
            <c:strRef>
              <c:f>'20  feature-with Elky (2)'!$J$37</c:f>
              <c:strCache>
                <c:ptCount val="1"/>
                <c:pt idx="0">
                  <c:v>(6)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feature-with Elky (2)'!$D$38:$D$500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  <c:pt idx="224">
                  <c:v>97</c:v>
                </c:pt>
                <c:pt idx="225">
                  <c:v>169</c:v>
                </c:pt>
                <c:pt idx="226">
                  <c:v>114</c:v>
                </c:pt>
                <c:pt idx="227">
                  <c:v>137</c:v>
                </c:pt>
                <c:pt idx="228">
                  <c:v>119</c:v>
                </c:pt>
                <c:pt idx="229">
                  <c:v>107</c:v>
                </c:pt>
                <c:pt idx="230">
                  <c:v>94</c:v>
                </c:pt>
                <c:pt idx="231">
                  <c:v>114</c:v>
                </c:pt>
                <c:pt idx="232">
                  <c:v>117</c:v>
                </c:pt>
                <c:pt idx="233">
                  <c:v>110</c:v>
                </c:pt>
                <c:pt idx="234">
                  <c:v>78</c:v>
                </c:pt>
                <c:pt idx="235">
                  <c:v>125</c:v>
                </c:pt>
                <c:pt idx="236">
                  <c:v>143</c:v>
                </c:pt>
                <c:pt idx="237">
                  <c:v>122</c:v>
                </c:pt>
                <c:pt idx="238">
                  <c:v>108</c:v>
                </c:pt>
                <c:pt idx="239">
                  <c:v>90</c:v>
                </c:pt>
                <c:pt idx="240">
                  <c:v>109</c:v>
                </c:pt>
                <c:pt idx="241">
                  <c:v>149</c:v>
                </c:pt>
                <c:pt idx="242">
                  <c:v>153</c:v>
                </c:pt>
                <c:pt idx="243">
                  <c:v>87</c:v>
                </c:pt>
                <c:pt idx="244">
                  <c:v>115</c:v>
                </c:pt>
                <c:pt idx="245">
                  <c:v>112</c:v>
                </c:pt>
                <c:pt idx="246">
                  <c:v>113</c:v>
                </c:pt>
                <c:pt idx="247">
                  <c:v>122</c:v>
                </c:pt>
                <c:pt idx="248">
                  <c:v>116</c:v>
                </c:pt>
                <c:pt idx="249">
                  <c:v>109</c:v>
                </c:pt>
                <c:pt idx="250">
                  <c:v>124</c:v>
                </c:pt>
                <c:pt idx="251">
                  <c:v>93</c:v>
                </c:pt>
                <c:pt idx="252">
                  <c:v>72</c:v>
                </c:pt>
                <c:pt idx="253">
                  <c:v>81</c:v>
                </c:pt>
                <c:pt idx="254">
                  <c:v>124</c:v>
                </c:pt>
                <c:pt idx="255">
                  <c:v>115</c:v>
                </c:pt>
                <c:pt idx="256">
                  <c:v>108</c:v>
                </c:pt>
              </c:numCache>
            </c:numRef>
          </c:xVal>
          <c:yVal>
            <c:numRef>
              <c:f>'20  feature-with Elky (2)'!$J$38:$J$500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FC66-4193-A33C-308236D16DD6}"/>
            </c:ext>
          </c:extLst>
        </c:ser>
        <c:ser>
          <c:idx val="12"/>
          <c:order val="12"/>
          <c:tx>
            <c:strRef>
              <c:f>'20  feature-with Elky (2)'!$K$37</c:f>
              <c:strCache>
                <c:ptCount val="1"/>
                <c:pt idx="0">
                  <c:v>(7)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feature-with Elky (2)'!$D$38:$D$500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  <c:pt idx="224">
                  <c:v>97</c:v>
                </c:pt>
                <c:pt idx="225">
                  <c:v>169</c:v>
                </c:pt>
                <c:pt idx="226">
                  <c:v>114</c:v>
                </c:pt>
                <c:pt idx="227">
                  <c:v>137</c:v>
                </c:pt>
                <c:pt idx="228">
                  <c:v>119</c:v>
                </c:pt>
                <c:pt idx="229">
                  <c:v>107</c:v>
                </c:pt>
                <c:pt idx="230">
                  <c:v>94</c:v>
                </c:pt>
                <c:pt idx="231">
                  <c:v>114</c:v>
                </c:pt>
                <c:pt idx="232">
                  <c:v>117</c:v>
                </c:pt>
                <c:pt idx="233">
                  <c:v>110</c:v>
                </c:pt>
                <c:pt idx="234">
                  <c:v>78</c:v>
                </c:pt>
                <c:pt idx="235">
                  <c:v>125</c:v>
                </c:pt>
                <c:pt idx="236">
                  <c:v>143</c:v>
                </c:pt>
                <c:pt idx="237">
                  <c:v>122</c:v>
                </c:pt>
                <c:pt idx="238">
                  <c:v>108</c:v>
                </c:pt>
                <c:pt idx="239">
                  <c:v>90</c:v>
                </c:pt>
                <c:pt idx="240">
                  <c:v>109</c:v>
                </c:pt>
                <c:pt idx="241">
                  <c:v>149</c:v>
                </c:pt>
                <c:pt idx="242">
                  <c:v>153</c:v>
                </c:pt>
                <c:pt idx="243">
                  <c:v>87</c:v>
                </c:pt>
                <c:pt idx="244">
                  <c:v>115</c:v>
                </c:pt>
                <c:pt idx="245">
                  <c:v>112</c:v>
                </c:pt>
                <c:pt idx="246">
                  <c:v>113</c:v>
                </c:pt>
                <c:pt idx="247">
                  <c:v>122</c:v>
                </c:pt>
                <c:pt idx="248">
                  <c:v>116</c:v>
                </c:pt>
                <c:pt idx="249">
                  <c:v>109</c:v>
                </c:pt>
                <c:pt idx="250">
                  <c:v>124</c:v>
                </c:pt>
                <c:pt idx="251">
                  <c:v>93</c:v>
                </c:pt>
                <c:pt idx="252">
                  <c:v>72</c:v>
                </c:pt>
                <c:pt idx="253">
                  <c:v>81</c:v>
                </c:pt>
                <c:pt idx="254">
                  <c:v>124</c:v>
                </c:pt>
                <c:pt idx="255">
                  <c:v>115</c:v>
                </c:pt>
                <c:pt idx="256">
                  <c:v>108</c:v>
                </c:pt>
              </c:numCache>
            </c:numRef>
          </c:xVal>
          <c:yVal>
            <c:numRef>
              <c:f>'20  feature-with Elky (2)'!$K$38:$K$500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FC66-4193-A33C-308236D16DD6}"/>
            </c:ext>
          </c:extLst>
        </c:ser>
        <c:ser>
          <c:idx val="13"/>
          <c:order val="13"/>
          <c:tx>
            <c:strRef>
              <c:f>'20  feature-with Elky (2)'!$L$37</c:f>
              <c:strCache>
                <c:ptCount val="1"/>
                <c:pt idx="0">
                  <c:v>(8)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feature-with Elky (2)'!$D$38:$D$500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  <c:pt idx="224">
                  <c:v>97</c:v>
                </c:pt>
                <c:pt idx="225">
                  <c:v>169</c:v>
                </c:pt>
                <c:pt idx="226">
                  <c:v>114</c:v>
                </c:pt>
                <c:pt idx="227">
                  <c:v>137</c:v>
                </c:pt>
                <c:pt idx="228">
                  <c:v>119</c:v>
                </c:pt>
                <c:pt idx="229">
                  <c:v>107</c:v>
                </c:pt>
                <c:pt idx="230">
                  <c:v>94</c:v>
                </c:pt>
                <c:pt idx="231">
                  <c:v>114</c:v>
                </c:pt>
                <c:pt idx="232">
                  <c:v>117</c:v>
                </c:pt>
                <c:pt idx="233">
                  <c:v>110</c:v>
                </c:pt>
                <c:pt idx="234">
                  <c:v>78</c:v>
                </c:pt>
                <c:pt idx="235">
                  <c:v>125</c:v>
                </c:pt>
                <c:pt idx="236">
                  <c:v>143</c:v>
                </c:pt>
                <c:pt idx="237">
                  <c:v>122</c:v>
                </c:pt>
                <c:pt idx="238">
                  <c:v>108</c:v>
                </c:pt>
                <c:pt idx="239">
                  <c:v>90</c:v>
                </c:pt>
                <c:pt idx="240">
                  <c:v>109</c:v>
                </c:pt>
                <c:pt idx="241">
                  <c:v>149</c:v>
                </c:pt>
                <c:pt idx="242">
                  <c:v>153</c:v>
                </c:pt>
                <c:pt idx="243">
                  <c:v>87</c:v>
                </c:pt>
                <c:pt idx="244">
                  <c:v>115</c:v>
                </c:pt>
                <c:pt idx="245">
                  <c:v>112</c:v>
                </c:pt>
                <c:pt idx="246">
                  <c:v>113</c:v>
                </c:pt>
                <c:pt idx="247">
                  <c:v>122</c:v>
                </c:pt>
                <c:pt idx="248">
                  <c:v>116</c:v>
                </c:pt>
                <c:pt idx="249">
                  <c:v>109</c:v>
                </c:pt>
                <c:pt idx="250">
                  <c:v>124</c:v>
                </c:pt>
                <c:pt idx="251">
                  <c:v>93</c:v>
                </c:pt>
                <c:pt idx="252">
                  <c:v>72</c:v>
                </c:pt>
                <c:pt idx="253">
                  <c:v>81</c:v>
                </c:pt>
                <c:pt idx="254">
                  <c:v>124</c:v>
                </c:pt>
                <c:pt idx="255">
                  <c:v>115</c:v>
                </c:pt>
                <c:pt idx="256">
                  <c:v>108</c:v>
                </c:pt>
              </c:numCache>
            </c:numRef>
          </c:xVal>
          <c:yVal>
            <c:numRef>
              <c:f>'20  feature-with Elky (2)'!$L$38:$L$500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FC66-4193-A33C-308236D16DD6}"/>
            </c:ext>
          </c:extLst>
        </c:ser>
        <c:ser>
          <c:idx val="14"/>
          <c:order val="14"/>
          <c:tx>
            <c:strRef>
              <c:f>'20  feature-with Elky (2)'!$M$37</c:f>
              <c:strCache>
                <c:ptCount val="1"/>
                <c:pt idx="0">
                  <c:v>(9)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feature-with Elky (2)'!$D$38:$D$500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  <c:pt idx="224">
                  <c:v>97</c:v>
                </c:pt>
                <c:pt idx="225">
                  <c:v>169</c:v>
                </c:pt>
                <c:pt idx="226">
                  <c:v>114</c:v>
                </c:pt>
                <c:pt idx="227">
                  <c:v>137</c:v>
                </c:pt>
                <c:pt idx="228">
                  <c:v>119</c:v>
                </c:pt>
                <c:pt idx="229">
                  <c:v>107</c:v>
                </c:pt>
                <c:pt idx="230">
                  <c:v>94</c:v>
                </c:pt>
                <c:pt idx="231">
                  <c:v>114</c:v>
                </c:pt>
                <c:pt idx="232">
                  <c:v>117</c:v>
                </c:pt>
                <c:pt idx="233">
                  <c:v>110</c:v>
                </c:pt>
                <c:pt idx="234">
                  <c:v>78</c:v>
                </c:pt>
                <c:pt idx="235">
                  <c:v>125</c:v>
                </c:pt>
                <c:pt idx="236">
                  <c:v>143</c:v>
                </c:pt>
                <c:pt idx="237">
                  <c:v>122</c:v>
                </c:pt>
                <c:pt idx="238">
                  <c:v>108</c:v>
                </c:pt>
                <c:pt idx="239">
                  <c:v>90</c:v>
                </c:pt>
                <c:pt idx="240">
                  <c:v>109</c:v>
                </c:pt>
                <c:pt idx="241">
                  <c:v>149</c:v>
                </c:pt>
                <c:pt idx="242">
                  <c:v>153</c:v>
                </c:pt>
                <c:pt idx="243">
                  <c:v>87</c:v>
                </c:pt>
                <c:pt idx="244">
                  <c:v>115</c:v>
                </c:pt>
                <c:pt idx="245">
                  <c:v>112</c:v>
                </c:pt>
                <c:pt idx="246">
                  <c:v>113</c:v>
                </c:pt>
                <c:pt idx="247">
                  <c:v>122</c:v>
                </c:pt>
                <c:pt idx="248">
                  <c:v>116</c:v>
                </c:pt>
                <c:pt idx="249">
                  <c:v>109</c:v>
                </c:pt>
                <c:pt idx="250">
                  <c:v>124</c:v>
                </c:pt>
                <c:pt idx="251">
                  <c:v>93</c:v>
                </c:pt>
                <c:pt idx="252">
                  <c:v>72</c:v>
                </c:pt>
                <c:pt idx="253">
                  <c:v>81</c:v>
                </c:pt>
                <c:pt idx="254">
                  <c:v>124</c:v>
                </c:pt>
                <c:pt idx="255">
                  <c:v>115</c:v>
                </c:pt>
                <c:pt idx="256">
                  <c:v>108</c:v>
                </c:pt>
              </c:numCache>
            </c:numRef>
          </c:xVal>
          <c:yVal>
            <c:numRef>
              <c:f>'20  feature-with Elky (2)'!$M$38:$M$500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FC66-4193-A33C-308236D16DD6}"/>
            </c:ext>
          </c:extLst>
        </c:ser>
        <c:ser>
          <c:idx val="15"/>
          <c:order val="15"/>
          <c:tx>
            <c:strRef>
              <c:f>'20  feature-with Elky (2)'!$N$37</c:f>
              <c:strCache>
                <c:ptCount val="1"/>
                <c:pt idx="0">
                  <c:v>(10)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feature-with Elky (2)'!$D$38:$D$500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  <c:pt idx="224">
                  <c:v>97</c:v>
                </c:pt>
                <c:pt idx="225">
                  <c:v>169</c:v>
                </c:pt>
                <c:pt idx="226">
                  <c:v>114</c:v>
                </c:pt>
                <c:pt idx="227">
                  <c:v>137</c:v>
                </c:pt>
                <c:pt idx="228">
                  <c:v>119</c:v>
                </c:pt>
                <c:pt idx="229">
                  <c:v>107</c:v>
                </c:pt>
                <c:pt idx="230">
                  <c:v>94</c:v>
                </c:pt>
                <c:pt idx="231">
                  <c:v>114</c:v>
                </c:pt>
                <c:pt idx="232">
                  <c:v>117</c:v>
                </c:pt>
                <c:pt idx="233">
                  <c:v>110</c:v>
                </c:pt>
                <c:pt idx="234">
                  <c:v>78</c:v>
                </c:pt>
                <c:pt idx="235">
                  <c:v>125</c:v>
                </c:pt>
                <c:pt idx="236">
                  <c:v>143</c:v>
                </c:pt>
                <c:pt idx="237">
                  <c:v>122</c:v>
                </c:pt>
                <c:pt idx="238">
                  <c:v>108</c:v>
                </c:pt>
                <c:pt idx="239">
                  <c:v>90</c:v>
                </c:pt>
                <c:pt idx="240">
                  <c:v>109</c:v>
                </c:pt>
                <c:pt idx="241">
                  <c:v>149</c:v>
                </c:pt>
                <c:pt idx="242">
                  <c:v>153</c:v>
                </c:pt>
                <c:pt idx="243">
                  <c:v>87</c:v>
                </c:pt>
                <c:pt idx="244">
                  <c:v>115</c:v>
                </c:pt>
                <c:pt idx="245">
                  <c:v>112</c:v>
                </c:pt>
                <c:pt idx="246">
                  <c:v>113</c:v>
                </c:pt>
                <c:pt idx="247">
                  <c:v>122</c:v>
                </c:pt>
                <c:pt idx="248">
                  <c:v>116</c:v>
                </c:pt>
                <c:pt idx="249">
                  <c:v>109</c:v>
                </c:pt>
                <c:pt idx="250">
                  <c:v>124</c:v>
                </c:pt>
                <c:pt idx="251">
                  <c:v>93</c:v>
                </c:pt>
                <c:pt idx="252">
                  <c:v>72</c:v>
                </c:pt>
                <c:pt idx="253">
                  <c:v>81</c:v>
                </c:pt>
                <c:pt idx="254">
                  <c:v>124</c:v>
                </c:pt>
                <c:pt idx="255">
                  <c:v>115</c:v>
                </c:pt>
                <c:pt idx="256">
                  <c:v>108</c:v>
                </c:pt>
              </c:numCache>
            </c:numRef>
          </c:xVal>
          <c:yVal>
            <c:numRef>
              <c:f>'20  feature-with Elky (2)'!$N$38:$N$500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FC66-4193-A33C-308236D16DD6}"/>
            </c:ext>
          </c:extLst>
        </c:ser>
        <c:ser>
          <c:idx val="16"/>
          <c:order val="16"/>
          <c:tx>
            <c:strRef>
              <c:f>'20  feature-with Elky (2)'!$O$37</c:f>
              <c:strCache>
                <c:ptCount val="1"/>
                <c:pt idx="0">
                  <c:v>(11)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feature-with Elky (2)'!$D$38:$D$500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  <c:pt idx="224">
                  <c:v>97</c:v>
                </c:pt>
                <c:pt idx="225">
                  <c:v>169</c:v>
                </c:pt>
                <c:pt idx="226">
                  <c:v>114</c:v>
                </c:pt>
                <c:pt idx="227">
                  <c:v>137</c:v>
                </c:pt>
                <c:pt idx="228">
                  <c:v>119</c:v>
                </c:pt>
                <c:pt idx="229">
                  <c:v>107</c:v>
                </c:pt>
                <c:pt idx="230">
                  <c:v>94</c:v>
                </c:pt>
                <c:pt idx="231">
                  <c:v>114</c:v>
                </c:pt>
                <c:pt idx="232">
                  <c:v>117</c:v>
                </c:pt>
                <c:pt idx="233">
                  <c:v>110</c:v>
                </c:pt>
                <c:pt idx="234">
                  <c:v>78</c:v>
                </c:pt>
                <c:pt idx="235">
                  <c:v>125</c:v>
                </c:pt>
                <c:pt idx="236">
                  <c:v>143</c:v>
                </c:pt>
                <c:pt idx="237">
                  <c:v>122</c:v>
                </c:pt>
                <c:pt idx="238">
                  <c:v>108</c:v>
                </c:pt>
                <c:pt idx="239">
                  <c:v>90</c:v>
                </c:pt>
                <c:pt idx="240">
                  <c:v>109</c:v>
                </c:pt>
                <c:pt idx="241">
                  <c:v>149</c:v>
                </c:pt>
                <c:pt idx="242">
                  <c:v>153</c:v>
                </c:pt>
                <c:pt idx="243">
                  <c:v>87</c:v>
                </c:pt>
                <c:pt idx="244">
                  <c:v>115</c:v>
                </c:pt>
                <c:pt idx="245">
                  <c:v>112</c:v>
                </c:pt>
                <c:pt idx="246">
                  <c:v>113</c:v>
                </c:pt>
                <c:pt idx="247">
                  <c:v>122</c:v>
                </c:pt>
                <c:pt idx="248">
                  <c:v>116</c:v>
                </c:pt>
                <c:pt idx="249">
                  <c:v>109</c:v>
                </c:pt>
                <c:pt idx="250">
                  <c:v>124</c:v>
                </c:pt>
                <c:pt idx="251">
                  <c:v>93</c:v>
                </c:pt>
                <c:pt idx="252">
                  <c:v>72</c:v>
                </c:pt>
                <c:pt idx="253">
                  <c:v>81</c:v>
                </c:pt>
                <c:pt idx="254">
                  <c:v>124</c:v>
                </c:pt>
                <c:pt idx="255">
                  <c:v>115</c:v>
                </c:pt>
                <c:pt idx="256">
                  <c:v>108</c:v>
                </c:pt>
              </c:numCache>
            </c:numRef>
          </c:xVal>
          <c:yVal>
            <c:numRef>
              <c:f>'20  feature-with Elky (2)'!$O$38:$O$500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FC66-4193-A33C-308236D16DD6}"/>
            </c:ext>
          </c:extLst>
        </c:ser>
        <c:ser>
          <c:idx val="17"/>
          <c:order val="17"/>
          <c:tx>
            <c:strRef>
              <c:f>'20  feature-with Elky (2)'!$P$37</c:f>
              <c:strCache>
                <c:ptCount val="1"/>
                <c:pt idx="0">
                  <c:v>(12)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feature-with Elky (2)'!$D$38:$D$500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  <c:pt idx="224">
                  <c:v>97</c:v>
                </c:pt>
                <c:pt idx="225">
                  <c:v>169</c:v>
                </c:pt>
                <c:pt idx="226">
                  <c:v>114</c:v>
                </c:pt>
                <c:pt idx="227">
                  <c:v>137</c:v>
                </c:pt>
                <c:pt idx="228">
                  <c:v>119</c:v>
                </c:pt>
                <c:pt idx="229">
                  <c:v>107</c:v>
                </c:pt>
                <c:pt idx="230">
                  <c:v>94</c:v>
                </c:pt>
                <c:pt idx="231">
                  <c:v>114</c:v>
                </c:pt>
                <c:pt idx="232">
                  <c:v>117</c:v>
                </c:pt>
                <c:pt idx="233">
                  <c:v>110</c:v>
                </c:pt>
                <c:pt idx="234">
                  <c:v>78</c:v>
                </c:pt>
                <c:pt idx="235">
                  <c:v>125</c:v>
                </c:pt>
                <c:pt idx="236">
                  <c:v>143</c:v>
                </c:pt>
                <c:pt idx="237">
                  <c:v>122</c:v>
                </c:pt>
                <c:pt idx="238">
                  <c:v>108</c:v>
                </c:pt>
                <c:pt idx="239">
                  <c:v>90</c:v>
                </c:pt>
                <c:pt idx="240">
                  <c:v>109</c:v>
                </c:pt>
                <c:pt idx="241">
                  <c:v>149</c:v>
                </c:pt>
                <c:pt idx="242">
                  <c:v>153</c:v>
                </c:pt>
                <c:pt idx="243">
                  <c:v>87</c:v>
                </c:pt>
                <c:pt idx="244">
                  <c:v>115</c:v>
                </c:pt>
                <c:pt idx="245">
                  <c:v>112</c:v>
                </c:pt>
                <c:pt idx="246">
                  <c:v>113</c:v>
                </c:pt>
                <c:pt idx="247">
                  <c:v>122</c:v>
                </c:pt>
                <c:pt idx="248">
                  <c:v>116</c:v>
                </c:pt>
                <c:pt idx="249">
                  <c:v>109</c:v>
                </c:pt>
                <c:pt idx="250">
                  <c:v>124</c:v>
                </c:pt>
                <c:pt idx="251">
                  <c:v>93</c:v>
                </c:pt>
                <c:pt idx="252">
                  <c:v>72</c:v>
                </c:pt>
                <c:pt idx="253">
                  <c:v>81</c:v>
                </c:pt>
                <c:pt idx="254">
                  <c:v>124</c:v>
                </c:pt>
                <c:pt idx="255">
                  <c:v>115</c:v>
                </c:pt>
                <c:pt idx="256">
                  <c:v>108</c:v>
                </c:pt>
              </c:numCache>
            </c:numRef>
          </c:xVal>
          <c:yVal>
            <c:numRef>
              <c:f>'20  feature-with Elky (2)'!$P$38:$P$500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FC66-4193-A33C-308236D16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Commercial Glucose Meter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903500139682563E-2"/>
          <c:y val="3.012311634386609E-2"/>
          <c:w val="0.73089849317186495"/>
          <c:h val="0.897197200999225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7D9-42C3-9BF2-011942F75948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7D9-42C3-9BF2-011942F75948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57D9-42C3-9BF2-011942F75948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7D9-42C3-9BF2-011942F7594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57D9-42C3-9BF2-011942F7594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57D9-42C3-9BF2-011942F75948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57D9-42C3-9BF2-011942F75948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57D9-42C3-9BF2-011942F75948}"/>
              </c:ext>
            </c:extLst>
          </c:dPt>
          <c:xVal>
            <c:numRef>
              <c:f>('EGA (mmol per L)'!$C$3:$C$7,'EGA (mmol per L)'!$C$12:$C$16)</c:f>
              <c:numCache>
                <c:formatCode>General</c:formatCode>
                <c:ptCount val="10"/>
                <c:pt idx="0">
                  <c:v>0</c:v>
                </c:pt>
                <c:pt idx="1">
                  <c:v>1.6666666666666667</c:v>
                </c:pt>
                <c:pt idx="2">
                  <c:v>7.7777777777777777</c:v>
                </c:pt>
                <c:pt idx="3">
                  <c:v>15.555555555555555</c:v>
                </c:pt>
                <c:pt idx="4">
                  <c:v>106.66666666666667</c:v>
                </c:pt>
                <c:pt idx="5">
                  <c:v>2.7777777777777777</c:v>
                </c:pt>
                <c:pt idx="6">
                  <c:v>2.7777777777777777</c:v>
                </c:pt>
                <c:pt idx="7">
                  <c:v>9.4444444444444446</c:v>
                </c:pt>
                <c:pt idx="8">
                  <c:v>21.388888888888889</c:v>
                </c:pt>
                <c:pt idx="9">
                  <c:v>61.111111111111114</c:v>
                </c:pt>
              </c:numCache>
            </c:numRef>
          </c:xVal>
          <c:yVal>
            <c:numRef>
              <c:f>('EGA (mmol per L)'!$G$3:$G$7,'EGA (mmol per L)'!$H$12:$H$16)</c:f>
              <c:numCache>
                <c:formatCode>General</c:formatCode>
                <c:ptCount val="10"/>
                <c:pt idx="0">
                  <c:v>2.7777777777777777</c:v>
                </c:pt>
                <c:pt idx="1">
                  <c:v>2.7777777777777777</c:v>
                </c:pt>
                <c:pt idx="2">
                  <c:v>9.4444444444444446</c:v>
                </c:pt>
                <c:pt idx="3">
                  <c:v>21.111111111111111</c:v>
                </c:pt>
                <c:pt idx="4">
                  <c:v>122.22222222222223</c:v>
                </c:pt>
                <c:pt idx="5">
                  <c:v>0</c:v>
                </c:pt>
                <c:pt idx="6">
                  <c:v>1.6666666666666667</c:v>
                </c:pt>
                <c:pt idx="7">
                  <c:v>8.0555555555555554</c:v>
                </c:pt>
                <c:pt idx="8">
                  <c:v>16.666666666666668</c:v>
                </c:pt>
                <c:pt idx="9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7D9-42C3-9BF2-011942F75948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57D9-42C3-9BF2-011942F7594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57D9-42C3-9BF2-011942F75948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57D9-42C3-9BF2-011942F75948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57D9-42C3-9BF2-011942F7594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57D9-42C3-9BF2-011942F7594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57D9-42C3-9BF2-011942F75948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57D9-42C3-9BF2-011942F75948}"/>
              </c:ext>
            </c:extLst>
          </c:dPt>
          <c:xVal>
            <c:numRef>
              <c:f>('EGA (mmol per L)'!$C$8:$C$11,'EGA (mmol per L)'!$C$17:$C$21)</c:f>
              <c:numCache>
                <c:formatCode>General</c:formatCode>
                <c:ptCount val="9"/>
                <c:pt idx="0">
                  <c:v>6.666666666666667</c:v>
                </c:pt>
                <c:pt idx="1">
                  <c:v>6.666666666666667</c:v>
                </c:pt>
                <c:pt idx="2">
                  <c:v>14.444444444444445</c:v>
                </c:pt>
                <c:pt idx="3">
                  <c:v>61.111111111111114</c:v>
                </c:pt>
                <c:pt idx="4">
                  <c:v>0</c:v>
                </c:pt>
                <c:pt idx="5">
                  <c:v>1.6666666666666667</c:v>
                </c:pt>
                <c:pt idx="6">
                  <c:v>2.7777777777777777</c:v>
                </c:pt>
                <c:pt idx="7">
                  <c:v>3.8888888888888888</c:v>
                </c:pt>
                <c:pt idx="8">
                  <c:v>57.777777777777779</c:v>
                </c:pt>
              </c:numCache>
            </c:numRef>
          </c:xVal>
          <c:yVal>
            <c:numRef>
              <c:f>('EGA (mmol per L)'!$J$8:$J$11,'EGA (mmol per L)'!$I$17:$I$21)</c:f>
              <c:numCache>
                <c:formatCode>General</c:formatCode>
                <c:ptCount val="9"/>
                <c:pt idx="0">
                  <c:v>0</c:v>
                </c:pt>
                <c:pt idx="1">
                  <c:v>1.6666666666666667</c:v>
                </c:pt>
                <c:pt idx="2">
                  <c:v>7.2222222222222223</c:v>
                </c:pt>
                <c:pt idx="3">
                  <c:v>27.777777777777779</c:v>
                </c:pt>
                <c:pt idx="4">
                  <c:v>3.3333333333333335</c:v>
                </c:pt>
                <c:pt idx="5">
                  <c:v>3.3333333333333335</c:v>
                </c:pt>
                <c:pt idx="6">
                  <c:v>4.4444444444444446</c:v>
                </c:pt>
                <c:pt idx="7">
                  <c:v>6.1111111111111107</c:v>
                </c:pt>
                <c:pt idx="8">
                  <c:v>122.22222222222223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57D9-42C3-9BF2-011942F75948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57D9-42C3-9BF2-011942F7594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57D9-42C3-9BF2-011942F75948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57D9-42C3-9BF2-011942F75948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57D9-42C3-9BF2-011942F7594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57D9-42C3-9BF2-011942F7594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57D9-42C3-9BF2-011942F75948}"/>
              </c:ext>
            </c:extLst>
          </c:dPt>
          <c:xVal>
            <c:numRef>
              <c:f>('EGA (mmol per L)'!$C$22:$C$24,'EGA (mmol per L)'!$C$25:$C$29)</c:f>
              <c:numCache>
                <c:formatCode>General</c:formatCode>
                <c:ptCount val="8"/>
                <c:pt idx="0">
                  <c:v>13.888888888888889</c:v>
                </c:pt>
                <c:pt idx="1">
                  <c:v>13.888888888888889</c:v>
                </c:pt>
                <c:pt idx="2">
                  <c:v>61.111111111111114</c:v>
                </c:pt>
                <c:pt idx="3">
                  <c:v>0</c:v>
                </c:pt>
                <c:pt idx="4">
                  <c:v>1.3888888888888888</c:v>
                </c:pt>
                <c:pt idx="5">
                  <c:v>2.7777777777777777</c:v>
                </c:pt>
                <c:pt idx="6">
                  <c:v>4.4444444444444446</c:v>
                </c:pt>
                <c:pt idx="7">
                  <c:v>27.777777777777779</c:v>
                </c:pt>
              </c:numCache>
            </c:numRef>
          </c:xVal>
          <c:yVal>
            <c:numRef>
              <c:f>('EGA (mmol per L)'!$L$22:$L$24,'EGA (mmol per L)'!$K$25:$K$29)</c:f>
              <c:numCache>
                <c:formatCode>General</c:formatCode>
                <c:ptCount val="8"/>
                <c:pt idx="0">
                  <c:v>0</c:v>
                </c:pt>
                <c:pt idx="1">
                  <c:v>2.2222222222222223</c:v>
                </c:pt>
                <c:pt idx="2">
                  <c:v>16.666666666666668</c:v>
                </c:pt>
                <c:pt idx="3">
                  <c:v>5.5555555555555554</c:v>
                </c:pt>
                <c:pt idx="4">
                  <c:v>5.5555555555555554</c:v>
                </c:pt>
                <c:pt idx="5">
                  <c:v>6.9444444444444446</c:v>
                </c:pt>
                <c:pt idx="6">
                  <c:v>11.944444444444445</c:v>
                </c:pt>
                <c:pt idx="7">
                  <c:v>122.22222222222223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57D9-42C3-9BF2-011942F75948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57D9-42C3-9BF2-011942F7594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57D9-42C3-9BF2-011942F75948}"/>
              </c:ext>
            </c:extLst>
          </c:dPt>
          <c:xVal>
            <c:numRef>
              <c:f>('EGA (mmol per L)'!$C$30:$C$32,'EGA (mmol per L)'!$C$33:$C$34)</c:f>
              <c:numCache>
                <c:formatCode>General</c:formatCode>
                <c:ptCount val="5"/>
                <c:pt idx="0">
                  <c:v>0</c:v>
                </c:pt>
                <c:pt idx="1">
                  <c:v>1.9444444444444444</c:v>
                </c:pt>
                <c:pt idx="2">
                  <c:v>11.111111111111111</c:v>
                </c:pt>
                <c:pt idx="3">
                  <c:v>0</c:v>
                </c:pt>
                <c:pt idx="4">
                  <c:v>122.22222222222223</c:v>
                </c:pt>
              </c:numCache>
            </c:numRef>
          </c:xVal>
          <c:yVal>
            <c:numRef>
              <c:f>('EGA (mmol per L)'!$M$30:$M$32,'EGA (mmol per L)'!$N$33:$N$34)</c:f>
              <c:numCache>
                <c:formatCode>General</c:formatCode>
                <c:ptCount val="5"/>
                <c:pt idx="0">
                  <c:v>8.3333333333333339</c:v>
                </c:pt>
                <c:pt idx="1">
                  <c:v>8.6111111111111107</c:v>
                </c:pt>
                <c:pt idx="2">
                  <c:v>122.22222222222223</c:v>
                </c:pt>
                <c:pt idx="3">
                  <c:v>0</c:v>
                </c:pt>
                <c:pt idx="4">
                  <c:v>122.22222222222223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57D9-42C3-9BF2-011942F75948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57D9-42C3-9BF2-011942F75948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57D9-42C3-9BF2-011942F75948}"/>
            </c:ext>
          </c:extLst>
        </c:ser>
        <c:ser>
          <c:idx val="6"/>
          <c:order val="6"/>
          <c:tx>
            <c:strRef>
              <c:f>'EGA (mmol per L)'!$D$37</c:f>
              <c:strCache>
                <c:ptCount val="1"/>
                <c:pt idx="0">
                  <c:v>Glucose solution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4F81BD"/>
              </a:solidFill>
            </c:spPr>
          </c:marker>
          <c:xVal>
            <c:numRef>
              <c:f>'EGA (mmol per L)'!$C$38:$C$255</c:f>
              <c:numCache>
                <c:formatCode>General</c:formatCode>
                <c:ptCount val="218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  <c:pt idx="101">
                  <c:v>6.4</c:v>
                </c:pt>
                <c:pt idx="102">
                  <c:v>6.4</c:v>
                </c:pt>
                <c:pt idx="103">
                  <c:v>6.4</c:v>
                </c:pt>
                <c:pt idx="104">
                  <c:v>6.4</c:v>
                </c:pt>
                <c:pt idx="105">
                  <c:v>6.4</c:v>
                </c:pt>
                <c:pt idx="106">
                  <c:v>6.4</c:v>
                </c:pt>
                <c:pt idx="107">
                  <c:v>6.4</c:v>
                </c:pt>
                <c:pt idx="108">
                  <c:v>6.4</c:v>
                </c:pt>
                <c:pt idx="109">
                  <c:v>6.4</c:v>
                </c:pt>
                <c:pt idx="110">
                  <c:v>19.7</c:v>
                </c:pt>
                <c:pt idx="111">
                  <c:v>19.7</c:v>
                </c:pt>
                <c:pt idx="112">
                  <c:v>19.7</c:v>
                </c:pt>
                <c:pt idx="113">
                  <c:v>19.7</c:v>
                </c:pt>
                <c:pt idx="114">
                  <c:v>19.7</c:v>
                </c:pt>
                <c:pt idx="115">
                  <c:v>19.7</c:v>
                </c:pt>
                <c:pt idx="116">
                  <c:v>19.7</c:v>
                </c:pt>
                <c:pt idx="117">
                  <c:v>19.7</c:v>
                </c:pt>
                <c:pt idx="118">
                  <c:v>19.7</c:v>
                </c:pt>
                <c:pt idx="119">
                  <c:v>19.7</c:v>
                </c:pt>
                <c:pt idx="120">
                  <c:v>19.7</c:v>
                </c:pt>
                <c:pt idx="121">
                  <c:v>19.7</c:v>
                </c:pt>
                <c:pt idx="122">
                  <c:v>19.7</c:v>
                </c:pt>
                <c:pt idx="123">
                  <c:v>19.7</c:v>
                </c:pt>
                <c:pt idx="124">
                  <c:v>19.7</c:v>
                </c:pt>
                <c:pt idx="125">
                  <c:v>19.7</c:v>
                </c:pt>
                <c:pt idx="126">
                  <c:v>19.7</c:v>
                </c:pt>
                <c:pt idx="127">
                  <c:v>19.7</c:v>
                </c:pt>
                <c:pt idx="128">
                  <c:v>19.7</c:v>
                </c:pt>
                <c:pt idx="129">
                  <c:v>19.7</c:v>
                </c:pt>
                <c:pt idx="130">
                  <c:v>19.7</c:v>
                </c:pt>
                <c:pt idx="131">
                  <c:v>19.7</c:v>
                </c:pt>
                <c:pt idx="132">
                  <c:v>19.7</c:v>
                </c:pt>
                <c:pt idx="133">
                  <c:v>19.7</c:v>
                </c:pt>
                <c:pt idx="134">
                  <c:v>19.7</c:v>
                </c:pt>
              </c:numCache>
            </c:numRef>
          </c:xVal>
          <c:yVal>
            <c:numRef>
              <c:f>'EGA (mmol per L)'!$D$38:$D$255</c:f>
              <c:numCache>
                <c:formatCode>General</c:formatCode>
                <c:ptCount val="218"/>
                <c:pt idx="0">
                  <c:v>2.2000000000000002</c:v>
                </c:pt>
                <c:pt idx="1">
                  <c:v>2.1</c:v>
                </c:pt>
                <c:pt idx="2">
                  <c:v>2.1</c:v>
                </c:pt>
                <c:pt idx="3">
                  <c:v>2.2999999999999998</c:v>
                </c:pt>
                <c:pt idx="4">
                  <c:v>2.1</c:v>
                </c:pt>
                <c:pt idx="5">
                  <c:v>2.2000000000000002</c:v>
                </c:pt>
                <c:pt idx="6">
                  <c:v>2.2999999999999998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2.1</c:v>
                </c:pt>
                <c:pt idx="12">
                  <c:v>2.1</c:v>
                </c:pt>
                <c:pt idx="13">
                  <c:v>2.1</c:v>
                </c:pt>
                <c:pt idx="14">
                  <c:v>2.2000000000000002</c:v>
                </c:pt>
                <c:pt idx="15">
                  <c:v>2.1</c:v>
                </c:pt>
                <c:pt idx="16">
                  <c:v>2.2000000000000002</c:v>
                </c:pt>
                <c:pt idx="17">
                  <c:v>2.1</c:v>
                </c:pt>
                <c:pt idx="18">
                  <c:v>2.2000000000000002</c:v>
                </c:pt>
                <c:pt idx="19">
                  <c:v>2.1</c:v>
                </c:pt>
                <c:pt idx="20">
                  <c:v>6.3</c:v>
                </c:pt>
                <c:pt idx="21">
                  <c:v>6.3</c:v>
                </c:pt>
                <c:pt idx="22">
                  <c:v>6.3</c:v>
                </c:pt>
                <c:pt idx="23">
                  <c:v>6.3</c:v>
                </c:pt>
                <c:pt idx="24">
                  <c:v>6.4</c:v>
                </c:pt>
                <c:pt idx="25">
                  <c:v>6.4</c:v>
                </c:pt>
                <c:pt idx="26">
                  <c:v>6.3</c:v>
                </c:pt>
                <c:pt idx="27">
                  <c:v>6.4</c:v>
                </c:pt>
                <c:pt idx="28">
                  <c:v>6.3</c:v>
                </c:pt>
                <c:pt idx="29">
                  <c:v>6.3</c:v>
                </c:pt>
                <c:pt idx="30">
                  <c:v>6.3</c:v>
                </c:pt>
                <c:pt idx="31">
                  <c:v>6.4</c:v>
                </c:pt>
                <c:pt idx="32">
                  <c:v>6.3</c:v>
                </c:pt>
                <c:pt idx="33">
                  <c:v>6.4</c:v>
                </c:pt>
                <c:pt idx="34">
                  <c:v>6.4</c:v>
                </c:pt>
                <c:pt idx="35">
                  <c:v>6.4</c:v>
                </c:pt>
                <c:pt idx="36">
                  <c:v>6.5</c:v>
                </c:pt>
                <c:pt idx="37">
                  <c:v>6.3</c:v>
                </c:pt>
                <c:pt idx="38">
                  <c:v>6.3</c:v>
                </c:pt>
                <c:pt idx="39">
                  <c:v>6.3</c:v>
                </c:pt>
                <c:pt idx="40">
                  <c:v>19.600000000000001</c:v>
                </c:pt>
                <c:pt idx="41">
                  <c:v>19.5</c:v>
                </c:pt>
                <c:pt idx="42">
                  <c:v>19.899999999999999</c:v>
                </c:pt>
                <c:pt idx="43">
                  <c:v>19.600000000000001</c:v>
                </c:pt>
                <c:pt idx="44">
                  <c:v>20.3</c:v>
                </c:pt>
                <c:pt idx="45">
                  <c:v>20.8</c:v>
                </c:pt>
                <c:pt idx="46">
                  <c:v>20.100000000000001</c:v>
                </c:pt>
                <c:pt idx="47">
                  <c:v>19.899999999999999</c:v>
                </c:pt>
                <c:pt idx="48">
                  <c:v>20</c:v>
                </c:pt>
                <c:pt idx="49">
                  <c:v>19.899999999999999</c:v>
                </c:pt>
                <c:pt idx="50">
                  <c:v>19.5</c:v>
                </c:pt>
                <c:pt idx="51">
                  <c:v>20.3</c:v>
                </c:pt>
                <c:pt idx="52">
                  <c:v>19.399999999999999</c:v>
                </c:pt>
                <c:pt idx="53">
                  <c:v>19.7</c:v>
                </c:pt>
                <c:pt idx="54">
                  <c:v>19.600000000000001</c:v>
                </c:pt>
                <c:pt idx="55">
                  <c:v>19.8</c:v>
                </c:pt>
                <c:pt idx="56">
                  <c:v>19.8</c:v>
                </c:pt>
                <c:pt idx="57">
                  <c:v>19.899999999999999</c:v>
                </c:pt>
                <c:pt idx="58">
                  <c:v>20</c:v>
                </c:pt>
                <c:pt idx="59">
                  <c:v>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57D9-42C3-9BF2-011942F75948}"/>
            </c:ext>
          </c:extLst>
        </c:ser>
        <c:ser>
          <c:idx val="7"/>
          <c:order val="7"/>
          <c:tx>
            <c:strRef>
              <c:f>'EGA (mmol per L)'!$E$37</c:f>
              <c:strCache>
                <c:ptCount val="1"/>
                <c:pt idx="0">
                  <c:v>plasma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'EGA (mmol per L)'!$C$38:$C$257</c:f>
              <c:numCache>
                <c:formatCode>General</c:formatCode>
                <c:ptCount val="220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  <c:pt idx="101">
                  <c:v>6.4</c:v>
                </c:pt>
                <c:pt idx="102">
                  <c:v>6.4</c:v>
                </c:pt>
                <c:pt idx="103">
                  <c:v>6.4</c:v>
                </c:pt>
                <c:pt idx="104">
                  <c:v>6.4</c:v>
                </c:pt>
                <c:pt idx="105">
                  <c:v>6.4</c:v>
                </c:pt>
                <c:pt idx="106">
                  <c:v>6.4</c:v>
                </c:pt>
                <c:pt idx="107">
                  <c:v>6.4</c:v>
                </c:pt>
                <c:pt idx="108">
                  <c:v>6.4</c:v>
                </c:pt>
                <c:pt idx="109">
                  <c:v>6.4</c:v>
                </c:pt>
                <c:pt idx="110">
                  <c:v>19.7</c:v>
                </c:pt>
                <c:pt idx="111">
                  <c:v>19.7</c:v>
                </c:pt>
                <c:pt idx="112">
                  <c:v>19.7</c:v>
                </c:pt>
                <c:pt idx="113">
                  <c:v>19.7</c:v>
                </c:pt>
                <c:pt idx="114">
                  <c:v>19.7</c:v>
                </c:pt>
                <c:pt idx="115">
                  <c:v>19.7</c:v>
                </c:pt>
                <c:pt idx="116">
                  <c:v>19.7</c:v>
                </c:pt>
                <c:pt idx="117">
                  <c:v>19.7</c:v>
                </c:pt>
                <c:pt idx="118">
                  <c:v>19.7</c:v>
                </c:pt>
                <c:pt idx="119">
                  <c:v>19.7</c:v>
                </c:pt>
                <c:pt idx="120">
                  <c:v>19.7</c:v>
                </c:pt>
                <c:pt idx="121">
                  <c:v>19.7</c:v>
                </c:pt>
                <c:pt idx="122">
                  <c:v>19.7</c:v>
                </c:pt>
                <c:pt idx="123">
                  <c:v>19.7</c:v>
                </c:pt>
                <c:pt idx="124">
                  <c:v>19.7</c:v>
                </c:pt>
                <c:pt idx="125">
                  <c:v>19.7</c:v>
                </c:pt>
                <c:pt idx="126">
                  <c:v>19.7</c:v>
                </c:pt>
                <c:pt idx="127">
                  <c:v>19.7</c:v>
                </c:pt>
                <c:pt idx="128">
                  <c:v>19.7</c:v>
                </c:pt>
                <c:pt idx="129">
                  <c:v>19.7</c:v>
                </c:pt>
                <c:pt idx="130">
                  <c:v>19.7</c:v>
                </c:pt>
                <c:pt idx="131">
                  <c:v>19.7</c:v>
                </c:pt>
                <c:pt idx="132">
                  <c:v>19.7</c:v>
                </c:pt>
                <c:pt idx="133">
                  <c:v>19.7</c:v>
                </c:pt>
                <c:pt idx="134">
                  <c:v>19.7</c:v>
                </c:pt>
              </c:numCache>
            </c:numRef>
          </c:xVal>
          <c:yVal>
            <c:numRef>
              <c:f>'EGA (mmol per L)'!$E$38:$E$257</c:f>
              <c:numCache>
                <c:formatCode>General</c:formatCode>
                <c:ptCount val="220"/>
                <c:pt idx="60">
                  <c:v>3.4</c:v>
                </c:pt>
                <c:pt idx="61">
                  <c:v>3.1</c:v>
                </c:pt>
                <c:pt idx="62">
                  <c:v>3.1</c:v>
                </c:pt>
                <c:pt idx="63">
                  <c:v>3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</c:v>
                </c:pt>
                <c:pt idx="69">
                  <c:v>3</c:v>
                </c:pt>
                <c:pt idx="70">
                  <c:v>3.4</c:v>
                </c:pt>
                <c:pt idx="71">
                  <c:v>3.4</c:v>
                </c:pt>
                <c:pt idx="72">
                  <c:v>3.4</c:v>
                </c:pt>
                <c:pt idx="73">
                  <c:v>3.1</c:v>
                </c:pt>
                <c:pt idx="74">
                  <c:v>3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3.1</c:v>
                </c:pt>
                <c:pt idx="81">
                  <c:v>3.4</c:v>
                </c:pt>
                <c:pt idx="82">
                  <c:v>3.1</c:v>
                </c:pt>
                <c:pt idx="83">
                  <c:v>3.4</c:v>
                </c:pt>
                <c:pt idx="84">
                  <c:v>3.1</c:v>
                </c:pt>
                <c:pt idx="85">
                  <c:v>6.5</c:v>
                </c:pt>
                <c:pt idx="86">
                  <c:v>6.5</c:v>
                </c:pt>
                <c:pt idx="87">
                  <c:v>6.7</c:v>
                </c:pt>
                <c:pt idx="88">
                  <c:v>6.9</c:v>
                </c:pt>
                <c:pt idx="89">
                  <c:v>6.9</c:v>
                </c:pt>
                <c:pt idx="90">
                  <c:v>6.7</c:v>
                </c:pt>
                <c:pt idx="91">
                  <c:v>6.6</c:v>
                </c:pt>
                <c:pt idx="92">
                  <c:v>6.7</c:v>
                </c:pt>
                <c:pt idx="93">
                  <c:v>6.8</c:v>
                </c:pt>
                <c:pt idx="94">
                  <c:v>6.9</c:v>
                </c:pt>
                <c:pt idx="95">
                  <c:v>6.5</c:v>
                </c:pt>
                <c:pt idx="96">
                  <c:v>6.5</c:v>
                </c:pt>
                <c:pt idx="97">
                  <c:v>6.5</c:v>
                </c:pt>
                <c:pt idx="98">
                  <c:v>6.7</c:v>
                </c:pt>
                <c:pt idx="99">
                  <c:v>6.8</c:v>
                </c:pt>
                <c:pt idx="100">
                  <c:v>6.7</c:v>
                </c:pt>
                <c:pt idx="101">
                  <c:v>6.9</c:v>
                </c:pt>
                <c:pt idx="102">
                  <c:v>6.7</c:v>
                </c:pt>
                <c:pt idx="103">
                  <c:v>6.8</c:v>
                </c:pt>
                <c:pt idx="104">
                  <c:v>6.7</c:v>
                </c:pt>
                <c:pt idx="105">
                  <c:v>6.5</c:v>
                </c:pt>
                <c:pt idx="106">
                  <c:v>6.6</c:v>
                </c:pt>
                <c:pt idx="107">
                  <c:v>6.7</c:v>
                </c:pt>
                <c:pt idx="108">
                  <c:v>6.6</c:v>
                </c:pt>
                <c:pt idx="109">
                  <c:v>6.9</c:v>
                </c:pt>
                <c:pt idx="110">
                  <c:v>21.5</c:v>
                </c:pt>
                <c:pt idx="111">
                  <c:v>21</c:v>
                </c:pt>
                <c:pt idx="112">
                  <c:v>21.9</c:v>
                </c:pt>
                <c:pt idx="113">
                  <c:v>21.7</c:v>
                </c:pt>
                <c:pt idx="114">
                  <c:v>20.399999999999999</c:v>
                </c:pt>
                <c:pt idx="115">
                  <c:v>21.5</c:v>
                </c:pt>
                <c:pt idx="116">
                  <c:v>20</c:v>
                </c:pt>
                <c:pt idx="117">
                  <c:v>21.2</c:v>
                </c:pt>
                <c:pt idx="118">
                  <c:v>20.3</c:v>
                </c:pt>
                <c:pt idx="119">
                  <c:v>20.7</c:v>
                </c:pt>
                <c:pt idx="120">
                  <c:v>21.5</c:v>
                </c:pt>
                <c:pt idx="121">
                  <c:v>21.3</c:v>
                </c:pt>
                <c:pt idx="122">
                  <c:v>20.399999999999999</c:v>
                </c:pt>
                <c:pt idx="123">
                  <c:v>20.8</c:v>
                </c:pt>
                <c:pt idx="124">
                  <c:v>20.5</c:v>
                </c:pt>
                <c:pt idx="125">
                  <c:v>21.6</c:v>
                </c:pt>
                <c:pt idx="126">
                  <c:v>21.5</c:v>
                </c:pt>
                <c:pt idx="127">
                  <c:v>21</c:v>
                </c:pt>
                <c:pt idx="128">
                  <c:v>22.3</c:v>
                </c:pt>
                <c:pt idx="129">
                  <c:v>20.3</c:v>
                </c:pt>
                <c:pt idx="130">
                  <c:v>21</c:v>
                </c:pt>
                <c:pt idx="131">
                  <c:v>20.9</c:v>
                </c:pt>
                <c:pt idx="132">
                  <c:v>21.8</c:v>
                </c:pt>
                <c:pt idx="133">
                  <c:v>21</c:v>
                </c:pt>
                <c:pt idx="134">
                  <c:v>20.6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57D9-42C3-9BF2-011942F75948}"/>
            </c:ext>
          </c:extLst>
        </c:ser>
        <c:ser>
          <c:idx val="8"/>
          <c:order val="8"/>
          <c:tx>
            <c:strRef>
              <c:f>'EGA (mmol per L)'!$F$37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L)'!$F$38:$F$138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57D9-42C3-9BF2-011942F75948}"/>
            </c:ext>
          </c:extLst>
        </c:ser>
        <c:ser>
          <c:idx val="9"/>
          <c:order val="9"/>
          <c:tx>
            <c:strRef>
              <c:f>'EGA (mmol per L)'!$G$37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L)'!$G$38:$G$138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57D9-42C3-9BF2-011942F75948}"/>
            </c:ext>
          </c:extLst>
        </c:ser>
        <c:ser>
          <c:idx val="10"/>
          <c:order val="10"/>
          <c:tx>
            <c:strRef>
              <c:f>'EGA (mmol per L)'!$H$37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L)'!$H$38:$H$137</c:f>
              <c:numCache>
                <c:formatCode>General</c:formatCode>
                <c:ptCount val="1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57D9-42C3-9BF2-011942F75948}"/>
            </c:ext>
          </c:extLst>
        </c:ser>
        <c:ser>
          <c:idx val="11"/>
          <c:order val="11"/>
          <c:tx>
            <c:strRef>
              <c:f>'EGA (mmol per L)'!$I$37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L)'!$I$38:$I$137</c:f>
              <c:numCache>
                <c:formatCode>General</c:formatCode>
                <c:ptCount val="1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57D9-42C3-9BF2-011942F75948}"/>
            </c:ext>
          </c:extLst>
        </c:ser>
        <c:ser>
          <c:idx val="12"/>
          <c:order val="12"/>
          <c:tx>
            <c:strRef>
              <c:f>'EGA (mmol per L)'!$J$37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L)'!$J$38:$J$138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57D9-42C3-9BF2-011942F75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10368"/>
        <c:axId val="110424832"/>
      </c:scatterChart>
      <c:valAx>
        <c:axId val="110410368"/>
        <c:scaling>
          <c:orientation val="minMax"/>
          <c:max val="3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YSI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424832"/>
        <c:crosses val="autoZero"/>
        <c:crossBetween val="midCat"/>
        <c:majorUnit val="5"/>
      </c:valAx>
      <c:valAx>
        <c:axId val="110424832"/>
        <c:scaling>
          <c:orientation val="minMax"/>
          <c:max val="35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en-US"/>
                  <a:t>Meter reading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410368"/>
        <c:crosses val="autoZero"/>
        <c:crossBetween val="midCat"/>
        <c:majorUnit val="5"/>
      </c:valAx>
      <c:spPr>
        <a:ln>
          <a:solidFill>
            <a:schemeClr val="tx1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1262664116141858"/>
          <c:y val="3.4669237773849698E-2"/>
          <c:w val="0.17698250503477975"/>
          <c:h val="0.16703723722846334"/>
        </c:manualLayout>
      </c:layout>
      <c:overlay val="1"/>
      <c:spPr>
        <a:solidFill>
          <a:schemeClr val="lt1"/>
        </a:solidFill>
        <a:ln w="25400" cap="flat" cmpd="sng" algn="ctr">
          <a:solidFill>
            <a:schemeClr val="dk1"/>
          </a:solidFill>
          <a:prstDash val="solid"/>
        </a:ln>
        <a:effectLst/>
      </c:spPr>
      <c:txPr>
        <a:bodyPr/>
        <a:lstStyle/>
        <a:p>
          <a:pPr>
            <a:defRPr sz="14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2269049422796"/>
          <c:y val="6.1390878016446229E-2"/>
          <c:w val="0.79945663341507778"/>
          <c:h val="0.8541582954121799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工作表1!$B$3:$B$7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C8-469C-8BB4-BBB358C2508A}"/>
            </c:ext>
          </c:extLst>
        </c:ser>
        <c:ser>
          <c:idx val="1"/>
          <c:order val="1"/>
          <c:tx>
            <c:strRef>
              <c:f>工作表1!$C$2</c:f>
              <c:strCache>
                <c:ptCount val="1"/>
                <c:pt idx="0">
                  <c:v>upper zone 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工作表1!$C$3:$C$7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C8-469C-8BB4-BBB358C2508A}"/>
            </c:ext>
          </c:extLst>
        </c:ser>
        <c:ser>
          <c:idx val="2"/>
          <c:order val="2"/>
          <c:tx>
            <c:strRef>
              <c:f>工作表1!$D$2</c:f>
              <c:strCache>
                <c:ptCount val="1"/>
                <c:pt idx="0">
                  <c:v>lower zone 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工作表1!$A$12:$A$16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385</c:v>
                </c:pt>
                <c:pt idx="4">
                  <c:v>550</c:v>
                </c:pt>
              </c:numCache>
            </c:numRef>
          </c:xVal>
          <c:yVal>
            <c:numRef>
              <c:f>工作表1!$D$12:$D$16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145</c:v>
                </c:pt>
                <c:pt idx="3">
                  <c:v>300</c:v>
                </c:pt>
                <c:pt idx="4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C8-469C-8BB4-BBB358C2508A}"/>
            </c:ext>
          </c:extLst>
        </c:ser>
        <c:ser>
          <c:idx val="3"/>
          <c:order val="3"/>
          <c:tx>
            <c:strRef>
              <c:f>工作表1!$E$2</c:f>
              <c:strCache>
                <c:ptCount val="1"/>
                <c:pt idx="0">
                  <c:v>upper zone 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工作表1!$A$17:$A$21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260</c:v>
                </c:pt>
              </c:numCache>
            </c:numRef>
          </c:xVal>
          <c:yVal>
            <c:numRef>
              <c:f>工作表1!$E$17:$E$21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80</c:v>
                </c:pt>
                <c:pt idx="3">
                  <c:v>110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C8-469C-8BB4-BBB358C2508A}"/>
            </c:ext>
          </c:extLst>
        </c:ser>
        <c:ser>
          <c:idx val="4"/>
          <c:order val="4"/>
          <c:tx>
            <c:strRef>
              <c:f>工作表1!$F$2</c:f>
              <c:strCache>
                <c:ptCount val="1"/>
                <c:pt idx="0">
                  <c:v>lower zone 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工作表1!$A$8:$A$11</c:f>
              <c:numCache>
                <c:formatCode>General</c:formatCode>
                <c:ptCount val="4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</c:numCache>
            </c:numRef>
          </c:xVal>
          <c:yVal>
            <c:numRef>
              <c:f>工作表1!$F$8:$F$11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6C8-469C-8BB4-BBB358C2508A}"/>
            </c:ext>
          </c:extLst>
        </c:ser>
        <c:ser>
          <c:idx val="5"/>
          <c:order val="5"/>
          <c:tx>
            <c:strRef>
              <c:f>工作表1!$G$2</c:f>
              <c:strCache>
                <c:ptCount val="1"/>
                <c:pt idx="0">
                  <c:v>upper zone 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工作表1!$A$25:$A$29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80</c:v>
                </c:pt>
                <c:pt idx="4">
                  <c:v>125</c:v>
                </c:pt>
              </c:numCache>
            </c:numRef>
          </c:xVal>
          <c:yVal>
            <c:numRef>
              <c:f>工作表1!$G$25:$G$29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125</c:v>
                </c:pt>
                <c:pt idx="3">
                  <c:v>215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6C8-469C-8BB4-BBB358C2508A}"/>
            </c:ext>
          </c:extLst>
        </c:ser>
        <c:ser>
          <c:idx val="6"/>
          <c:order val="6"/>
          <c:tx>
            <c:strRef>
              <c:f>工作表1!$H$2</c:f>
              <c:strCache>
                <c:ptCount val="1"/>
                <c:pt idx="0">
                  <c:v>lower zone 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工作表1!$A$22:$A$24</c:f>
              <c:numCache>
                <c:formatCode>General</c:formatCode>
                <c:ptCount val="3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</c:numCache>
            </c:numRef>
          </c:xVal>
          <c:yVal>
            <c:numRef>
              <c:f>工作表1!$H$22:$H$24</c:f>
              <c:numCache>
                <c:formatCode>General</c:formatCode>
                <c:ptCount val="3"/>
                <c:pt idx="0">
                  <c:v>0</c:v>
                </c:pt>
                <c:pt idx="1">
                  <c:v>40</c:v>
                </c:pt>
                <c:pt idx="2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6C8-469C-8BB4-BBB358C2508A}"/>
            </c:ext>
          </c:extLst>
        </c:ser>
        <c:ser>
          <c:idx val="7"/>
          <c:order val="7"/>
          <c:tx>
            <c:strRef>
              <c:f>工作表1!$I$2</c:f>
              <c:strCache>
                <c:ptCount val="1"/>
                <c:pt idx="0">
                  <c:v>upper zone 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工作表1!$A$30:$A$32</c:f>
              <c:numCache>
                <c:formatCode>General</c:formatCode>
                <c:ptCount val="3"/>
                <c:pt idx="0">
                  <c:v>0</c:v>
                </c:pt>
                <c:pt idx="1">
                  <c:v>35</c:v>
                </c:pt>
                <c:pt idx="2">
                  <c:v>50</c:v>
                </c:pt>
              </c:numCache>
            </c:numRef>
          </c:xVal>
          <c:yVal>
            <c:numRef>
              <c:f>工作表1!$I$30:$I$32</c:f>
              <c:numCache>
                <c:formatCode>General</c:formatCode>
                <c:ptCount val="3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6C8-469C-8BB4-BBB358C2508A}"/>
            </c:ext>
          </c:extLst>
        </c:ser>
        <c:ser>
          <c:idx val="8"/>
          <c:order val="8"/>
          <c:tx>
            <c:strRef>
              <c:f>工作表1!$J$2</c:f>
              <c:strCache>
                <c:ptCount val="1"/>
                <c:pt idx="0">
                  <c:v>lower zone E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工作表1!$A$33:$A$34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xVal>
          <c:yVal>
            <c:numRef>
              <c:f>工作表1!$J$33:$J$34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6C8-469C-8BB4-BBB358C25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523584"/>
        <c:axId val="593909888"/>
      </c:scatterChart>
      <c:valAx>
        <c:axId val="425523584"/>
        <c:scaling>
          <c:orientation val="minMax"/>
          <c:max val="5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Reference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3909888"/>
        <c:crosses val="autoZero"/>
        <c:crossBetween val="midCat"/>
      </c:valAx>
      <c:valAx>
        <c:axId val="593909888"/>
        <c:scaling>
          <c:orientation val="minMax"/>
          <c:max val="5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Test (mg/dL)</a:t>
                </a:r>
              </a:p>
            </c:rich>
          </c:tx>
          <c:layout>
            <c:manualLayout>
              <c:xMode val="edge"/>
              <c:yMode val="edge"/>
              <c:x val="5.6496910580787721E-2"/>
              <c:y val="0.378263882888440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552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2269049422796"/>
          <c:y val="6.1390878016446229E-2"/>
          <c:w val="0.79945663341507778"/>
          <c:h val="0.8541582954121799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工作表1!$B$3:$B$7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C9-4286-850E-343A683ECB76}"/>
            </c:ext>
          </c:extLst>
        </c:ser>
        <c:ser>
          <c:idx val="1"/>
          <c:order val="1"/>
          <c:tx>
            <c:strRef>
              <c:f>工作表1!$C$2</c:f>
              <c:strCache>
                <c:ptCount val="1"/>
                <c:pt idx="0">
                  <c:v>upper zone 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工作表1!$C$3:$C$7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C9-4286-850E-343A683ECB76}"/>
            </c:ext>
          </c:extLst>
        </c:ser>
        <c:ser>
          <c:idx val="2"/>
          <c:order val="2"/>
          <c:tx>
            <c:strRef>
              <c:f>工作表1!$D$2</c:f>
              <c:strCache>
                <c:ptCount val="1"/>
                <c:pt idx="0">
                  <c:v>lower zone 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工作表1!$A$12:$A$16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385</c:v>
                </c:pt>
                <c:pt idx="4">
                  <c:v>550</c:v>
                </c:pt>
              </c:numCache>
            </c:numRef>
          </c:xVal>
          <c:yVal>
            <c:numRef>
              <c:f>工作表1!$D$12:$D$16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145</c:v>
                </c:pt>
                <c:pt idx="3">
                  <c:v>300</c:v>
                </c:pt>
                <c:pt idx="4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C9-4286-850E-343A683ECB76}"/>
            </c:ext>
          </c:extLst>
        </c:ser>
        <c:ser>
          <c:idx val="3"/>
          <c:order val="3"/>
          <c:tx>
            <c:strRef>
              <c:f>工作表1!$E$2</c:f>
              <c:strCache>
                <c:ptCount val="1"/>
                <c:pt idx="0">
                  <c:v>upper zone 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工作表1!$A$17:$A$21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260</c:v>
                </c:pt>
              </c:numCache>
            </c:numRef>
          </c:xVal>
          <c:yVal>
            <c:numRef>
              <c:f>工作表1!$E$17:$E$21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80</c:v>
                </c:pt>
                <c:pt idx="3">
                  <c:v>110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C9-4286-850E-343A683ECB76}"/>
            </c:ext>
          </c:extLst>
        </c:ser>
        <c:ser>
          <c:idx val="4"/>
          <c:order val="4"/>
          <c:tx>
            <c:strRef>
              <c:f>工作表1!$F$2</c:f>
              <c:strCache>
                <c:ptCount val="1"/>
                <c:pt idx="0">
                  <c:v>lower zone 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工作表1!$A$8:$A$11</c:f>
              <c:numCache>
                <c:formatCode>General</c:formatCode>
                <c:ptCount val="4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</c:numCache>
            </c:numRef>
          </c:xVal>
          <c:yVal>
            <c:numRef>
              <c:f>工作表1!$F$8:$F$11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BC9-4286-850E-343A683ECB76}"/>
            </c:ext>
          </c:extLst>
        </c:ser>
        <c:ser>
          <c:idx val="5"/>
          <c:order val="5"/>
          <c:tx>
            <c:strRef>
              <c:f>工作表1!$G$2</c:f>
              <c:strCache>
                <c:ptCount val="1"/>
                <c:pt idx="0">
                  <c:v>upper zone 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工作表1!$A$25:$A$29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80</c:v>
                </c:pt>
                <c:pt idx="4">
                  <c:v>125</c:v>
                </c:pt>
              </c:numCache>
            </c:numRef>
          </c:xVal>
          <c:yVal>
            <c:numRef>
              <c:f>工作表1!$G$25:$G$29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125</c:v>
                </c:pt>
                <c:pt idx="3">
                  <c:v>215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BC9-4286-850E-343A683ECB76}"/>
            </c:ext>
          </c:extLst>
        </c:ser>
        <c:ser>
          <c:idx val="6"/>
          <c:order val="6"/>
          <c:tx>
            <c:strRef>
              <c:f>工作表1!$H$2</c:f>
              <c:strCache>
                <c:ptCount val="1"/>
                <c:pt idx="0">
                  <c:v>lower zone 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工作表1!$A$22:$A$24</c:f>
              <c:numCache>
                <c:formatCode>General</c:formatCode>
                <c:ptCount val="3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</c:numCache>
            </c:numRef>
          </c:xVal>
          <c:yVal>
            <c:numRef>
              <c:f>工作表1!$H$22:$H$24</c:f>
              <c:numCache>
                <c:formatCode>General</c:formatCode>
                <c:ptCount val="3"/>
                <c:pt idx="0">
                  <c:v>0</c:v>
                </c:pt>
                <c:pt idx="1">
                  <c:v>40</c:v>
                </c:pt>
                <c:pt idx="2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BC9-4286-850E-343A683ECB76}"/>
            </c:ext>
          </c:extLst>
        </c:ser>
        <c:ser>
          <c:idx val="7"/>
          <c:order val="7"/>
          <c:tx>
            <c:strRef>
              <c:f>工作表1!$I$2</c:f>
              <c:strCache>
                <c:ptCount val="1"/>
                <c:pt idx="0">
                  <c:v>upper zone 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工作表1!$A$30:$A$32</c:f>
              <c:numCache>
                <c:formatCode>General</c:formatCode>
                <c:ptCount val="3"/>
                <c:pt idx="0">
                  <c:v>0</c:v>
                </c:pt>
                <c:pt idx="1">
                  <c:v>35</c:v>
                </c:pt>
                <c:pt idx="2">
                  <c:v>50</c:v>
                </c:pt>
              </c:numCache>
            </c:numRef>
          </c:xVal>
          <c:yVal>
            <c:numRef>
              <c:f>工作表1!$I$30:$I$32</c:f>
              <c:numCache>
                <c:formatCode>General</c:formatCode>
                <c:ptCount val="3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BC9-4286-850E-343A683ECB76}"/>
            </c:ext>
          </c:extLst>
        </c:ser>
        <c:ser>
          <c:idx val="8"/>
          <c:order val="8"/>
          <c:tx>
            <c:strRef>
              <c:f>工作表1!$J$2</c:f>
              <c:strCache>
                <c:ptCount val="1"/>
                <c:pt idx="0">
                  <c:v>lower zone E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工作表1!$A$33:$A$34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xVal>
          <c:yVal>
            <c:numRef>
              <c:f>工作表1!$J$33:$J$34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BC9-4286-850E-343A683EC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523584"/>
        <c:axId val="593909888"/>
      </c:scatterChart>
      <c:valAx>
        <c:axId val="425523584"/>
        <c:scaling>
          <c:orientation val="minMax"/>
          <c:max val="5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Reference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3909888"/>
        <c:crosses val="autoZero"/>
        <c:crossBetween val="midCat"/>
      </c:valAx>
      <c:valAx>
        <c:axId val="593909888"/>
        <c:scaling>
          <c:orientation val="minMax"/>
          <c:max val="5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Test (mg/dL)</a:t>
                </a:r>
              </a:p>
            </c:rich>
          </c:tx>
          <c:layout>
            <c:manualLayout>
              <c:xMode val="edge"/>
              <c:yMode val="edge"/>
              <c:x val="5.6496910580787721E-2"/>
              <c:y val="0.378263882888440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552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955207</xdr:colOff>
      <xdr:row>35</xdr:row>
      <xdr:rowOff>77560</xdr:rowOff>
    </xdr:from>
    <xdr:to>
      <xdr:col>16</xdr:col>
      <xdr:colOff>340179</xdr:colOff>
      <xdr:row>58</xdr:row>
      <xdr:rowOff>40821</xdr:rowOff>
    </xdr:to>
    <xdr:grpSp>
      <xdr:nvGrpSpPr>
        <xdr:cNvPr id="2" name="群組 1"/>
        <xdr:cNvGrpSpPr/>
      </xdr:nvGrpSpPr>
      <xdr:grpSpPr>
        <a:xfrm>
          <a:off x="7704350" y="7221310"/>
          <a:ext cx="6569543" cy="4957082"/>
          <a:chOff x="12820649" y="213632"/>
          <a:chExt cx="7127422" cy="4947703"/>
        </a:xfrm>
      </xdr:grpSpPr>
      <xdr:graphicFrame macro="">
        <xdr:nvGraphicFramePr>
          <xdr:cNvPr id="3" name="圖表 2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26</xdr:col>
      <xdr:colOff>446328</xdr:colOff>
      <xdr:row>58</xdr:row>
      <xdr:rowOff>167368</xdr:rowOff>
    </xdr:to>
    <xdr:grpSp>
      <xdr:nvGrpSpPr>
        <xdr:cNvPr id="13" name="群組 12"/>
        <xdr:cNvGrpSpPr/>
      </xdr:nvGrpSpPr>
      <xdr:grpSpPr>
        <a:xfrm>
          <a:off x="14614071" y="7347857"/>
          <a:ext cx="6569543" cy="4957082"/>
          <a:chOff x="12820649" y="213632"/>
          <a:chExt cx="7127422" cy="4947703"/>
        </a:xfrm>
      </xdr:grpSpPr>
      <xdr:graphicFrame macro="">
        <xdr:nvGraphicFramePr>
          <xdr:cNvPr id="14" name="圖表 13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5" name="文字方塊 14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6" name="文字方塊 15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7" name="文字方塊 16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8" name="文字方塊 17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9" name="文字方塊 18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0" name="文字方塊 19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1" name="文字方塊 20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2" name="文字方塊 21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3" name="文字方塊 22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955207</xdr:colOff>
      <xdr:row>35</xdr:row>
      <xdr:rowOff>77560</xdr:rowOff>
    </xdr:from>
    <xdr:to>
      <xdr:col>16</xdr:col>
      <xdr:colOff>340179</xdr:colOff>
      <xdr:row>58</xdr:row>
      <xdr:rowOff>40821</xdr:rowOff>
    </xdr:to>
    <xdr:grpSp>
      <xdr:nvGrpSpPr>
        <xdr:cNvPr id="2" name="群組 1"/>
        <xdr:cNvGrpSpPr/>
      </xdr:nvGrpSpPr>
      <xdr:grpSpPr>
        <a:xfrm>
          <a:off x="7704350" y="7221310"/>
          <a:ext cx="6569543" cy="4957082"/>
          <a:chOff x="12820649" y="213632"/>
          <a:chExt cx="7127422" cy="4947703"/>
        </a:xfrm>
      </xdr:grpSpPr>
      <xdr:graphicFrame macro="">
        <xdr:nvGraphicFramePr>
          <xdr:cNvPr id="3" name="圖表 2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26</xdr:col>
      <xdr:colOff>446328</xdr:colOff>
      <xdr:row>58</xdr:row>
      <xdr:rowOff>167368</xdr:rowOff>
    </xdr:to>
    <xdr:grpSp>
      <xdr:nvGrpSpPr>
        <xdr:cNvPr id="13" name="群組 12"/>
        <xdr:cNvGrpSpPr/>
      </xdr:nvGrpSpPr>
      <xdr:grpSpPr>
        <a:xfrm>
          <a:off x="14614071" y="7347857"/>
          <a:ext cx="6569543" cy="4957082"/>
          <a:chOff x="12820649" y="213632"/>
          <a:chExt cx="7127422" cy="4947703"/>
        </a:xfrm>
      </xdr:grpSpPr>
      <xdr:graphicFrame macro="">
        <xdr:nvGraphicFramePr>
          <xdr:cNvPr id="14" name="圖表 13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5" name="文字方塊 14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6" name="文字方塊 15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7" name="文字方塊 16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8" name="文字方塊 17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9" name="文字方塊 18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0" name="文字方塊 19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1" name="文字方塊 20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2" name="文字方塊 21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3" name="文字方塊 22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465350</xdr:colOff>
      <xdr:row>34</xdr:row>
      <xdr:rowOff>63953</xdr:rowOff>
    </xdr:from>
    <xdr:to>
      <xdr:col>23</xdr:col>
      <xdr:colOff>40822</xdr:colOff>
      <xdr:row>57</xdr:row>
      <xdr:rowOff>40821</xdr:rowOff>
    </xdr:to>
    <xdr:grpSp>
      <xdr:nvGrpSpPr>
        <xdr:cNvPr id="2" name="群組 1"/>
        <xdr:cNvGrpSpPr/>
      </xdr:nvGrpSpPr>
      <xdr:grpSpPr>
        <a:xfrm>
          <a:off x="12167493" y="7003596"/>
          <a:ext cx="6569543" cy="4957082"/>
          <a:chOff x="12820649" y="213632"/>
          <a:chExt cx="7127422" cy="4947703"/>
        </a:xfrm>
      </xdr:grpSpPr>
      <xdr:graphicFrame macro="">
        <xdr:nvGraphicFramePr>
          <xdr:cNvPr id="3" name="圖表 2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107154</xdr:colOff>
      <xdr:row>37</xdr:row>
      <xdr:rowOff>35718</xdr:rowOff>
    </xdr:from>
    <xdr:to>
      <xdr:col>12</xdr:col>
      <xdr:colOff>619124</xdr:colOff>
      <xdr:row>59</xdr:row>
      <xdr:rowOff>172472</xdr:rowOff>
    </xdr:to>
    <xdr:grpSp>
      <xdr:nvGrpSpPr>
        <xdr:cNvPr id="2" name="群組 1"/>
        <xdr:cNvGrpSpPr/>
      </xdr:nvGrpSpPr>
      <xdr:grpSpPr>
        <a:xfrm>
          <a:off x="4524373" y="7965281"/>
          <a:ext cx="6465095" cy="4863535"/>
          <a:chOff x="12835411" y="240796"/>
          <a:chExt cx="7006849" cy="4947703"/>
        </a:xfrm>
      </xdr:grpSpPr>
      <xdr:graphicFrame macro="">
        <xdr:nvGraphicFramePr>
          <xdr:cNvPr id="3" name="圖表 2"/>
          <xdr:cNvGraphicFramePr/>
        </xdr:nvGraphicFramePr>
        <xdr:xfrm>
          <a:off x="12835411" y="240796"/>
          <a:ext cx="7006849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8193743" y="58916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8503197" y="1108704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464592" y="199246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801052" y="598496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412701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439310" y="3011762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440391" y="385503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107154</xdr:colOff>
      <xdr:row>37</xdr:row>
      <xdr:rowOff>35718</xdr:rowOff>
    </xdr:from>
    <xdr:to>
      <xdr:col>12</xdr:col>
      <xdr:colOff>619124</xdr:colOff>
      <xdr:row>59</xdr:row>
      <xdr:rowOff>172472</xdr:rowOff>
    </xdr:to>
    <xdr:grpSp>
      <xdr:nvGrpSpPr>
        <xdr:cNvPr id="2" name="群組 1"/>
        <xdr:cNvGrpSpPr/>
      </xdr:nvGrpSpPr>
      <xdr:grpSpPr>
        <a:xfrm>
          <a:off x="4524373" y="7965281"/>
          <a:ext cx="6465095" cy="4863535"/>
          <a:chOff x="12835411" y="240796"/>
          <a:chExt cx="7006849" cy="4947703"/>
        </a:xfrm>
      </xdr:grpSpPr>
      <xdr:graphicFrame macro="">
        <xdr:nvGraphicFramePr>
          <xdr:cNvPr id="3" name="圖表 2"/>
          <xdr:cNvGraphicFramePr/>
        </xdr:nvGraphicFramePr>
        <xdr:xfrm>
          <a:off x="12835411" y="240796"/>
          <a:ext cx="7006849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8193743" y="58916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8503197" y="1108704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464592" y="199246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801052" y="598496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412701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439310" y="3011762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440391" y="385503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421822</xdr:colOff>
      <xdr:row>36</xdr:row>
      <xdr:rowOff>176893</xdr:rowOff>
    </xdr:from>
    <xdr:to>
      <xdr:col>12</xdr:col>
      <xdr:colOff>664030</xdr:colOff>
      <xdr:row>60</xdr:row>
      <xdr:rowOff>85725</xdr:rowOff>
    </xdr:to>
    <xdr:grpSp>
      <xdr:nvGrpSpPr>
        <xdr:cNvPr id="20" name="群組 19"/>
        <xdr:cNvGrpSpPr/>
      </xdr:nvGrpSpPr>
      <xdr:grpSpPr>
        <a:xfrm>
          <a:off x="4313465" y="7524750"/>
          <a:ext cx="7127422" cy="5133975"/>
          <a:chOff x="12126685" y="812346"/>
          <a:chExt cx="7127422" cy="5133975"/>
        </a:xfrm>
      </xdr:grpSpPr>
      <xdr:graphicFrame macro="">
        <xdr:nvGraphicFramePr>
          <xdr:cNvPr id="21" name="圖表 20"/>
          <xdr:cNvGraphicFramePr/>
        </xdr:nvGraphicFramePr>
        <xdr:xfrm>
          <a:off x="12126685" y="812346"/>
          <a:ext cx="7127422" cy="51339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22" name="文字方塊 21"/>
          <xdr:cNvSpPr txBox="1"/>
        </xdr:nvSpPr>
        <xdr:spPr>
          <a:xfrm>
            <a:off x="16305446" y="1676376"/>
            <a:ext cx="26629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A</a:t>
            </a:r>
            <a:endParaRPr lang="zh-TW" altLang="en-US" sz="1100"/>
          </a:p>
        </xdr:txBody>
      </xdr:sp>
      <xdr:sp macro="" textlink="">
        <xdr:nvSpPr>
          <xdr:cNvPr id="23" name="文字方塊 22"/>
          <xdr:cNvSpPr txBox="1"/>
        </xdr:nvSpPr>
        <xdr:spPr>
          <a:xfrm>
            <a:off x="16729983" y="2069625"/>
            <a:ext cx="26629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A</a:t>
            </a:r>
            <a:endParaRPr lang="zh-TW" altLang="en-US" sz="1100"/>
          </a:p>
        </xdr:txBody>
      </xdr:sp>
      <xdr:sp macro="" textlink="">
        <xdr:nvSpPr>
          <xdr:cNvPr id="24" name="文字方塊 23"/>
          <xdr:cNvSpPr txBox="1"/>
        </xdr:nvSpPr>
        <xdr:spPr>
          <a:xfrm>
            <a:off x="17064723" y="3007160"/>
            <a:ext cx="261418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B</a:t>
            </a:r>
            <a:endParaRPr lang="zh-TW" altLang="en-US" sz="1100"/>
          </a:p>
        </xdr:txBody>
      </xdr:sp>
      <xdr:sp macro="" textlink="">
        <xdr:nvSpPr>
          <xdr:cNvPr id="25" name="文字方塊 24"/>
          <xdr:cNvSpPr txBox="1"/>
        </xdr:nvSpPr>
        <xdr:spPr>
          <a:xfrm>
            <a:off x="15170609" y="1587928"/>
            <a:ext cx="261418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B</a:t>
            </a:r>
            <a:endParaRPr lang="zh-TW" altLang="en-US" sz="1100"/>
          </a:p>
        </xdr:txBody>
      </xdr:sp>
      <xdr:sp macro="" textlink="">
        <xdr:nvSpPr>
          <xdr:cNvPr id="26" name="文字方塊 25"/>
          <xdr:cNvSpPr txBox="1"/>
        </xdr:nvSpPr>
        <xdr:spPr>
          <a:xfrm>
            <a:off x="14154157" y="1419199"/>
            <a:ext cx="25987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C</a:t>
            </a:r>
            <a:endParaRPr lang="zh-TW" altLang="en-US" sz="1100"/>
          </a:p>
        </xdr:txBody>
      </xdr:sp>
      <xdr:sp macro="" textlink="">
        <xdr:nvSpPr>
          <xdr:cNvPr id="27" name="文字方塊 26"/>
          <xdr:cNvSpPr txBox="1"/>
        </xdr:nvSpPr>
        <xdr:spPr>
          <a:xfrm>
            <a:off x="17176301" y="3932454"/>
            <a:ext cx="25987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C</a:t>
            </a:r>
            <a:endParaRPr lang="zh-TW" altLang="en-US" sz="1100"/>
          </a:p>
        </xdr:txBody>
      </xdr:sp>
      <xdr:sp macro="" textlink="">
        <xdr:nvSpPr>
          <xdr:cNvPr id="28" name="文字方塊 27"/>
          <xdr:cNvSpPr txBox="1"/>
        </xdr:nvSpPr>
        <xdr:spPr>
          <a:xfrm>
            <a:off x="17131397" y="4935300"/>
            <a:ext cx="27148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D</a:t>
            </a:r>
            <a:endParaRPr lang="zh-TW" altLang="en-US" sz="1100"/>
          </a:p>
        </xdr:txBody>
      </xdr:sp>
      <xdr:sp macro="" textlink="">
        <xdr:nvSpPr>
          <xdr:cNvPr id="29" name="文字方塊 28"/>
          <xdr:cNvSpPr txBox="1"/>
        </xdr:nvSpPr>
        <xdr:spPr>
          <a:xfrm>
            <a:off x="13313236" y="1405592"/>
            <a:ext cx="27148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D</a:t>
            </a:r>
            <a:endParaRPr lang="zh-TW" altLang="en-US" sz="1100"/>
          </a:p>
        </xdr:txBody>
      </xdr:sp>
      <xdr:sp macro="" textlink="">
        <xdr:nvSpPr>
          <xdr:cNvPr id="30" name="文字方塊 29"/>
          <xdr:cNvSpPr txBox="1"/>
        </xdr:nvSpPr>
        <xdr:spPr>
          <a:xfrm>
            <a:off x="12695471" y="1460020"/>
            <a:ext cx="25353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E</a:t>
            </a:r>
            <a:endParaRPr lang="zh-TW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9531</xdr:colOff>
      <xdr:row>2</xdr:row>
      <xdr:rowOff>61912</xdr:rowOff>
    </xdr:from>
    <xdr:to>
      <xdr:col>17</xdr:col>
      <xdr:colOff>571500</xdr:colOff>
      <xdr:row>18</xdr:row>
      <xdr:rowOff>19050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3</xdr:row>
      <xdr:rowOff>76200</xdr:rowOff>
    </xdr:from>
    <xdr:to>
      <xdr:col>13</xdr:col>
      <xdr:colOff>257169</xdr:colOff>
      <xdr:row>19</xdr:row>
      <xdr:rowOff>33338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ebby.yen\AppData\Local\Microsoft\Windows\Temporary%20Internet%20Files\Content.Outlook\ZGCYMY93\error%20grid%20analysis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gdL (2)"/>
      <sheetName val="mgdL"/>
      <sheetName val="工作表2"/>
      <sheetName val="工作表3"/>
    </sheetNames>
    <sheetDataSet>
      <sheetData sheetId="0">
        <row r="3">
          <cell r="B3">
            <v>0</v>
          </cell>
        </row>
      </sheetData>
      <sheetData sheetId="1">
        <row r="3">
          <cell r="B3">
            <v>0</v>
          </cell>
          <cell r="C3">
            <v>0</v>
          </cell>
          <cell r="F3">
            <v>50</v>
          </cell>
        </row>
        <row r="4">
          <cell r="B4">
            <v>30</v>
          </cell>
          <cell r="C4">
            <v>30</v>
          </cell>
          <cell r="F4">
            <v>50</v>
          </cell>
        </row>
        <row r="5">
          <cell r="B5">
            <v>140</v>
          </cell>
          <cell r="C5">
            <v>140</v>
          </cell>
          <cell r="F5">
            <v>170</v>
          </cell>
        </row>
        <row r="6">
          <cell r="B6">
            <v>280</v>
          </cell>
          <cell r="C6">
            <v>280</v>
          </cell>
          <cell r="F6">
            <v>380</v>
          </cell>
        </row>
        <row r="7">
          <cell r="B7">
            <v>430</v>
          </cell>
          <cell r="C7">
            <v>430</v>
          </cell>
          <cell r="F7">
            <v>550</v>
          </cell>
        </row>
        <row r="8">
          <cell r="B8">
            <v>120</v>
          </cell>
          <cell r="C8">
            <v>120</v>
          </cell>
          <cell r="I8">
            <v>0</v>
          </cell>
        </row>
        <row r="9">
          <cell r="B9">
            <v>120</v>
          </cell>
          <cell r="C9">
            <v>120</v>
          </cell>
          <cell r="I9">
            <v>30</v>
          </cell>
        </row>
        <row r="10">
          <cell r="B10">
            <v>260</v>
          </cell>
          <cell r="C10">
            <v>260</v>
          </cell>
          <cell r="I10">
            <v>130</v>
          </cell>
        </row>
        <row r="11">
          <cell r="B11">
            <v>550</v>
          </cell>
          <cell r="C11">
            <v>550</v>
          </cell>
          <cell r="I11">
            <v>250</v>
          </cell>
        </row>
        <row r="12">
          <cell r="B12">
            <v>50</v>
          </cell>
          <cell r="G12">
            <v>0</v>
          </cell>
        </row>
        <row r="13">
          <cell r="B13">
            <v>50</v>
          </cell>
          <cell r="G13">
            <v>30</v>
          </cell>
        </row>
        <row r="14">
          <cell r="B14">
            <v>170</v>
          </cell>
          <cell r="G14">
            <v>145</v>
          </cell>
        </row>
        <row r="15">
          <cell r="B15">
            <v>385</v>
          </cell>
          <cell r="G15">
            <v>300</v>
          </cell>
        </row>
        <row r="16">
          <cell r="B16">
            <v>550</v>
          </cell>
          <cell r="G16">
            <v>450</v>
          </cell>
        </row>
        <row r="17">
          <cell r="B17">
            <v>0</v>
          </cell>
          <cell r="H17">
            <v>60</v>
          </cell>
        </row>
        <row r="18">
          <cell r="B18">
            <v>30</v>
          </cell>
          <cell r="H18">
            <v>60</v>
          </cell>
        </row>
        <row r="19">
          <cell r="B19">
            <v>50</v>
          </cell>
          <cell r="H19">
            <v>80</v>
          </cell>
        </row>
        <row r="20">
          <cell r="B20">
            <v>70</v>
          </cell>
          <cell r="H20">
            <v>110</v>
          </cell>
        </row>
        <row r="21">
          <cell r="B21">
            <v>260</v>
          </cell>
          <cell r="H21">
            <v>550</v>
          </cell>
        </row>
        <row r="22">
          <cell r="B22">
            <v>250</v>
          </cell>
          <cell r="K22">
            <v>0</v>
          </cell>
        </row>
        <row r="23">
          <cell r="B23">
            <v>250</v>
          </cell>
          <cell r="K23">
            <v>40</v>
          </cell>
        </row>
        <row r="24">
          <cell r="B24">
            <v>550</v>
          </cell>
          <cell r="K24">
            <v>150</v>
          </cell>
        </row>
        <row r="25">
          <cell r="B25">
            <v>0</v>
          </cell>
          <cell r="J25">
            <v>100</v>
          </cell>
        </row>
        <row r="26">
          <cell r="B26">
            <v>25</v>
          </cell>
          <cell r="J26">
            <v>100</v>
          </cell>
        </row>
        <row r="27">
          <cell r="B27">
            <v>50</v>
          </cell>
          <cell r="J27">
            <v>125</v>
          </cell>
        </row>
        <row r="28">
          <cell r="B28">
            <v>80</v>
          </cell>
          <cell r="J28">
            <v>215</v>
          </cell>
        </row>
        <row r="29">
          <cell r="B29">
            <v>125</v>
          </cell>
          <cell r="J29">
            <v>550</v>
          </cell>
        </row>
        <row r="30">
          <cell r="B30">
            <v>0</v>
          </cell>
          <cell r="L30">
            <v>150</v>
          </cell>
        </row>
        <row r="31">
          <cell r="B31">
            <v>35</v>
          </cell>
          <cell r="L31">
            <v>155</v>
          </cell>
        </row>
        <row r="32">
          <cell r="B32">
            <v>50</v>
          </cell>
          <cell r="L32">
            <v>550</v>
          </cell>
        </row>
        <row r="33">
          <cell r="B33">
            <v>0</v>
          </cell>
          <cell r="M33">
            <v>0</v>
          </cell>
        </row>
        <row r="34">
          <cell r="B34">
            <v>550</v>
          </cell>
          <cell r="M34">
            <v>550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126"/>
  <sheetViews>
    <sheetView topLeftCell="D34" zoomScale="70" zoomScaleNormal="70" workbookViewId="0">
      <selection activeCell="B61" sqref="B61"/>
    </sheetView>
  </sheetViews>
  <sheetFormatPr defaultRowHeight="16.5" x14ac:dyDescent="0.25"/>
  <cols>
    <col min="1" max="3" width="9" style="1"/>
    <col min="4" max="7" width="12.125" style="1" customWidth="1"/>
    <col min="8" max="8" width="13.125" style="1" customWidth="1"/>
    <col min="9" max="9" width="14.125" style="1" customWidth="1"/>
    <col min="10" max="11" width="13.25" style="1" customWidth="1"/>
    <col min="12" max="12" width="12.375" style="1" customWidth="1"/>
    <col min="13" max="13" width="12.125" style="1" customWidth="1"/>
    <col min="14" max="14" width="11.5" style="1" customWidth="1"/>
    <col min="15" max="16384" width="9" style="1"/>
  </cols>
  <sheetData>
    <row r="1" spans="3:15" x14ac:dyDescent="0.25">
      <c r="C1" s="1" t="s">
        <v>4</v>
      </c>
      <c r="G1" s="1" t="s">
        <v>5</v>
      </c>
    </row>
    <row r="2" spans="3:15" x14ac:dyDescent="0.25"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9</v>
      </c>
    </row>
    <row r="3" spans="3:15" x14ac:dyDescent="0.25">
      <c r="C3" s="1">
        <v>0</v>
      </c>
      <c r="D3" s="1">
        <v>0</v>
      </c>
      <c r="G3" s="1">
        <v>50</v>
      </c>
    </row>
    <row r="4" spans="3:15" x14ac:dyDescent="0.25">
      <c r="C4" s="1">
        <v>30</v>
      </c>
      <c r="D4" s="1">
        <v>30</v>
      </c>
      <c r="G4" s="1">
        <v>50</v>
      </c>
    </row>
    <row r="5" spans="3:15" x14ac:dyDescent="0.25">
      <c r="C5" s="1">
        <v>140</v>
      </c>
      <c r="D5" s="1">
        <v>140</v>
      </c>
      <c r="G5" s="1">
        <v>170</v>
      </c>
    </row>
    <row r="6" spans="3:15" x14ac:dyDescent="0.25">
      <c r="C6" s="1">
        <v>280</v>
      </c>
      <c r="D6" s="1">
        <v>280</v>
      </c>
      <c r="G6" s="1">
        <v>380</v>
      </c>
    </row>
    <row r="7" spans="3:15" x14ac:dyDescent="0.25">
      <c r="C7" s="1">
        <v>860</v>
      </c>
      <c r="D7" s="1">
        <v>430</v>
      </c>
      <c r="G7" s="1">
        <v>1100</v>
      </c>
    </row>
    <row r="8" spans="3:15" x14ac:dyDescent="0.25">
      <c r="C8" s="1">
        <v>120</v>
      </c>
      <c r="D8" s="1">
        <v>120</v>
      </c>
      <c r="J8" s="1">
        <v>0</v>
      </c>
    </row>
    <row r="9" spans="3:15" x14ac:dyDescent="0.25">
      <c r="C9" s="1">
        <v>120</v>
      </c>
      <c r="D9" s="1">
        <v>120</v>
      </c>
      <c r="J9" s="1">
        <v>30</v>
      </c>
    </row>
    <row r="10" spans="3:15" x14ac:dyDescent="0.25">
      <c r="C10" s="1">
        <v>260</v>
      </c>
      <c r="D10" s="1">
        <v>260</v>
      </c>
      <c r="J10" s="1">
        <v>130</v>
      </c>
    </row>
    <row r="11" spans="3:15" x14ac:dyDescent="0.25">
      <c r="C11" s="1">
        <v>550</v>
      </c>
      <c r="D11" s="1">
        <v>550</v>
      </c>
      <c r="J11" s="1">
        <v>250</v>
      </c>
    </row>
    <row r="12" spans="3:15" x14ac:dyDescent="0.25">
      <c r="C12" s="1">
        <v>50</v>
      </c>
      <c r="H12" s="1">
        <v>0</v>
      </c>
    </row>
    <row r="13" spans="3:15" x14ac:dyDescent="0.25">
      <c r="C13" s="1">
        <v>50</v>
      </c>
      <c r="H13" s="1">
        <v>30</v>
      </c>
    </row>
    <row r="14" spans="3:15" x14ac:dyDescent="0.25">
      <c r="C14" s="1">
        <v>170</v>
      </c>
      <c r="H14" s="1">
        <v>145</v>
      </c>
    </row>
    <row r="15" spans="3:15" x14ac:dyDescent="0.25">
      <c r="C15" s="1">
        <v>385</v>
      </c>
      <c r="H15" s="1">
        <v>300</v>
      </c>
    </row>
    <row r="16" spans="3:15" x14ac:dyDescent="0.25">
      <c r="C16" s="1">
        <v>550</v>
      </c>
      <c r="H16" s="1">
        <v>450</v>
      </c>
    </row>
    <row r="17" spans="3:13" x14ac:dyDescent="0.25">
      <c r="C17" s="1">
        <v>0</v>
      </c>
      <c r="I17" s="1">
        <v>60</v>
      </c>
    </row>
    <row r="18" spans="3:13" x14ac:dyDescent="0.25">
      <c r="C18" s="1">
        <v>30</v>
      </c>
      <c r="I18" s="1">
        <v>60</v>
      </c>
    </row>
    <row r="19" spans="3:13" x14ac:dyDescent="0.25">
      <c r="C19" s="1">
        <v>50</v>
      </c>
      <c r="I19" s="1">
        <v>80</v>
      </c>
    </row>
    <row r="20" spans="3:13" x14ac:dyDescent="0.25">
      <c r="C20" s="1">
        <v>70</v>
      </c>
      <c r="I20" s="1">
        <v>110</v>
      </c>
    </row>
    <row r="21" spans="3:13" x14ac:dyDescent="0.25">
      <c r="C21" s="1">
        <v>520</v>
      </c>
      <c r="I21" s="1">
        <v>1100</v>
      </c>
    </row>
    <row r="22" spans="3:13" x14ac:dyDescent="0.25">
      <c r="C22" s="1">
        <v>250</v>
      </c>
      <c r="L22" s="1">
        <v>0</v>
      </c>
    </row>
    <row r="23" spans="3:13" x14ac:dyDescent="0.25">
      <c r="C23" s="1">
        <v>250</v>
      </c>
      <c r="L23" s="1">
        <v>40</v>
      </c>
    </row>
    <row r="24" spans="3:13" x14ac:dyDescent="0.25">
      <c r="C24" s="1">
        <v>550</v>
      </c>
      <c r="L24" s="1">
        <v>150</v>
      </c>
    </row>
    <row r="25" spans="3:13" x14ac:dyDescent="0.25">
      <c r="C25" s="1">
        <v>0</v>
      </c>
      <c r="K25" s="1">
        <v>100</v>
      </c>
    </row>
    <row r="26" spans="3:13" x14ac:dyDescent="0.25">
      <c r="C26" s="1">
        <v>25</v>
      </c>
      <c r="K26" s="1">
        <v>100</v>
      </c>
    </row>
    <row r="27" spans="3:13" x14ac:dyDescent="0.25">
      <c r="C27" s="1">
        <v>50</v>
      </c>
      <c r="K27" s="1">
        <v>125</v>
      </c>
    </row>
    <row r="28" spans="3:13" x14ac:dyDescent="0.25">
      <c r="C28" s="1">
        <v>80</v>
      </c>
      <c r="K28" s="1">
        <v>215</v>
      </c>
    </row>
    <row r="29" spans="3:13" x14ac:dyDescent="0.25">
      <c r="C29" s="1">
        <v>250</v>
      </c>
      <c r="K29" s="1">
        <v>1100</v>
      </c>
    </row>
    <row r="30" spans="3:13" x14ac:dyDescent="0.25">
      <c r="C30" s="1">
        <v>0</v>
      </c>
      <c r="M30" s="1">
        <v>150</v>
      </c>
    </row>
    <row r="31" spans="3:13" x14ac:dyDescent="0.25">
      <c r="C31" s="1">
        <v>35</v>
      </c>
      <c r="M31" s="1">
        <v>155</v>
      </c>
    </row>
    <row r="32" spans="3:13" x14ac:dyDescent="0.25">
      <c r="C32" s="1">
        <v>100</v>
      </c>
      <c r="M32" s="1">
        <v>1100</v>
      </c>
    </row>
    <row r="33" spans="3:14" x14ac:dyDescent="0.25">
      <c r="C33" s="1">
        <v>0</v>
      </c>
      <c r="N33" s="1">
        <v>0</v>
      </c>
    </row>
    <row r="34" spans="3:14" x14ac:dyDescent="0.25">
      <c r="C34" s="1">
        <v>550</v>
      </c>
      <c r="N34" s="1">
        <v>550</v>
      </c>
    </row>
    <row r="37" spans="3:14" ht="17.25" x14ac:dyDescent="0.25">
      <c r="C37" s="2" t="s">
        <v>18</v>
      </c>
      <c r="D37" s="15">
        <v>940</v>
      </c>
      <c r="E37" s="15">
        <v>970</v>
      </c>
      <c r="F37" s="15">
        <v>1200</v>
      </c>
      <c r="G37" s="16">
        <v>1300</v>
      </c>
      <c r="H37" s="17"/>
    </row>
    <row r="38" spans="3:14" ht="17.25" x14ac:dyDescent="0.25">
      <c r="C38" s="3">
        <v>119</v>
      </c>
      <c r="D38" s="18">
        <v>97.542586447888254</v>
      </c>
      <c r="E38" s="19">
        <v>146.70110524616558</v>
      </c>
      <c r="F38" s="19">
        <v>136.7205246595058</v>
      </c>
      <c r="G38" s="18">
        <v>188.16364883389284</v>
      </c>
    </row>
    <row r="39" spans="3:14" ht="17.25" x14ac:dyDescent="0.25">
      <c r="C39" s="3">
        <v>145</v>
      </c>
      <c r="D39" s="18">
        <v>80.216154219028553</v>
      </c>
      <c r="E39" s="19">
        <v>139.4385631113976</v>
      </c>
      <c r="F39" s="19">
        <v>126.51375415024908</v>
      </c>
      <c r="G39" s="18">
        <v>77.261502506903867</v>
      </c>
    </row>
    <row r="40" spans="3:14" ht="17.25" x14ac:dyDescent="0.25">
      <c r="C40" s="3">
        <v>204</v>
      </c>
      <c r="D40" s="18">
        <v>101.03360470245325</v>
      </c>
      <c r="E40" s="19">
        <v>156.34908625410122</v>
      </c>
      <c r="F40" s="19">
        <v>165.03237410164971</v>
      </c>
      <c r="G40" s="18">
        <v>113.32341464615784</v>
      </c>
    </row>
    <row r="41" spans="3:14" ht="17.25" x14ac:dyDescent="0.25">
      <c r="C41" s="3">
        <v>220</v>
      </c>
      <c r="D41" s="18">
        <v>128.19218932468868</v>
      </c>
      <c r="E41" s="19">
        <v>175.81002746920865</v>
      </c>
      <c r="F41" s="19">
        <v>171.6993622389711</v>
      </c>
      <c r="G41" s="18">
        <v>129.75137071600807</v>
      </c>
    </row>
    <row r="42" spans="3:14" ht="17.25" x14ac:dyDescent="0.25">
      <c r="C42" s="3">
        <v>249</v>
      </c>
      <c r="D42" s="18">
        <v>294.53088370790732</v>
      </c>
      <c r="E42" s="19">
        <v>238.46230284929933</v>
      </c>
      <c r="F42" s="19">
        <v>207.58170071634368</v>
      </c>
      <c r="G42" s="18">
        <v>179.57189012189639</v>
      </c>
    </row>
    <row r="43" spans="3:14" ht="17.25" x14ac:dyDescent="0.25">
      <c r="C43" s="3">
        <v>186</v>
      </c>
      <c r="D43" s="18">
        <v>243.39230700401467</v>
      </c>
      <c r="E43" s="19">
        <v>254.29530314583786</v>
      </c>
      <c r="F43" s="19">
        <v>206.46361799220816</v>
      </c>
      <c r="G43" s="18">
        <v>377.16890617229751</v>
      </c>
    </row>
    <row r="44" spans="3:14" ht="17.25" x14ac:dyDescent="0.25">
      <c r="C44" s="3">
        <v>266</v>
      </c>
      <c r="D44" s="18">
        <v>323.60259368330111</v>
      </c>
      <c r="E44" s="19">
        <v>309.68618678276022</v>
      </c>
      <c r="F44" s="19">
        <v>272.64855920714461</v>
      </c>
      <c r="G44" s="18">
        <v>377.16890617229751</v>
      </c>
    </row>
    <row r="45" spans="3:14" ht="17.25" x14ac:dyDescent="0.25">
      <c r="C45" s="3">
        <v>160</v>
      </c>
      <c r="D45" s="18">
        <v>120.06624451983592</v>
      </c>
      <c r="E45" s="19">
        <v>145.35481708956473</v>
      </c>
      <c r="F45" s="19">
        <v>170.01794480548577</v>
      </c>
      <c r="G45" s="18">
        <v>209.83190308659121</v>
      </c>
    </row>
    <row r="46" spans="3:14" ht="17.25" x14ac:dyDescent="0.25">
      <c r="C46" s="3">
        <v>218</v>
      </c>
      <c r="D46" s="18">
        <v>172.48670090030546</v>
      </c>
      <c r="E46" s="19">
        <v>201.02049400645421</v>
      </c>
      <c r="F46" s="19">
        <v>253.80226791349517</v>
      </c>
      <c r="G46" s="18">
        <v>189.02210283087845</v>
      </c>
    </row>
    <row r="47" spans="3:14" ht="17.25" x14ac:dyDescent="0.25">
      <c r="C47" s="3">
        <v>131</v>
      </c>
      <c r="D47" s="18">
        <v>254.52432416268061</v>
      </c>
      <c r="E47" s="19">
        <v>91.35400070672685</v>
      </c>
      <c r="F47" s="19">
        <v>34.951711311823644</v>
      </c>
      <c r="G47" s="18">
        <v>28.55429716967889</v>
      </c>
    </row>
    <row r="48" spans="3:14" ht="17.25" x14ac:dyDescent="0.25">
      <c r="C48" s="3">
        <v>189</v>
      </c>
      <c r="D48" s="18">
        <v>278.79584430214737</v>
      </c>
      <c r="E48" s="19">
        <v>208.9394286461532</v>
      </c>
      <c r="F48" s="19">
        <v>276.86477435937587</v>
      </c>
      <c r="G48" s="18">
        <v>188.01483366301554</v>
      </c>
    </row>
    <row r="49" spans="3:7" ht="17.25" x14ac:dyDescent="0.25">
      <c r="C49" s="3">
        <v>139</v>
      </c>
      <c r="D49" s="18">
        <v>131.61656702574894</v>
      </c>
      <c r="E49" s="19">
        <v>158.58868469233022</v>
      </c>
      <c r="F49" s="19">
        <v>172.30448095169911</v>
      </c>
      <c r="G49" s="18">
        <v>168.16722408038203</v>
      </c>
    </row>
    <row r="50" spans="3:7" ht="17.25" x14ac:dyDescent="0.25">
      <c r="C50" s="3"/>
      <c r="D50" s="4"/>
      <c r="E50" s="5"/>
      <c r="F50" s="5"/>
    </row>
    <row r="51" spans="3:7" ht="17.25" x14ac:dyDescent="0.25">
      <c r="C51" s="3"/>
      <c r="D51" s="4"/>
      <c r="E51" s="5"/>
      <c r="F51" s="5"/>
    </row>
    <row r="52" spans="3:7" ht="17.25" x14ac:dyDescent="0.25">
      <c r="C52" s="3"/>
      <c r="D52" s="4"/>
      <c r="E52" s="5"/>
      <c r="F52" s="5"/>
    </row>
    <row r="53" spans="3:7" ht="17.25" x14ac:dyDescent="0.25">
      <c r="C53" s="3"/>
      <c r="D53" s="4"/>
      <c r="E53" s="5"/>
      <c r="F53" s="5"/>
    </row>
    <row r="54" spans="3:7" ht="17.25" x14ac:dyDescent="0.25">
      <c r="C54" s="3"/>
      <c r="D54" s="4"/>
      <c r="E54" s="5"/>
      <c r="F54" s="5"/>
    </row>
    <row r="55" spans="3:7" ht="17.25" x14ac:dyDescent="0.25">
      <c r="C55" s="3"/>
      <c r="D55" s="4"/>
      <c r="E55" s="5"/>
      <c r="F55" s="5"/>
    </row>
    <row r="56" spans="3:7" ht="17.25" x14ac:dyDescent="0.25">
      <c r="C56" s="3"/>
      <c r="D56" s="4"/>
      <c r="E56" s="5"/>
      <c r="F56" s="5"/>
    </row>
    <row r="57" spans="3:7" ht="17.25" x14ac:dyDescent="0.25">
      <c r="C57" s="3"/>
      <c r="D57" s="4"/>
      <c r="E57" s="5"/>
      <c r="F57" s="5"/>
    </row>
    <row r="58" spans="3:7" ht="17.25" x14ac:dyDescent="0.25">
      <c r="C58" s="3"/>
      <c r="D58" s="4"/>
      <c r="E58" s="5"/>
      <c r="F58" s="5"/>
    </row>
    <row r="59" spans="3:7" ht="17.25" x14ac:dyDescent="0.25">
      <c r="C59" s="3"/>
      <c r="D59" s="4"/>
      <c r="E59" s="5"/>
      <c r="F59" s="5"/>
    </row>
    <row r="60" spans="3:7" ht="17.25" x14ac:dyDescent="0.25">
      <c r="C60" s="3"/>
      <c r="D60" s="4"/>
      <c r="E60" s="5"/>
      <c r="F60" s="5"/>
    </row>
    <row r="61" spans="3:7" ht="17.25" x14ac:dyDescent="0.25">
      <c r="C61" s="3"/>
      <c r="D61" s="4"/>
      <c r="E61" s="5"/>
      <c r="F61" s="5"/>
    </row>
    <row r="62" spans="3:7" ht="17.25" x14ac:dyDescent="0.25">
      <c r="C62" s="3"/>
      <c r="D62" s="4"/>
      <c r="E62" s="5"/>
      <c r="F62" s="5"/>
    </row>
    <row r="63" spans="3:7" ht="17.25" x14ac:dyDescent="0.25">
      <c r="C63" s="3"/>
      <c r="D63" s="4"/>
      <c r="E63" s="5"/>
      <c r="F63" s="5"/>
    </row>
    <row r="64" spans="3:7" ht="17.25" x14ac:dyDescent="0.25">
      <c r="C64" s="3"/>
      <c r="D64" s="4"/>
      <c r="E64" s="5"/>
      <c r="F64" s="5"/>
    </row>
    <row r="65" spans="3:6" ht="17.25" x14ac:dyDescent="0.25">
      <c r="C65" s="3"/>
      <c r="D65" s="4"/>
      <c r="E65" s="5"/>
      <c r="F65" s="5"/>
    </row>
    <row r="66" spans="3:6" ht="17.25" x14ac:dyDescent="0.25">
      <c r="C66" s="3"/>
      <c r="D66" s="4"/>
      <c r="E66" s="5"/>
      <c r="F66" s="5"/>
    </row>
    <row r="67" spans="3:6" ht="17.25" x14ac:dyDescent="0.25">
      <c r="C67" s="3"/>
      <c r="D67" s="4"/>
      <c r="E67" s="5"/>
      <c r="F67" s="5"/>
    </row>
    <row r="68" spans="3:6" ht="17.25" x14ac:dyDescent="0.25">
      <c r="C68" s="3"/>
      <c r="D68" s="4"/>
      <c r="E68" s="5"/>
      <c r="F68" s="5"/>
    </row>
    <row r="69" spans="3:6" ht="17.25" x14ac:dyDescent="0.25">
      <c r="C69" s="3"/>
      <c r="D69" s="4"/>
      <c r="E69" s="5"/>
      <c r="F69" s="5"/>
    </row>
    <row r="70" spans="3:6" ht="17.25" x14ac:dyDescent="0.25">
      <c r="C70" s="3"/>
      <c r="D70" s="4"/>
      <c r="E70" s="5"/>
      <c r="F70" s="5"/>
    </row>
    <row r="71" spans="3:6" ht="17.25" x14ac:dyDescent="0.25">
      <c r="C71" s="3"/>
      <c r="D71" s="4"/>
      <c r="E71" s="5"/>
      <c r="F71" s="5"/>
    </row>
    <row r="72" spans="3:6" ht="17.25" x14ac:dyDescent="0.25">
      <c r="C72" s="3"/>
      <c r="D72" s="4"/>
      <c r="E72" s="5"/>
      <c r="F72" s="5"/>
    </row>
    <row r="73" spans="3:6" ht="17.25" x14ac:dyDescent="0.25">
      <c r="C73" s="3"/>
      <c r="D73" s="4"/>
      <c r="E73" s="5"/>
      <c r="F73" s="5"/>
    </row>
    <row r="74" spans="3:6" ht="17.25" x14ac:dyDescent="0.25">
      <c r="C74" s="3"/>
      <c r="D74" s="4"/>
      <c r="E74" s="5"/>
      <c r="F74" s="5"/>
    </row>
    <row r="75" spans="3:6" ht="17.25" x14ac:dyDescent="0.25">
      <c r="C75" s="3"/>
      <c r="D75" s="4"/>
      <c r="E75" s="5"/>
      <c r="F75" s="5"/>
    </row>
    <row r="76" spans="3:6" ht="17.25" x14ac:dyDescent="0.25">
      <c r="C76" s="3"/>
      <c r="D76" s="4"/>
      <c r="E76" s="5"/>
      <c r="F76" s="5"/>
    </row>
    <row r="77" spans="3:6" ht="17.25" x14ac:dyDescent="0.25">
      <c r="C77" s="3"/>
      <c r="D77" s="4"/>
      <c r="E77" s="5"/>
      <c r="F77" s="5"/>
    </row>
    <row r="78" spans="3:6" ht="17.25" x14ac:dyDescent="0.25">
      <c r="C78" s="3"/>
      <c r="D78" s="4"/>
      <c r="E78" s="5"/>
      <c r="F78" s="5"/>
    </row>
    <row r="79" spans="3:6" ht="17.25" x14ac:dyDescent="0.25">
      <c r="C79" s="3"/>
      <c r="D79" s="4"/>
      <c r="E79" s="5"/>
      <c r="F79" s="5"/>
    </row>
    <row r="80" spans="3:6" ht="17.25" x14ac:dyDescent="0.25">
      <c r="C80" s="3"/>
      <c r="D80" s="4"/>
      <c r="E80" s="5"/>
      <c r="F80" s="5"/>
    </row>
    <row r="81" spans="3:6" ht="17.25" x14ac:dyDescent="0.25">
      <c r="C81" s="3"/>
      <c r="D81" s="4"/>
      <c r="E81" s="5"/>
      <c r="F81" s="5"/>
    </row>
    <row r="82" spans="3:6" ht="17.25" x14ac:dyDescent="0.25">
      <c r="C82" s="3"/>
      <c r="D82" s="4"/>
      <c r="E82" s="5"/>
      <c r="F82" s="5"/>
    </row>
    <row r="83" spans="3:6" ht="17.25" x14ac:dyDescent="0.25">
      <c r="C83" s="3"/>
      <c r="D83" s="4"/>
      <c r="E83" s="5"/>
      <c r="F83" s="5"/>
    </row>
    <row r="84" spans="3:6" ht="17.25" x14ac:dyDescent="0.25">
      <c r="C84" s="3"/>
      <c r="D84" s="4"/>
      <c r="E84" s="5"/>
      <c r="F84" s="5"/>
    </row>
    <row r="85" spans="3:6" ht="17.25" x14ac:dyDescent="0.25">
      <c r="C85" s="3"/>
      <c r="D85" s="4"/>
      <c r="E85" s="5"/>
      <c r="F85" s="5"/>
    </row>
    <row r="86" spans="3:6" ht="17.25" x14ac:dyDescent="0.25">
      <c r="C86" s="3"/>
      <c r="D86" s="4"/>
      <c r="E86" s="5"/>
      <c r="F86" s="5"/>
    </row>
    <row r="87" spans="3:6" ht="17.25" x14ac:dyDescent="0.25">
      <c r="C87" s="3"/>
      <c r="D87" s="4"/>
      <c r="E87" s="5"/>
      <c r="F87" s="5"/>
    </row>
    <row r="88" spans="3:6" ht="17.25" x14ac:dyDescent="0.25">
      <c r="C88" s="3"/>
      <c r="D88" s="4"/>
      <c r="E88" s="5"/>
      <c r="F88" s="5"/>
    </row>
    <row r="89" spans="3:6" ht="17.25" x14ac:dyDescent="0.25">
      <c r="C89" s="3"/>
      <c r="D89" s="4"/>
      <c r="E89" s="5"/>
      <c r="F89" s="5"/>
    </row>
    <row r="90" spans="3:6" ht="17.25" x14ac:dyDescent="0.25">
      <c r="C90" s="3"/>
      <c r="D90" s="4"/>
      <c r="E90" s="5"/>
      <c r="F90" s="5"/>
    </row>
    <row r="91" spans="3:6" ht="17.25" x14ac:dyDescent="0.25">
      <c r="C91" s="3"/>
      <c r="D91" s="4"/>
      <c r="E91" s="5"/>
      <c r="F91" s="5"/>
    </row>
    <row r="92" spans="3:6" ht="17.25" x14ac:dyDescent="0.25">
      <c r="C92" s="3"/>
      <c r="D92" s="4"/>
      <c r="E92" s="5"/>
      <c r="F92" s="5"/>
    </row>
    <row r="93" spans="3:6" ht="17.25" x14ac:dyDescent="0.25">
      <c r="C93" s="3"/>
      <c r="D93" s="4"/>
      <c r="E93" s="5"/>
      <c r="F93" s="5"/>
    </row>
    <row r="94" spans="3:6" ht="17.25" x14ac:dyDescent="0.25">
      <c r="C94" s="3"/>
      <c r="D94" s="4"/>
      <c r="E94" s="5"/>
      <c r="F94" s="5"/>
    </row>
    <row r="95" spans="3:6" ht="17.25" x14ac:dyDescent="0.25">
      <c r="C95" s="3"/>
      <c r="D95" s="4"/>
      <c r="E95" s="5"/>
      <c r="F95" s="5"/>
    </row>
    <row r="96" spans="3:6" ht="17.25" x14ac:dyDescent="0.25">
      <c r="C96" s="3"/>
      <c r="D96" s="4"/>
      <c r="E96" s="5"/>
      <c r="F96" s="5"/>
    </row>
    <row r="97" spans="3:6" ht="17.25" x14ac:dyDescent="0.25">
      <c r="C97" s="3"/>
      <c r="D97" s="4"/>
      <c r="E97" s="5"/>
      <c r="F97" s="5"/>
    </row>
    <row r="98" spans="3:6" ht="17.25" x14ac:dyDescent="0.25">
      <c r="C98" s="3"/>
      <c r="D98" s="4"/>
      <c r="E98" s="5"/>
      <c r="F98" s="5"/>
    </row>
    <row r="99" spans="3:6" ht="17.25" x14ac:dyDescent="0.25">
      <c r="C99" s="3"/>
      <c r="D99" s="4"/>
      <c r="E99" s="5"/>
      <c r="F99" s="5"/>
    </row>
    <row r="100" spans="3:6" ht="17.25" x14ac:dyDescent="0.25">
      <c r="C100" s="3"/>
      <c r="D100" s="4"/>
      <c r="E100" s="5"/>
      <c r="F100" s="5"/>
    </row>
    <row r="101" spans="3:6" ht="17.25" x14ac:dyDescent="0.25">
      <c r="C101" s="3"/>
      <c r="D101" s="4"/>
      <c r="E101" s="5"/>
      <c r="F101" s="5"/>
    </row>
    <row r="102" spans="3:6" ht="17.25" x14ac:dyDescent="0.25">
      <c r="C102" s="3"/>
      <c r="D102" s="4"/>
      <c r="E102" s="5"/>
      <c r="F102" s="5"/>
    </row>
    <row r="103" spans="3:6" ht="17.25" x14ac:dyDescent="0.25">
      <c r="C103" s="3"/>
      <c r="D103" s="4"/>
      <c r="E103" s="5"/>
      <c r="F103" s="5"/>
    </row>
    <row r="104" spans="3:6" ht="17.25" x14ac:dyDescent="0.25">
      <c r="C104" s="3"/>
      <c r="D104" s="4"/>
      <c r="E104" s="5"/>
      <c r="F104" s="5"/>
    </row>
    <row r="105" spans="3:6" ht="17.25" x14ac:dyDescent="0.25">
      <c r="C105" s="3"/>
      <c r="D105" s="4"/>
      <c r="E105" s="5"/>
      <c r="F105" s="5"/>
    </row>
    <row r="106" spans="3:6" ht="17.25" x14ac:dyDescent="0.25">
      <c r="C106" s="3"/>
      <c r="D106" s="4"/>
      <c r="E106" s="5"/>
      <c r="F106" s="5"/>
    </row>
    <row r="107" spans="3:6" ht="17.25" x14ac:dyDescent="0.25">
      <c r="C107" s="3"/>
      <c r="D107" s="4"/>
      <c r="E107" s="5"/>
      <c r="F107" s="5"/>
    </row>
    <row r="108" spans="3:6" ht="17.25" x14ac:dyDescent="0.25">
      <c r="C108" s="3"/>
      <c r="D108" s="4"/>
      <c r="E108" s="5"/>
      <c r="F108" s="5"/>
    </row>
    <row r="109" spans="3:6" ht="17.25" x14ac:dyDescent="0.25">
      <c r="C109" s="3"/>
      <c r="D109" s="4"/>
      <c r="E109" s="5"/>
      <c r="F109" s="5"/>
    </row>
    <row r="110" spans="3:6" ht="17.25" x14ac:dyDescent="0.25">
      <c r="C110" s="3"/>
      <c r="D110" s="4"/>
      <c r="E110" s="5"/>
      <c r="F110" s="5"/>
    </row>
    <row r="111" spans="3:6" ht="17.25" x14ac:dyDescent="0.25">
      <c r="C111" s="3"/>
      <c r="D111" s="4"/>
      <c r="E111" s="5"/>
      <c r="F111" s="5"/>
    </row>
    <row r="112" spans="3:6" ht="17.25" x14ac:dyDescent="0.25">
      <c r="C112" s="3"/>
      <c r="D112" s="4"/>
      <c r="E112" s="5"/>
      <c r="F112" s="5"/>
    </row>
    <row r="113" spans="3:6" ht="17.25" x14ac:dyDescent="0.25">
      <c r="C113" s="3"/>
      <c r="D113" s="4"/>
      <c r="E113" s="5"/>
      <c r="F113" s="5"/>
    </row>
    <row r="114" spans="3:6" ht="17.25" x14ac:dyDescent="0.25">
      <c r="C114" s="3"/>
      <c r="D114" s="4"/>
      <c r="E114" s="5"/>
      <c r="F114" s="5"/>
    </row>
    <row r="115" spans="3:6" ht="17.25" x14ac:dyDescent="0.25">
      <c r="C115" s="3"/>
      <c r="D115" s="4"/>
      <c r="E115" s="5"/>
      <c r="F115" s="5"/>
    </row>
    <row r="116" spans="3:6" ht="17.25" x14ac:dyDescent="0.25">
      <c r="C116" s="3"/>
      <c r="D116" s="4"/>
      <c r="E116" s="5"/>
      <c r="F116" s="5"/>
    </row>
    <row r="117" spans="3:6" ht="17.25" x14ac:dyDescent="0.25">
      <c r="C117" s="3"/>
      <c r="D117" s="4"/>
      <c r="E117" s="5"/>
      <c r="F117" s="5"/>
    </row>
    <row r="118" spans="3:6" ht="17.25" x14ac:dyDescent="0.25">
      <c r="C118" s="3"/>
      <c r="D118" s="4"/>
      <c r="E118" s="5"/>
      <c r="F118" s="5"/>
    </row>
    <row r="119" spans="3:6" ht="17.25" x14ac:dyDescent="0.25">
      <c r="C119" s="3"/>
      <c r="D119" s="4"/>
      <c r="E119" s="5"/>
      <c r="F119" s="5"/>
    </row>
    <row r="120" spans="3:6" ht="17.25" x14ac:dyDescent="0.25">
      <c r="C120" s="3"/>
      <c r="D120" s="4"/>
      <c r="E120" s="5"/>
      <c r="F120" s="5"/>
    </row>
    <row r="121" spans="3:6" ht="17.25" x14ac:dyDescent="0.25">
      <c r="C121" s="3"/>
      <c r="D121" s="4"/>
      <c r="E121" s="5"/>
      <c r="F121" s="5"/>
    </row>
    <row r="122" spans="3:6" ht="17.25" x14ac:dyDescent="0.25">
      <c r="C122" s="3"/>
      <c r="D122" s="4"/>
      <c r="E122" s="5"/>
      <c r="F122" s="5"/>
    </row>
    <row r="123" spans="3:6" ht="17.25" x14ac:dyDescent="0.25">
      <c r="C123" s="3"/>
      <c r="D123" s="4"/>
      <c r="E123" s="5"/>
      <c r="F123" s="5"/>
    </row>
    <row r="124" spans="3:6" ht="17.25" x14ac:dyDescent="0.25">
      <c r="C124" s="3"/>
      <c r="D124" s="4"/>
      <c r="E124" s="5"/>
      <c r="F124" s="5"/>
    </row>
    <row r="125" spans="3:6" ht="17.25" x14ac:dyDescent="0.25">
      <c r="C125" s="3"/>
      <c r="D125" s="4"/>
      <c r="E125" s="5"/>
      <c r="F125" s="5"/>
    </row>
    <row r="126" spans="3:6" ht="17.25" x14ac:dyDescent="0.25">
      <c r="C126" s="3"/>
      <c r="D126" s="4"/>
      <c r="E126" s="5"/>
      <c r="F126" s="5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126"/>
  <sheetViews>
    <sheetView topLeftCell="A34" zoomScale="70" zoomScaleNormal="70" workbookViewId="0">
      <selection activeCell="I60" sqref="I60"/>
    </sheetView>
  </sheetViews>
  <sheetFormatPr defaultRowHeight="16.5" x14ac:dyDescent="0.25"/>
  <cols>
    <col min="1" max="3" width="9" style="1"/>
    <col min="4" max="7" width="12.125" style="1" customWidth="1"/>
    <col min="8" max="8" width="13.125" style="1" customWidth="1"/>
    <col min="9" max="9" width="14.125" style="1" customWidth="1"/>
    <col min="10" max="11" width="13.25" style="1" customWidth="1"/>
    <col min="12" max="12" width="12.375" style="1" customWidth="1"/>
    <col min="13" max="13" width="12.125" style="1" customWidth="1"/>
    <col min="14" max="14" width="11.5" style="1" customWidth="1"/>
    <col min="15" max="16384" width="9" style="1"/>
  </cols>
  <sheetData>
    <row r="1" spans="3:15" x14ac:dyDescent="0.25">
      <c r="C1" s="1" t="s">
        <v>4</v>
      </c>
      <c r="G1" s="1" t="s">
        <v>5</v>
      </c>
    </row>
    <row r="2" spans="3:15" x14ac:dyDescent="0.25"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9</v>
      </c>
    </row>
    <row r="3" spans="3:15" x14ac:dyDescent="0.25">
      <c r="C3" s="1">
        <v>0</v>
      </c>
      <c r="D3" s="1">
        <v>0</v>
      </c>
      <c r="G3" s="1">
        <v>50</v>
      </c>
    </row>
    <row r="4" spans="3:15" x14ac:dyDescent="0.25">
      <c r="C4" s="1">
        <v>30</v>
      </c>
      <c r="D4" s="1">
        <v>30</v>
      </c>
      <c r="G4" s="1">
        <v>50</v>
      </c>
    </row>
    <row r="5" spans="3:15" x14ac:dyDescent="0.25">
      <c r="C5" s="1">
        <v>140</v>
      </c>
      <c r="D5" s="1">
        <v>140</v>
      </c>
      <c r="G5" s="1">
        <v>170</v>
      </c>
    </row>
    <row r="6" spans="3:15" x14ac:dyDescent="0.25">
      <c r="C6" s="1">
        <v>280</v>
      </c>
      <c r="D6" s="1">
        <v>280</v>
      </c>
      <c r="G6" s="1">
        <v>380</v>
      </c>
    </row>
    <row r="7" spans="3:15" x14ac:dyDescent="0.25">
      <c r="C7" s="1">
        <v>860</v>
      </c>
      <c r="D7" s="1">
        <v>430</v>
      </c>
      <c r="G7" s="1">
        <v>1100</v>
      </c>
    </row>
    <row r="8" spans="3:15" x14ac:dyDescent="0.25">
      <c r="C8" s="1">
        <v>120</v>
      </c>
      <c r="D8" s="1">
        <v>120</v>
      </c>
      <c r="J8" s="1">
        <v>0</v>
      </c>
    </row>
    <row r="9" spans="3:15" x14ac:dyDescent="0.25">
      <c r="C9" s="1">
        <v>120</v>
      </c>
      <c r="D9" s="1">
        <v>120</v>
      </c>
      <c r="J9" s="1">
        <v>30</v>
      </c>
    </row>
    <row r="10" spans="3:15" x14ac:dyDescent="0.25">
      <c r="C10" s="1">
        <v>260</v>
      </c>
      <c r="D10" s="1">
        <v>260</v>
      </c>
      <c r="J10" s="1">
        <v>130</v>
      </c>
    </row>
    <row r="11" spans="3:15" x14ac:dyDescent="0.25">
      <c r="C11" s="1">
        <v>550</v>
      </c>
      <c r="D11" s="1">
        <v>550</v>
      </c>
      <c r="J11" s="1">
        <v>250</v>
      </c>
    </row>
    <row r="12" spans="3:15" x14ac:dyDescent="0.25">
      <c r="C12" s="1">
        <v>50</v>
      </c>
      <c r="H12" s="1">
        <v>0</v>
      </c>
    </row>
    <row r="13" spans="3:15" x14ac:dyDescent="0.25">
      <c r="C13" s="1">
        <v>50</v>
      </c>
      <c r="H13" s="1">
        <v>30</v>
      </c>
    </row>
    <row r="14" spans="3:15" x14ac:dyDescent="0.25">
      <c r="C14" s="1">
        <v>170</v>
      </c>
      <c r="H14" s="1">
        <v>145</v>
      </c>
    </row>
    <row r="15" spans="3:15" x14ac:dyDescent="0.25">
      <c r="C15" s="1">
        <v>385</v>
      </c>
      <c r="H15" s="1">
        <v>300</v>
      </c>
    </row>
    <row r="16" spans="3:15" x14ac:dyDescent="0.25">
      <c r="C16" s="1">
        <v>550</v>
      </c>
      <c r="H16" s="1">
        <v>450</v>
      </c>
    </row>
    <row r="17" spans="3:13" x14ac:dyDescent="0.25">
      <c r="C17" s="1">
        <v>0</v>
      </c>
      <c r="I17" s="1">
        <v>60</v>
      </c>
    </row>
    <row r="18" spans="3:13" x14ac:dyDescent="0.25">
      <c r="C18" s="1">
        <v>30</v>
      </c>
      <c r="I18" s="1">
        <v>60</v>
      </c>
    </row>
    <row r="19" spans="3:13" x14ac:dyDescent="0.25">
      <c r="C19" s="1">
        <v>50</v>
      </c>
      <c r="I19" s="1">
        <v>80</v>
      </c>
    </row>
    <row r="20" spans="3:13" x14ac:dyDescent="0.25">
      <c r="C20" s="1">
        <v>70</v>
      </c>
      <c r="I20" s="1">
        <v>110</v>
      </c>
    </row>
    <row r="21" spans="3:13" x14ac:dyDescent="0.25">
      <c r="C21" s="1">
        <v>520</v>
      </c>
      <c r="I21" s="1">
        <v>1100</v>
      </c>
    </row>
    <row r="22" spans="3:13" x14ac:dyDescent="0.25">
      <c r="C22" s="1">
        <v>250</v>
      </c>
      <c r="L22" s="1">
        <v>0</v>
      </c>
    </row>
    <row r="23" spans="3:13" x14ac:dyDescent="0.25">
      <c r="C23" s="1">
        <v>250</v>
      </c>
      <c r="L23" s="1">
        <v>40</v>
      </c>
    </row>
    <row r="24" spans="3:13" x14ac:dyDescent="0.25">
      <c r="C24" s="1">
        <v>550</v>
      </c>
      <c r="L24" s="1">
        <v>150</v>
      </c>
    </row>
    <row r="25" spans="3:13" x14ac:dyDescent="0.25">
      <c r="C25" s="1">
        <v>0</v>
      </c>
      <c r="K25" s="1">
        <v>100</v>
      </c>
    </row>
    <row r="26" spans="3:13" x14ac:dyDescent="0.25">
      <c r="C26" s="1">
        <v>25</v>
      </c>
      <c r="K26" s="1">
        <v>100</v>
      </c>
    </row>
    <row r="27" spans="3:13" x14ac:dyDescent="0.25">
      <c r="C27" s="1">
        <v>50</v>
      </c>
      <c r="K27" s="1">
        <v>125</v>
      </c>
    </row>
    <row r="28" spans="3:13" x14ac:dyDescent="0.25">
      <c r="C28" s="1">
        <v>80</v>
      </c>
      <c r="K28" s="1">
        <v>215</v>
      </c>
    </row>
    <row r="29" spans="3:13" x14ac:dyDescent="0.25">
      <c r="C29" s="1">
        <v>250</v>
      </c>
      <c r="K29" s="1">
        <v>1100</v>
      </c>
    </row>
    <row r="30" spans="3:13" x14ac:dyDescent="0.25">
      <c r="C30" s="1">
        <v>0</v>
      </c>
      <c r="M30" s="1">
        <v>150</v>
      </c>
    </row>
    <row r="31" spans="3:13" x14ac:dyDescent="0.25">
      <c r="C31" s="1">
        <v>35</v>
      </c>
      <c r="M31" s="1">
        <v>155</v>
      </c>
    </row>
    <row r="32" spans="3:13" x14ac:dyDescent="0.25">
      <c r="C32" s="1">
        <v>100</v>
      </c>
      <c r="M32" s="1">
        <v>1100</v>
      </c>
    </row>
    <row r="33" spans="3:14" x14ac:dyDescent="0.25">
      <c r="C33" s="1">
        <v>0</v>
      </c>
      <c r="N33" s="1">
        <v>0</v>
      </c>
    </row>
    <row r="34" spans="3:14" x14ac:dyDescent="0.25">
      <c r="C34" s="1">
        <v>550</v>
      </c>
      <c r="N34" s="1">
        <v>550</v>
      </c>
    </row>
    <row r="37" spans="3:14" ht="17.25" x14ac:dyDescent="0.25">
      <c r="C37" s="2" t="s">
        <v>18</v>
      </c>
      <c r="D37" s="15">
        <v>940</v>
      </c>
      <c r="E37" s="15">
        <v>970</v>
      </c>
      <c r="F37" s="15">
        <v>1200</v>
      </c>
      <c r="G37" s="16">
        <v>1300</v>
      </c>
      <c r="H37" s="17"/>
    </row>
    <row r="38" spans="3:14" ht="17.25" x14ac:dyDescent="0.25">
      <c r="C38" s="3">
        <v>125</v>
      </c>
      <c r="D38" s="18">
        <v>157.14254588727411</v>
      </c>
      <c r="E38" s="19">
        <v>135.72288734538432</v>
      </c>
      <c r="F38" s="19">
        <v>12.944642702932633</v>
      </c>
      <c r="G38" s="18"/>
    </row>
    <row r="39" spans="3:14" ht="17.25" x14ac:dyDescent="0.25">
      <c r="C39" s="3">
        <v>170</v>
      </c>
      <c r="D39" s="18">
        <v>128.86005310609346</v>
      </c>
      <c r="E39" s="19">
        <v>137.93052064908017</v>
      </c>
      <c r="F39" s="19">
        <v>58.607024568448594</v>
      </c>
      <c r="G39" s="18"/>
    </row>
    <row r="40" spans="3:14" ht="17.25" x14ac:dyDescent="0.25">
      <c r="C40" s="3">
        <v>205</v>
      </c>
      <c r="D40" s="18">
        <v>246.298594510805</v>
      </c>
      <c r="E40" s="19">
        <v>155.29926167316012</v>
      </c>
      <c r="F40" s="19">
        <v>109.79792226473732</v>
      </c>
      <c r="G40" s="18"/>
    </row>
    <row r="41" spans="3:14" ht="17.25" x14ac:dyDescent="0.25">
      <c r="C41" s="3">
        <v>287</v>
      </c>
      <c r="D41" s="18">
        <v>303.16295261169091</v>
      </c>
      <c r="E41" s="19">
        <v>279.96422934639804</v>
      </c>
      <c r="F41" s="19">
        <v>105.74635428557421</v>
      </c>
      <c r="G41" s="18"/>
    </row>
    <row r="42" spans="3:14" ht="17.25" x14ac:dyDescent="0.25">
      <c r="C42" s="3">
        <v>209</v>
      </c>
      <c r="D42" s="18">
        <v>160.53585388413663</v>
      </c>
      <c r="E42" s="19">
        <v>287.08310098597735</v>
      </c>
      <c r="F42" s="19">
        <v>708.90405617830743</v>
      </c>
      <c r="G42" s="18"/>
    </row>
    <row r="43" spans="3:14" ht="17.25" x14ac:dyDescent="0.25">
      <c r="C43" s="3"/>
      <c r="D43" s="18"/>
      <c r="E43" s="19"/>
      <c r="F43" s="19"/>
      <c r="G43" s="18"/>
    </row>
    <row r="44" spans="3:14" ht="17.25" x14ac:dyDescent="0.25">
      <c r="C44" s="3"/>
      <c r="D44" s="18"/>
      <c r="E44" s="19"/>
      <c r="F44" s="19"/>
      <c r="G44" s="18"/>
    </row>
    <row r="45" spans="3:14" ht="17.25" x14ac:dyDescent="0.25">
      <c r="C45" s="3"/>
      <c r="D45" s="18"/>
      <c r="E45" s="19"/>
      <c r="F45" s="19"/>
      <c r="G45" s="18"/>
    </row>
    <row r="46" spans="3:14" ht="17.25" x14ac:dyDescent="0.25">
      <c r="C46" s="3"/>
      <c r="D46" s="18"/>
      <c r="E46" s="19"/>
      <c r="F46" s="19"/>
      <c r="G46" s="18"/>
    </row>
    <row r="47" spans="3:14" ht="17.25" x14ac:dyDescent="0.25">
      <c r="C47" s="3"/>
      <c r="D47" s="18"/>
      <c r="E47" s="19"/>
      <c r="F47" s="19"/>
      <c r="G47" s="18"/>
    </row>
    <row r="48" spans="3:14" ht="17.25" x14ac:dyDescent="0.25">
      <c r="C48" s="3"/>
      <c r="D48" s="18"/>
      <c r="E48" s="19"/>
      <c r="F48" s="19"/>
      <c r="G48" s="18"/>
    </row>
    <row r="49" spans="3:7" ht="17.25" x14ac:dyDescent="0.25">
      <c r="C49" s="3"/>
      <c r="D49" s="18"/>
      <c r="E49" s="19"/>
      <c r="F49" s="19"/>
      <c r="G49" s="18"/>
    </row>
    <row r="50" spans="3:7" ht="17.25" x14ac:dyDescent="0.25">
      <c r="C50" s="3"/>
      <c r="D50" s="4"/>
      <c r="E50" s="5"/>
      <c r="F50" s="5"/>
    </row>
    <row r="51" spans="3:7" ht="17.25" x14ac:dyDescent="0.25">
      <c r="C51" s="3"/>
      <c r="D51" s="4"/>
      <c r="E51" s="5"/>
      <c r="F51" s="5"/>
    </row>
    <row r="52" spans="3:7" ht="17.25" x14ac:dyDescent="0.25">
      <c r="C52" s="3"/>
      <c r="D52" s="4"/>
      <c r="E52" s="5"/>
      <c r="F52" s="5"/>
    </row>
    <row r="53" spans="3:7" ht="17.25" x14ac:dyDescent="0.25">
      <c r="C53" s="3"/>
      <c r="D53" s="4"/>
      <c r="E53" s="5"/>
      <c r="F53" s="5"/>
    </row>
    <row r="54" spans="3:7" ht="17.25" x14ac:dyDescent="0.25">
      <c r="C54" s="3"/>
      <c r="D54" s="4"/>
      <c r="E54" s="5"/>
      <c r="F54" s="5"/>
    </row>
    <row r="55" spans="3:7" ht="17.25" x14ac:dyDescent="0.25">
      <c r="C55" s="3"/>
      <c r="D55" s="4"/>
      <c r="E55" s="5"/>
      <c r="F55" s="5"/>
    </row>
    <row r="56" spans="3:7" ht="17.25" x14ac:dyDescent="0.25">
      <c r="C56" s="3"/>
      <c r="D56" s="4"/>
      <c r="E56" s="5"/>
      <c r="F56" s="5"/>
    </row>
    <row r="57" spans="3:7" ht="17.25" x14ac:dyDescent="0.25">
      <c r="C57" s="3"/>
      <c r="D57" s="4"/>
      <c r="E57" s="5"/>
      <c r="F57" s="5"/>
    </row>
    <row r="58" spans="3:7" ht="17.25" x14ac:dyDescent="0.25">
      <c r="C58" s="3"/>
      <c r="D58" s="4"/>
      <c r="E58" s="5"/>
      <c r="F58" s="5"/>
    </row>
    <row r="59" spans="3:7" ht="17.25" x14ac:dyDescent="0.25">
      <c r="C59" s="3"/>
      <c r="D59" s="4"/>
      <c r="E59" s="5"/>
      <c r="F59" s="5"/>
    </row>
    <row r="60" spans="3:7" ht="17.25" x14ac:dyDescent="0.25">
      <c r="C60" s="3"/>
      <c r="D60" s="4"/>
      <c r="E60" s="5"/>
      <c r="F60" s="5"/>
    </row>
    <row r="61" spans="3:7" ht="17.25" x14ac:dyDescent="0.25">
      <c r="C61" s="3"/>
      <c r="D61" s="4"/>
      <c r="E61" s="5"/>
      <c r="F61" s="5"/>
    </row>
    <row r="62" spans="3:7" ht="17.25" x14ac:dyDescent="0.25">
      <c r="C62" s="3"/>
      <c r="D62" s="4"/>
      <c r="E62" s="5"/>
      <c r="F62" s="5"/>
    </row>
    <row r="63" spans="3:7" ht="17.25" x14ac:dyDescent="0.25">
      <c r="C63" s="3"/>
      <c r="D63" s="4"/>
      <c r="E63" s="5"/>
      <c r="F63" s="5"/>
    </row>
    <row r="64" spans="3:7" ht="17.25" x14ac:dyDescent="0.25">
      <c r="C64" s="3"/>
      <c r="D64" s="4"/>
      <c r="E64" s="5"/>
      <c r="F64" s="5"/>
    </row>
    <row r="65" spans="3:6" ht="17.25" x14ac:dyDescent="0.25">
      <c r="C65" s="3"/>
      <c r="D65" s="4"/>
      <c r="E65" s="5"/>
      <c r="F65" s="5"/>
    </row>
    <row r="66" spans="3:6" ht="17.25" x14ac:dyDescent="0.25">
      <c r="C66" s="3"/>
      <c r="D66" s="4"/>
      <c r="E66" s="5"/>
      <c r="F66" s="5"/>
    </row>
    <row r="67" spans="3:6" ht="17.25" x14ac:dyDescent="0.25">
      <c r="C67" s="3"/>
      <c r="D67" s="4"/>
      <c r="E67" s="5"/>
      <c r="F67" s="5"/>
    </row>
    <row r="68" spans="3:6" ht="17.25" x14ac:dyDescent="0.25">
      <c r="C68" s="3"/>
      <c r="D68" s="4"/>
      <c r="E68" s="5"/>
      <c r="F68" s="5"/>
    </row>
    <row r="69" spans="3:6" ht="17.25" x14ac:dyDescent="0.25">
      <c r="C69" s="3"/>
      <c r="D69" s="4"/>
      <c r="E69" s="5"/>
      <c r="F69" s="5"/>
    </row>
    <row r="70" spans="3:6" ht="17.25" x14ac:dyDescent="0.25">
      <c r="C70" s="3"/>
      <c r="D70" s="4"/>
      <c r="E70" s="5"/>
      <c r="F70" s="5"/>
    </row>
    <row r="71" spans="3:6" ht="17.25" x14ac:dyDescent="0.25">
      <c r="C71" s="3"/>
      <c r="D71" s="4"/>
      <c r="E71" s="5"/>
      <c r="F71" s="5"/>
    </row>
    <row r="72" spans="3:6" ht="17.25" x14ac:dyDescent="0.25">
      <c r="C72" s="3"/>
      <c r="D72" s="4"/>
      <c r="E72" s="5"/>
      <c r="F72" s="5"/>
    </row>
    <row r="73" spans="3:6" ht="17.25" x14ac:dyDescent="0.25">
      <c r="C73" s="3"/>
      <c r="D73" s="4"/>
      <c r="E73" s="5"/>
      <c r="F73" s="5"/>
    </row>
    <row r="74" spans="3:6" ht="17.25" x14ac:dyDescent="0.25">
      <c r="C74" s="3"/>
      <c r="D74" s="4"/>
      <c r="E74" s="5"/>
      <c r="F74" s="5"/>
    </row>
    <row r="75" spans="3:6" ht="17.25" x14ac:dyDescent="0.25">
      <c r="C75" s="3"/>
      <c r="D75" s="4"/>
      <c r="E75" s="5"/>
      <c r="F75" s="5"/>
    </row>
    <row r="76" spans="3:6" ht="17.25" x14ac:dyDescent="0.25">
      <c r="C76" s="3"/>
      <c r="D76" s="4"/>
      <c r="E76" s="5"/>
      <c r="F76" s="5"/>
    </row>
    <row r="77" spans="3:6" ht="17.25" x14ac:dyDescent="0.25">
      <c r="C77" s="3"/>
      <c r="D77" s="4"/>
      <c r="E77" s="5"/>
      <c r="F77" s="5"/>
    </row>
    <row r="78" spans="3:6" ht="17.25" x14ac:dyDescent="0.25">
      <c r="C78" s="3"/>
      <c r="D78" s="4"/>
      <c r="E78" s="5"/>
      <c r="F78" s="5"/>
    </row>
    <row r="79" spans="3:6" ht="17.25" x14ac:dyDescent="0.25">
      <c r="C79" s="3"/>
      <c r="D79" s="4"/>
      <c r="E79" s="5"/>
      <c r="F79" s="5"/>
    </row>
    <row r="80" spans="3:6" ht="17.25" x14ac:dyDescent="0.25">
      <c r="C80" s="3"/>
      <c r="D80" s="4"/>
      <c r="E80" s="5"/>
      <c r="F80" s="5"/>
    </row>
    <row r="81" spans="3:6" ht="17.25" x14ac:dyDescent="0.25">
      <c r="C81" s="3"/>
      <c r="D81" s="4"/>
      <c r="E81" s="5"/>
      <c r="F81" s="5"/>
    </row>
    <row r="82" spans="3:6" ht="17.25" x14ac:dyDescent="0.25">
      <c r="C82" s="3"/>
      <c r="D82" s="4"/>
      <c r="E82" s="5"/>
      <c r="F82" s="5"/>
    </row>
    <row r="83" spans="3:6" ht="17.25" x14ac:dyDescent="0.25">
      <c r="C83" s="3"/>
      <c r="D83" s="4"/>
      <c r="E83" s="5"/>
      <c r="F83" s="5"/>
    </row>
    <row r="84" spans="3:6" ht="17.25" x14ac:dyDescent="0.25">
      <c r="C84" s="3"/>
      <c r="D84" s="4"/>
      <c r="E84" s="5"/>
      <c r="F84" s="5"/>
    </row>
    <row r="85" spans="3:6" ht="17.25" x14ac:dyDescent="0.25">
      <c r="C85" s="3"/>
      <c r="D85" s="4"/>
      <c r="E85" s="5"/>
      <c r="F85" s="5"/>
    </row>
    <row r="86" spans="3:6" ht="17.25" x14ac:dyDescent="0.25">
      <c r="C86" s="3"/>
      <c r="D86" s="4"/>
      <c r="E86" s="5"/>
      <c r="F86" s="5"/>
    </row>
    <row r="87" spans="3:6" ht="17.25" x14ac:dyDescent="0.25">
      <c r="C87" s="3"/>
      <c r="D87" s="4"/>
      <c r="E87" s="5"/>
      <c r="F87" s="5"/>
    </row>
    <row r="88" spans="3:6" ht="17.25" x14ac:dyDescent="0.25">
      <c r="C88" s="3"/>
      <c r="D88" s="4"/>
      <c r="E88" s="5"/>
      <c r="F88" s="5"/>
    </row>
    <row r="89" spans="3:6" ht="17.25" x14ac:dyDescent="0.25">
      <c r="C89" s="3"/>
      <c r="D89" s="4"/>
      <c r="E89" s="5"/>
      <c r="F89" s="5"/>
    </row>
    <row r="90" spans="3:6" ht="17.25" x14ac:dyDescent="0.25">
      <c r="C90" s="3"/>
      <c r="D90" s="4"/>
      <c r="E90" s="5"/>
      <c r="F90" s="5"/>
    </row>
    <row r="91" spans="3:6" ht="17.25" x14ac:dyDescent="0.25">
      <c r="C91" s="3"/>
      <c r="D91" s="4"/>
      <c r="E91" s="5"/>
      <c r="F91" s="5"/>
    </row>
    <row r="92" spans="3:6" ht="17.25" x14ac:dyDescent="0.25">
      <c r="C92" s="3"/>
      <c r="D92" s="4"/>
      <c r="E92" s="5"/>
      <c r="F92" s="5"/>
    </row>
    <row r="93" spans="3:6" ht="17.25" x14ac:dyDescent="0.25">
      <c r="C93" s="3"/>
      <c r="D93" s="4"/>
      <c r="E93" s="5"/>
      <c r="F93" s="5"/>
    </row>
    <row r="94" spans="3:6" ht="17.25" x14ac:dyDescent="0.25">
      <c r="C94" s="3"/>
      <c r="D94" s="4"/>
      <c r="E94" s="5"/>
      <c r="F94" s="5"/>
    </row>
    <row r="95" spans="3:6" ht="17.25" x14ac:dyDescent="0.25">
      <c r="C95" s="3"/>
      <c r="D95" s="4"/>
      <c r="E95" s="5"/>
      <c r="F95" s="5"/>
    </row>
    <row r="96" spans="3:6" ht="17.25" x14ac:dyDescent="0.25">
      <c r="C96" s="3"/>
      <c r="D96" s="4"/>
      <c r="E96" s="5"/>
      <c r="F96" s="5"/>
    </row>
    <row r="97" spans="3:6" ht="17.25" x14ac:dyDescent="0.25">
      <c r="C97" s="3"/>
      <c r="D97" s="4"/>
      <c r="E97" s="5"/>
      <c r="F97" s="5"/>
    </row>
    <row r="98" spans="3:6" ht="17.25" x14ac:dyDescent="0.25">
      <c r="C98" s="3"/>
      <c r="D98" s="4"/>
      <c r="E98" s="5"/>
      <c r="F98" s="5"/>
    </row>
    <row r="99" spans="3:6" ht="17.25" x14ac:dyDescent="0.25">
      <c r="C99" s="3"/>
      <c r="D99" s="4"/>
      <c r="E99" s="5"/>
      <c r="F99" s="5"/>
    </row>
    <row r="100" spans="3:6" ht="17.25" x14ac:dyDescent="0.25">
      <c r="C100" s="3"/>
      <c r="D100" s="4"/>
      <c r="E100" s="5"/>
      <c r="F100" s="5"/>
    </row>
    <row r="101" spans="3:6" ht="17.25" x14ac:dyDescent="0.25">
      <c r="C101" s="3"/>
      <c r="D101" s="4"/>
      <c r="E101" s="5"/>
      <c r="F101" s="5"/>
    </row>
    <row r="102" spans="3:6" ht="17.25" x14ac:dyDescent="0.25">
      <c r="C102" s="3"/>
      <c r="D102" s="4"/>
      <c r="E102" s="5"/>
      <c r="F102" s="5"/>
    </row>
    <row r="103" spans="3:6" ht="17.25" x14ac:dyDescent="0.25">
      <c r="C103" s="3"/>
      <c r="D103" s="4"/>
      <c r="E103" s="5"/>
      <c r="F103" s="5"/>
    </row>
    <row r="104" spans="3:6" ht="17.25" x14ac:dyDescent="0.25">
      <c r="C104" s="3"/>
      <c r="D104" s="4"/>
      <c r="E104" s="5"/>
      <c r="F104" s="5"/>
    </row>
    <row r="105" spans="3:6" ht="17.25" x14ac:dyDescent="0.25">
      <c r="C105" s="3"/>
      <c r="D105" s="4"/>
      <c r="E105" s="5"/>
      <c r="F105" s="5"/>
    </row>
    <row r="106" spans="3:6" ht="17.25" x14ac:dyDescent="0.25">
      <c r="C106" s="3"/>
      <c r="D106" s="4"/>
      <c r="E106" s="5"/>
      <c r="F106" s="5"/>
    </row>
    <row r="107" spans="3:6" ht="17.25" x14ac:dyDescent="0.25">
      <c r="C107" s="3"/>
      <c r="D107" s="4"/>
      <c r="E107" s="5"/>
      <c r="F107" s="5"/>
    </row>
    <row r="108" spans="3:6" ht="17.25" x14ac:dyDescent="0.25">
      <c r="C108" s="3"/>
      <c r="D108" s="4"/>
      <c r="E108" s="5"/>
      <c r="F108" s="5"/>
    </row>
    <row r="109" spans="3:6" ht="17.25" x14ac:dyDescent="0.25">
      <c r="C109" s="3"/>
      <c r="D109" s="4"/>
      <c r="E109" s="5"/>
      <c r="F109" s="5"/>
    </row>
    <row r="110" spans="3:6" ht="17.25" x14ac:dyDescent="0.25">
      <c r="C110" s="3"/>
      <c r="D110" s="4"/>
      <c r="E110" s="5"/>
      <c r="F110" s="5"/>
    </row>
    <row r="111" spans="3:6" ht="17.25" x14ac:dyDescent="0.25">
      <c r="C111" s="3"/>
      <c r="D111" s="4"/>
      <c r="E111" s="5"/>
      <c r="F111" s="5"/>
    </row>
    <row r="112" spans="3:6" ht="17.25" x14ac:dyDescent="0.25">
      <c r="C112" s="3"/>
      <c r="D112" s="4"/>
      <c r="E112" s="5"/>
      <c r="F112" s="5"/>
    </row>
    <row r="113" spans="3:6" ht="17.25" x14ac:dyDescent="0.25">
      <c r="C113" s="3"/>
      <c r="D113" s="4"/>
      <c r="E113" s="5"/>
      <c r="F113" s="5"/>
    </row>
    <row r="114" spans="3:6" ht="17.25" x14ac:dyDescent="0.25">
      <c r="C114" s="3"/>
      <c r="D114" s="4"/>
      <c r="E114" s="5"/>
      <c r="F114" s="5"/>
    </row>
    <row r="115" spans="3:6" ht="17.25" x14ac:dyDescent="0.25">
      <c r="C115" s="3"/>
      <c r="D115" s="4"/>
      <c r="E115" s="5"/>
      <c r="F115" s="5"/>
    </row>
    <row r="116" spans="3:6" ht="17.25" x14ac:dyDescent="0.25">
      <c r="C116" s="3"/>
      <c r="D116" s="4"/>
      <c r="E116" s="5"/>
      <c r="F116" s="5"/>
    </row>
    <row r="117" spans="3:6" ht="17.25" x14ac:dyDescent="0.25">
      <c r="C117" s="3"/>
      <c r="D117" s="4"/>
      <c r="E117" s="5"/>
      <c r="F117" s="5"/>
    </row>
    <row r="118" spans="3:6" ht="17.25" x14ac:dyDescent="0.25">
      <c r="C118" s="3"/>
      <c r="D118" s="4"/>
      <c r="E118" s="5"/>
      <c r="F118" s="5"/>
    </row>
    <row r="119" spans="3:6" ht="17.25" x14ac:dyDescent="0.25">
      <c r="C119" s="3"/>
      <c r="D119" s="4"/>
      <c r="E119" s="5"/>
      <c r="F119" s="5"/>
    </row>
    <row r="120" spans="3:6" ht="17.25" x14ac:dyDescent="0.25">
      <c r="C120" s="3"/>
      <c r="D120" s="4"/>
      <c r="E120" s="5"/>
      <c r="F120" s="5"/>
    </row>
    <row r="121" spans="3:6" ht="17.25" x14ac:dyDescent="0.25">
      <c r="C121" s="3"/>
      <c r="D121" s="4"/>
      <c r="E121" s="5"/>
      <c r="F121" s="5"/>
    </row>
    <row r="122" spans="3:6" ht="17.25" x14ac:dyDescent="0.25">
      <c r="C122" s="3"/>
      <c r="D122" s="4"/>
      <c r="E122" s="5"/>
      <c r="F122" s="5"/>
    </row>
    <row r="123" spans="3:6" ht="17.25" x14ac:dyDescent="0.25">
      <c r="C123" s="3"/>
      <c r="D123" s="4"/>
      <c r="E123" s="5"/>
      <c r="F123" s="5"/>
    </row>
    <row r="124" spans="3:6" ht="17.25" x14ac:dyDescent="0.25">
      <c r="C124" s="3"/>
      <c r="D124" s="4"/>
      <c r="E124" s="5"/>
      <c r="F124" s="5"/>
    </row>
    <row r="125" spans="3:6" ht="17.25" x14ac:dyDescent="0.25">
      <c r="C125" s="3"/>
      <c r="D125" s="4"/>
      <c r="E125" s="5"/>
      <c r="F125" s="5"/>
    </row>
    <row r="126" spans="3:6" ht="17.25" x14ac:dyDescent="0.25">
      <c r="C126" s="3"/>
      <c r="D126" s="4"/>
      <c r="E126" s="5"/>
      <c r="F126" s="5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126"/>
  <sheetViews>
    <sheetView topLeftCell="E34" zoomScale="70" zoomScaleNormal="70" workbookViewId="0">
      <selection activeCell="G8" sqref="G8"/>
    </sheetView>
  </sheetViews>
  <sheetFormatPr defaultRowHeight="16.5" x14ac:dyDescent="0.25"/>
  <cols>
    <col min="1" max="3" width="9" style="1"/>
    <col min="4" max="7" width="12.125" style="1" customWidth="1"/>
    <col min="8" max="8" width="13.125" style="1" customWidth="1"/>
    <col min="9" max="9" width="14.125" style="1" customWidth="1"/>
    <col min="10" max="11" width="13.25" style="1" customWidth="1"/>
    <col min="12" max="12" width="12.375" style="1" customWidth="1"/>
    <col min="13" max="13" width="12.125" style="1" customWidth="1"/>
    <col min="14" max="14" width="11.5" style="1" customWidth="1"/>
    <col min="15" max="16384" width="9" style="1"/>
  </cols>
  <sheetData>
    <row r="1" spans="3:15" x14ac:dyDescent="0.25">
      <c r="C1" s="1" t="s">
        <v>4</v>
      </c>
      <c r="G1" s="1" t="s">
        <v>5</v>
      </c>
    </row>
    <row r="2" spans="3:15" x14ac:dyDescent="0.25">
      <c r="C2" s="1" t="s">
        <v>6</v>
      </c>
      <c r="D2" s="1" t="s">
        <v>7</v>
      </c>
      <c r="E2" s="1" t="s">
        <v>8</v>
      </c>
      <c r="F2" s="1" t="s">
        <v>0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2</v>
      </c>
      <c r="O2" s="1" t="s">
        <v>0</v>
      </c>
    </row>
    <row r="3" spans="3:15" x14ac:dyDescent="0.25">
      <c r="C3" s="1">
        <v>0</v>
      </c>
      <c r="D3" s="1">
        <v>0</v>
      </c>
      <c r="G3" s="1">
        <v>50</v>
      </c>
    </row>
    <row r="4" spans="3:15" x14ac:dyDescent="0.25">
      <c r="C4" s="1">
        <v>30</v>
      </c>
      <c r="D4" s="1">
        <v>30</v>
      </c>
      <c r="G4" s="1">
        <v>50</v>
      </c>
    </row>
    <row r="5" spans="3:15" x14ac:dyDescent="0.25">
      <c r="C5" s="1">
        <v>140</v>
      </c>
      <c r="D5" s="1">
        <v>140</v>
      </c>
      <c r="G5" s="1">
        <v>170</v>
      </c>
    </row>
    <row r="6" spans="3:15" x14ac:dyDescent="0.25">
      <c r="C6" s="1">
        <v>280</v>
      </c>
      <c r="D6" s="1">
        <v>280</v>
      </c>
      <c r="G6" s="1">
        <v>380</v>
      </c>
    </row>
    <row r="7" spans="3:15" x14ac:dyDescent="0.25">
      <c r="C7" s="1">
        <v>860</v>
      </c>
      <c r="D7" s="1">
        <v>430</v>
      </c>
      <c r="G7" s="1">
        <v>1100</v>
      </c>
    </row>
    <row r="8" spans="3:15" x14ac:dyDescent="0.25">
      <c r="C8" s="1">
        <v>120</v>
      </c>
      <c r="D8" s="1">
        <v>120</v>
      </c>
      <c r="J8" s="1">
        <v>0</v>
      </c>
    </row>
    <row r="9" spans="3:15" x14ac:dyDescent="0.25">
      <c r="C9" s="1">
        <v>120</v>
      </c>
      <c r="D9" s="1">
        <v>120</v>
      </c>
      <c r="J9" s="1">
        <v>30</v>
      </c>
    </row>
    <row r="10" spans="3:15" x14ac:dyDescent="0.25">
      <c r="C10" s="1">
        <v>260</v>
      </c>
      <c r="D10" s="1">
        <v>260</v>
      </c>
      <c r="J10" s="1">
        <v>130</v>
      </c>
    </row>
    <row r="11" spans="3:15" x14ac:dyDescent="0.25">
      <c r="C11" s="1">
        <v>550</v>
      </c>
      <c r="D11" s="1">
        <v>550</v>
      </c>
      <c r="J11" s="1">
        <v>250</v>
      </c>
    </row>
    <row r="12" spans="3:15" x14ac:dyDescent="0.25">
      <c r="C12" s="1">
        <v>50</v>
      </c>
      <c r="H12" s="1">
        <v>0</v>
      </c>
    </row>
    <row r="13" spans="3:15" x14ac:dyDescent="0.25">
      <c r="C13" s="1">
        <v>50</v>
      </c>
      <c r="H13" s="1">
        <v>30</v>
      </c>
    </row>
    <row r="14" spans="3:15" x14ac:dyDescent="0.25">
      <c r="C14" s="1">
        <v>170</v>
      </c>
      <c r="H14" s="1">
        <v>145</v>
      </c>
    </row>
    <row r="15" spans="3:15" x14ac:dyDescent="0.25">
      <c r="C15" s="1">
        <v>385</v>
      </c>
      <c r="H15" s="1">
        <v>300</v>
      </c>
    </row>
    <row r="16" spans="3:15" x14ac:dyDescent="0.25">
      <c r="C16" s="1">
        <v>550</v>
      </c>
      <c r="H16" s="1">
        <v>450</v>
      </c>
    </row>
    <row r="17" spans="3:13" x14ac:dyDescent="0.25">
      <c r="C17" s="1">
        <v>0</v>
      </c>
      <c r="I17" s="1">
        <v>60</v>
      </c>
    </row>
    <row r="18" spans="3:13" x14ac:dyDescent="0.25">
      <c r="C18" s="1">
        <v>30</v>
      </c>
      <c r="I18" s="1">
        <v>60</v>
      </c>
    </row>
    <row r="19" spans="3:13" x14ac:dyDescent="0.25">
      <c r="C19" s="1">
        <v>50</v>
      </c>
      <c r="I19" s="1">
        <v>80</v>
      </c>
    </row>
    <row r="20" spans="3:13" x14ac:dyDescent="0.25">
      <c r="C20" s="1">
        <v>70</v>
      </c>
      <c r="I20" s="1">
        <v>110</v>
      </c>
    </row>
    <row r="21" spans="3:13" x14ac:dyDescent="0.25">
      <c r="C21" s="1">
        <v>520</v>
      </c>
      <c r="I21" s="1">
        <v>1100</v>
      </c>
    </row>
    <row r="22" spans="3:13" x14ac:dyDescent="0.25">
      <c r="C22" s="1">
        <v>250</v>
      </c>
      <c r="L22" s="1">
        <v>0</v>
      </c>
    </row>
    <row r="23" spans="3:13" x14ac:dyDescent="0.25">
      <c r="C23" s="1">
        <v>250</v>
      </c>
      <c r="L23" s="1">
        <v>40</v>
      </c>
    </row>
    <row r="24" spans="3:13" x14ac:dyDescent="0.25">
      <c r="C24" s="1">
        <v>550</v>
      </c>
      <c r="L24" s="1">
        <v>150</v>
      </c>
    </row>
    <row r="25" spans="3:13" x14ac:dyDescent="0.25">
      <c r="C25" s="1">
        <v>0</v>
      </c>
      <c r="K25" s="1">
        <v>100</v>
      </c>
    </row>
    <row r="26" spans="3:13" x14ac:dyDescent="0.25">
      <c r="C26" s="1">
        <v>25</v>
      </c>
      <c r="K26" s="1">
        <v>100</v>
      </c>
    </row>
    <row r="27" spans="3:13" x14ac:dyDescent="0.25">
      <c r="C27" s="1">
        <v>50</v>
      </c>
      <c r="K27" s="1">
        <v>125</v>
      </c>
    </row>
    <row r="28" spans="3:13" x14ac:dyDescent="0.25">
      <c r="C28" s="1">
        <v>80</v>
      </c>
      <c r="K28" s="1">
        <v>215</v>
      </c>
    </row>
    <row r="29" spans="3:13" x14ac:dyDescent="0.25">
      <c r="C29" s="1">
        <v>250</v>
      </c>
      <c r="K29" s="1">
        <v>1100</v>
      </c>
    </row>
    <row r="30" spans="3:13" x14ac:dyDescent="0.25">
      <c r="C30" s="1">
        <v>0</v>
      </c>
      <c r="M30" s="1">
        <v>150</v>
      </c>
    </row>
    <row r="31" spans="3:13" x14ac:dyDescent="0.25">
      <c r="C31" s="1">
        <v>35</v>
      </c>
      <c r="M31" s="1">
        <v>155</v>
      </c>
    </row>
    <row r="32" spans="3:13" x14ac:dyDescent="0.25">
      <c r="C32" s="1">
        <v>100</v>
      </c>
      <c r="M32" s="1">
        <v>1100</v>
      </c>
    </row>
    <row r="33" spans="3:14" x14ac:dyDescent="0.25">
      <c r="C33" s="1">
        <v>0</v>
      </c>
      <c r="N33" s="1">
        <v>0</v>
      </c>
    </row>
    <row r="34" spans="3:14" x14ac:dyDescent="0.25">
      <c r="C34" s="1">
        <v>550</v>
      </c>
      <c r="N34" s="1">
        <v>550</v>
      </c>
    </row>
    <row r="37" spans="3:14" ht="17.25" x14ac:dyDescent="0.25">
      <c r="C37" s="2" t="s">
        <v>18</v>
      </c>
      <c r="D37" s="2" t="s">
        <v>37</v>
      </c>
      <c r="E37" s="2" t="s">
        <v>38</v>
      </c>
      <c r="F37" s="2" t="s">
        <v>39</v>
      </c>
      <c r="G37" s="2" t="s">
        <v>40</v>
      </c>
      <c r="H37" s="2" t="s">
        <v>41</v>
      </c>
      <c r="I37" s="2"/>
    </row>
    <row r="38" spans="3:14" ht="17.25" x14ac:dyDescent="0.25">
      <c r="C38" s="3">
        <v>102</v>
      </c>
      <c r="D38" s="4">
        <v>103.62552746723463</v>
      </c>
      <c r="E38" s="5">
        <v>103.85252522607593</v>
      </c>
      <c r="F38" s="5">
        <v>137.74952203399241</v>
      </c>
      <c r="G38" s="1">
        <v>95.519755925093847</v>
      </c>
      <c r="H38" s="1">
        <v>103.31927768920575</v>
      </c>
    </row>
    <row r="39" spans="3:14" ht="17.25" x14ac:dyDescent="0.25">
      <c r="C39" s="3">
        <v>96</v>
      </c>
      <c r="D39" s="4">
        <v>96.496752710613691</v>
      </c>
      <c r="E39" s="5">
        <v>97.645975060457971</v>
      </c>
      <c r="F39" s="5">
        <v>106.8767088640931</v>
      </c>
      <c r="G39" s="1">
        <v>89.266612852490653</v>
      </c>
      <c r="H39" s="1">
        <v>114.51120685574824</v>
      </c>
    </row>
    <row r="40" spans="3:14" ht="17.25" x14ac:dyDescent="0.25">
      <c r="C40" s="3">
        <v>131</v>
      </c>
      <c r="D40" s="4">
        <v>132.71487627033957</v>
      </c>
      <c r="E40" s="5">
        <v>138.52061277644015</v>
      </c>
      <c r="F40" s="5">
        <v>101.76462175728506</v>
      </c>
      <c r="G40" s="1">
        <v>162.66026555923236</v>
      </c>
      <c r="H40" s="1">
        <v>118.7760699647564</v>
      </c>
    </row>
    <row r="41" spans="3:14" ht="17.25" x14ac:dyDescent="0.25">
      <c r="C41" s="3">
        <v>85</v>
      </c>
      <c r="D41" s="4">
        <v>78.467246865961442</v>
      </c>
      <c r="E41" s="5">
        <v>108.91302480270809</v>
      </c>
      <c r="F41" s="5">
        <v>82.503246879678855</v>
      </c>
      <c r="G41" s="1">
        <v>72.122645636206698</v>
      </c>
      <c r="H41" s="1">
        <v>145.1540588550547</v>
      </c>
    </row>
    <row r="42" spans="3:14" ht="17.25" x14ac:dyDescent="0.25">
      <c r="C42" s="3">
        <v>105</v>
      </c>
      <c r="D42" s="4">
        <v>102.3843406965733</v>
      </c>
      <c r="E42" s="5">
        <v>141.5465431058968</v>
      </c>
      <c r="F42" s="5">
        <v>91.849667022084603</v>
      </c>
      <c r="G42" s="1">
        <v>145.56805314864278</v>
      </c>
      <c r="H42" s="1">
        <v>133.94796361183967</v>
      </c>
    </row>
    <row r="43" spans="3:14" ht="17.25" x14ac:dyDescent="0.25">
      <c r="C43" s="3">
        <v>105</v>
      </c>
      <c r="D43" s="4">
        <v>91.57375257353624</v>
      </c>
      <c r="E43" s="5">
        <v>93.339969311346962</v>
      </c>
      <c r="F43" s="5">
        <v>98.599322623768671</v>
      </c>
      <c r="G43" s="1">
        <v>117.07021638666356</v>
      </c>
      <c r="H43" s="1">
        <v>97.259237405316981</v>
      </c>
    </row>
    <row r="44" spans="3:14" ht="17.25" x14ac:dyDescent="0.25">
      <c r="C44" s="3">
        <v>132</v>
      </c>
      <c r="D44" s="4">
        <v>130.31613771205684</v>
      </c>
      <c r="E44" s="5">
        <v>133.02904326984111</v>
      </c>
      <c r="F44" s="5">
        <v>148.92937976894333</v>
      </c>
      <c r="G44" s="1">
        <v>127.46181924146815</v>
      </c>
      <c r="H44" s="1">
        <v>123.06469254930369</v>
      </c>
    </row>
    <row r="45" spans="3:14" ht="17.25" x14ac:dyDescent="0.25">
      <c r="C45" s="3">
        <v>95</v>
      </c>
      <c r="D45" s="4">
        <v>124.11543829585776</v>
      </c>
      <c r="E45" s="5">
        <v>140.97345010552499</v>
      </c>
      <c r="F45" s="5">
        <v>143.67858450438862</v>
      </c>
      <c r="G45" s="1">
        <v>143.57895627580592</v>
      </c>
      <c r="H45" s="1">
        <v>107.03799207953682</v>
      </c>
    </row>
    <row r="46" spans="3:14" ht="17.25" x14ac:dyDescent="0.25">
      <c r="C46" s="3">
        <v>105</v>
      </c>
      <c r="D46" s="4">
        <v>114.96226594755763</v>
      </c>
      <c r="E46" s="5">
        <v>126.81410064327511</v>
      </c>
      <c r="F46" s="5">
        <v>144.3543213490569</v>
      </c>
      <c r="G46" s="1">
        <v>131.41132724357294</v>
      </c>
      <c r="H46" s="1">
        <v>125.89660838587383</v>
      </c>
    </row>
    <row r="47" spans="3:14" ht="17.25" x14ac:dyDescent="0.25">
      <c r="C47" s="3">
        <v>109</v>
      </c>
      <c r="D47" s="4">
        <v>108.99415964159812</v>
      </c>
      <c r="E47" s="5">
        <v>108.89224636429086</v>
      </c>
      <c r="F47" s="5">
        <v>115.92820008645519</v>
      </c>
      <c r="G47" s="1">
        <v>101.24844077034913</v>
      </c>
      <c r="H47" s="1">
        <v>104.07590204351754</v>
      </c>
    </row>
    <row r="48" spans="3:14" ht="17.25" x14ac:dyDescent="0.25">
      <c r="C48" s="3">
        <v>111</v>
      </c>
      <c r="D48" s="4">
        <v>150.75892375369995</v>
      </c>
      <c r="E48" s="5">
        <v>126.33112764212643</v>
      </c>
      <c r="F48" s="5">
        <v>104.84908482868771</v>
      </c>
      <c r="G48" s="1">
        <v>136.11793376748074</v>
      </c>
      <c r="H48" s="1">
        <v>122.36809244153062</v>
      </c>
    </row>
    <row r="49" spans="3:8" ht="17.25" x14ac:dyDescent="0.25">
      <c r="C49" s="3">
        <v>89</v>
      </c>
      <c r="D49" s="4">
        <v>86.13156525958982</v>
      </c>
      <c r="E49" s="5">
        <v>80.400404686198982</v>
      </c>
      <c r="F49" s="5">
        <v>82.584267043693998</v>
      </c>
      <c r="G49" s="1">
        <v>98.422590112757348</v>
      </c>
      <c r="H49" s="1">
        <v>77.714594351920766</v>
      </c>
    </row>
    <row r="50" spans="3:8" ht="17.25" x14ac:dyDescent="0.25">
      <c r="C50" s="3">
        <v>133</v>
      </c>
      <c r="D50" s="4">
        <v>136.63575905499124</v>
      </c>
      <c r="E50" s="5">
        <v>117.85249162413695</v>
      </c>
      <c r="F50" s="5">
        <v>129.17812340742674</v>
      </c>
      <c r="G50" s="1">
        <v>102.01859501454612</v>
      </c>
      <c r="H50" s="1">
        <v>129.0544027499372</v>
      </c>
    </row>
    <row r="51" spans="3:8" ht="17.25" x14ac:dyDescent="0.25">
      <c r="C51" s="3">
        <v>93</v>
      </c>
      <c r="D51" s="4">
        <v>90.946563200401442</v>
      </c>
      <c r="E51" s="5">
        <v>101.4551800178341</v>
      </c>
      <c r="F51" s="5">
        <v>91.426830317230952</v>
      </c>
      <c r="G51" s="1">
        <v>94.4485736108212</v>
      </c>
      <c r="H51" s="1">
        <v>93.813345778329278</v>
      </c>
    </row>
    <row r="52" spans="3:8" ht="17.25" x14ac:dyDescent="0.25">
      <c r="C52" s="3">
        <v>307</v>
      </c>
      <c r="D52" s="4">
        <v>311.73858647308225</v>
      </c>
      <c r="E52" s="5">
        <v>300.49112527370249</v>
      </c>
      <c r="F52" s="5">
        <v>289.20608524226964</v>
      </c>
      <c r="G52" s="1">
        <v>313.25778764405339</v>
      </c>
      <c r="H52" s="1">
        <v>293.2736932403327</v>
      </c>
    </row>
    <row r="53" spans="3:8" ht="17.25" x14ac:dyDescent="0.25">
      <c r="C53" s="3">
        <v>267</v>
      </c>
      <c r="D53" s="4">
        <v>261.32102521709726</v>
      </c>
      <c r="E53" s="5">
        <v>276.60607557556267</v>
      </c>
      <c r="F53" s="5">
        <v>242.7817414665823</v>
      </c>
      <c r="G53" s="1">
        <v>234.92543886369731</v>
      </c>
      <c r="H53" s="1">
        <v>260.52603872008694</v>
      </c>
    </row>
    <row r="54" spans="3:8" ht="17.25" x14ac:dyDescent="0.25">
      <c r="C54" s="3">
        <v>222</v>
      </c>
      <c r="D54" s="4">
        <v>156.15034738026293</v>
      </c>
      <c r="E54" s="5">
        <v>139.21540379417658</v>
      </c>
      <c r="F54" s="5">
        <v>140.37530348814155</v>
      </c>
      <c r="G54" s="1">
        <v>147.61478249331321</v>
      </c>
      <c r="H54" s="1">
        <v>120.38788552892174</v>
      </c>
    </row>
    <row r="55" spans="3:8" ht="17.25" x14ac:dyDescent="0.25">
      <c r="C55" s="3">
        <v>198</v>
      </c>
      <c r="D55" s="4">
        <v>200.84675827762817</v>
      </c>
      <c r="E55" s="5">
        <v>160.65358464858161</v>
      </c>
      <c r="F55" s="5">
        <v>227.74484928201059</v>
      </c>
      <c r="G55" s="1">
        <v>141.73121872212005</v>
      </c>
      <c r="H55" s="1">
        <v>209.14333957430063</v>
      </c>
    </row>
    <row r="56" spans="3:8" ht="17.25" x14ac:dyDescent="0.25">
      <c r="C56" s="3">
        <v>94</v>
      </c>
      <c r="D56" s="4">
        <v>100.81997320194341</v>
      </c>
      <c r="E56" s="5">
        <v>82.467116071813507</v>
      </c>
      <c r="F56" s="5">
        <v>98.620140034202706</v>
      </c>
      <c r="G56" s="1">
        <v>124.55498673170609</v>
      </c>
      <c r="H56" s="1">
        <v>99.675598174476818</v>
      </c>
    </row>
    <row r="57" spans="3:8" ht="17.25" x14ac:dyDescent="0.25">
      <c r="C57" s="3"/>
      <c r="D57" s="4"/>
      <c r="E57" s="5"/>
      <c r="F57" s="5"/>
    </row>
    <row r="58" spans="3:8" ht="17.25" x14ac:dyDescent="0.25">
      <c r="C58" s="3"/>
      <c r="D58" s="4"/>
      <c r="E58" s="5"/>
      <c r="F58" s="5"/>
    </row>
    <row r="59" spans="3:8" ht="17.25" x14ac:dyDescent="0.25">
      <c r="C59" s="3"/>
      <c r="D59" s="4"/>
      <c r="E59" s="5"/>
      <c r="F59" s="5"/>
    </row>
    <row r="60" spans="3:8" ht="17.25" x14ac:dyDescent="0.25">
      <c r="C60" s="3"/>
      <c r="D60" s="4"/>
      <c r="E60" s="5"/>
      <c r="F60" s="5"/>
    </row>
    <row r="61" spans="3:8" ht="17.25" x14ac:dyDescent="0.25">
      <c r="C61" s="3"/>
      <c r="D61" s="4"/>
      <c r="E61" s="5"/>
      <c r="F61" s="5"/>
    </row>
    <row r="62" spans="3:8" ht="17.25" x14ac:dyDescent="0.25">
      <c r="C62" s="3"/>
      <c r="D62" s="4"/>
      <c r="E62" s="5"/>
      <c r="F62" s="5"/>
    </row>
    <row r="63" spans="3:8" ht="17.25" x14ac:dyDescent="0.25">
      <c r="C63" s="3"/>
      <c r="D63" s="4"/>
      <c r="E63" s="5"/>
      <c r="F63" s="5"/>
    </row>
    <row r="64" spans="3:8" ht="17.25" x14ac:dyDescent="0.25">
      <c r="C64" s="3"/>
      <c r="D64" s="4"/>
      <c r="E64" s="5"/>
      <c r="F64" s="5"/>
    </row>
    <row r="65" spans="3:6" ht="17.25" x14ac:dyDescent="0.25">
      <c r="C65" s="3"/>
      <c r="D65" s="4"/>
      <c r="E65" s="5"/>
      <c r="F65" s="5"/>
    </row>
    <row r="66" spans="3:6" ht="17.25" x14ac:dyDescent="0.25">
      <c r="C66" s="3"/>
      <c r="D66" s="4"/>
      <c r="E66" s="5"/>
      <c r="F66" s="5"/>
    </row>
    <row r="67" spans="3:6" ht="17.25" x14ac:dyDescent="0.25">
      <c r="C67" s="3"/>
      <c r="D67" s="4"/>
      <c r="E67" s="5"/>
      <c r="F67" s="5"/>
    </row>
    <row r="68" spans="3:6" ht="17.25" x14ac:dyDescent="0.25">
      <c r="C68" s="3"/>
      <c r="D68" s="4"/>
      <c r="E68" s="5"/>
      <c r="F68" s="5"/>
    </row>
    <row r="69" spans="3:6" ht="17.25" x14ac:dyDescent="0.25">
      <c r="C69" s="3"/>
      <c r="D69" s="4"/>
      <c r="E69" s="5"/>
      <c r="F69" s="5"/>
    </row>
    <row r="70" spans="3:6" ht="17.25" x14ac:dyDescent="0.25">
      <c r="C70" s="3"/>
      <c r="D70" s="4"/>
      <c r="E70" s="5"/>
      <c r="F70" s="5"/>
    </row>
    <row r="71" spans="3:6" ht="17.25" x14ac:dyDescent="0.25">
      <c r="C71" s="3"/>
      <c r="D71" s="4"/>
      <c r="E71" s="5"/>
      <c r="F71" s="5"/>
    </row>
    <row r="72" spans="3:6" ht="17.25" x14ac:dyDescent="0.25">
      <c r="C72" s="3"/>
      <c r="D72" s="4"/>
      <c r="E72" s="5"/>
      <c r="F72" s="5"/>
    </row>
    <row r="73" spans="3:6" ht="17.25" x14ac:dyDescent="0.25">
      <c r="C73" s="3"/>
      <c r="D73" s="4"/>
      <c r="E73" s="5"/>
      <c r="F73" s="5"/>
    </row>
    <row r="74" spans="3:6" ht="17.25" x14ac:dyDescent="0.25">
      <c r="C74" s="3"/>
      <c r="D74" s="4"/>
      <c r="E74" s="5"/>
      <c r="F74" s="5"/>
    </row>
    <row r="75" spans="3:6" ht="17.25" x14ac:dyDescent="0.25">
      <c r="C75" s="3"/>
      <c r="D75" s="4"/>
      <c r="E75" s="5"/>
      <c r="F75" s="5"/>
    </row>
    <row r="76" spans="3:6" ht="17.25" x14ac:dyDescent="0.25">
      <c r="C76" s="3"/>
      <c r="D76" s="4"/>
      <c r="E76" s="5"/>
      <c r="F76" s="5"/>
    </row>
    <row r="77" spans="3:6" ht="17.25" x14ac:dyDescent="0.25">
      <c r="C77" s="3"/>
      <c r="D77" s="4"/>
      <c r="E77" s="5"/>
      <c r="F77" s="5"/>
    </row>
    <row r="78" spans="3:6" ht="17.25" x14ac:dyDescent="0.25">
      <c r="C78" s="3"/>
      <c r="D78" s="4"/>
      <c r="E78" s="5"/>
      <c r="F78" s="5"/>
    </row>
    <row r="79" spans="3:6" ht="17.25" x14ac:dyDescent="0.25">
      <c r="C79" s="3"/>
      <c r="D79" s="4"/>
      <c r="E79" s="5"/>
      <c r="F79" s="5"/>
    </row>
    <row r="80" spans="3:6" ht="17.25" x14ac:dyDescent="0.25">
      <c r="C80" s="3"/>
      <c r="D80" s="4"/>
      <c r="E80" s="5"/>
      <c r="F80" s="5"/>
    </row>
    <row r="81" spans="3:6" ht="17.25" x14ac:dyDescent="0.25">
      <c r="C81" s="3"/>
      <c r="D81" s="4"/>
      <c r="E81" s="5"/>
      <c r="F81" s="5"/>
    </row>
    <row r="82" spans="3:6" ht="17.25" x14ac:dyDescent="0.25">
      <c r="C82" s="3"/>
      <c r="D82" s="4"/>
      <c r="E82" s="5"/>
      <c r="F82" s="5"/>
    </row>
    <row r="83" spans="3:6" ht="17.25" x14ac:dyDescent="0.25">
      <c r="C83" s="3"/>
      <c r="D83" s="4"/>
      <c r="E83" s="5"/>
      <c r="F83" s="5"/>
    </row>
    <row r="84" spans="3:6" ht="17.25" x14ac:dyDescent="0.25">
      <c r="C84" s="3"/>
      <c r="D84" s="4"/>
      <c r="E84" s="5"/>
      <c r="F84" s="5"/>
    </row>
    <row r="85" spans="3:6" ht="17.25" x14ac:dyDescent="0.25">
      <c r="C85" s="3"/>
      <c r="D85" s="4"/>
      <c r="E85" s="5"/>
      <c r="F85" s="5"/>
    </row>
    <row r="86" spans="3:6" ht="17.25" x14ac:dyDescent="0.25">
      <c r="C86" s="3"/>
      <c r="D86" s="4"/>
      <c r="E86" s="5"/>
      <c r="F86" s="5"/>
    </row>
    <row r="87" spans="3:6" ht="17.25" x14ac:dyDescent="0.25">
      <c r="C87" s="3"/>
      <c r="D87" s="4"/>
      <c r="E87" s="5"/>
      <c r="F87" s="5"/>
    </row>
    <row r="88" spans="3:6" ht="17.25" x14ac:dyDescent="0.25">
      <c r="C88" s="3"/>
      <c r="D88" s="4"/>
      <c r="E88" s="5"/>
      <c r="F88" s="5"/>
    </row>
    <row r="89" spans="3:6" ht="17.25" x14ac:dyDescent="0.25">
      <c r="C89" s="3"/>
      <c r="D89" s="4"/>
      <c r="E89" s="5"/>
      <c r="F89" s="5"/>
    </row>
    <row r="90" spans="3:6" ht="17.25" x14ac:dyDescent="0.25">
      <c r="C90" s="3"/>
      <c r="D90" s="4"/>
      <c r="E90" s="5"/>
      <c r="F90" s="5"/>
    </row>
    <row r="91" spans="3:6" ht="17.25" x14ac:dyDescent="0.25">
      <c r="C91" s="3"/>
      <c r="D91" s="4"/>
      <c r="E91" s="5"/>
      <c r="F91" s="5"/>
    </row>
    <row r="92" spans="3:6" ht="17.25" x14ac:dyDescent="0.25">
      <c r="C92" s="3"/>
      <c r="D92" s="4"/>
      <c r="E92" s="5"/>
      <c r="F92" s="5"/>
    </row>
    <row r="93" spans="3:6" ht="17.25" x14ac:dyDescent="0.25">
      <c r="C93" s="3"/>
      <c r="D93" s="4"/>
      <c r="E93" s="5"/>
      <c r="F93" s="5"/>
    </row>
    <row r="94" spans="3:6" ht="17.25" x14ac:dyDescent="0.25">
      <c r="C94" s="3"/>
      <c r="D94" s="4"/>
      <c r="E94" s="5"/>
      <c r="F94" s="5"/>
    </row>
    <row r="95" spans="3:6" ht="17.25" x14ac:dyDescent="0.25">
      <c r="C95" s="3"/>
      <c r="D95" s="4"/>
      <c r="E95" s="5"/>
      <c r="F95" s="5"/>
    </row>
    <row r="96" spans="3:6" ht="17.25" x14ac:dyDescent="0.25">
      <c r="C96" s="3"/>
      <c r="D96" s="4"/>
      <c r="E96" s="5"/>
      <c r="F96" s="5"/>
    </row>
    <row r="97" spans="3:6" ht="17.25" x14ac:dyDescent="0.25">
      <c r="C97" s="3"/>
      <c r="D97" s="4"/>
      <c r="E97" s="5"/>
      <c r="F97" s="5"/>
    </row>
    <row r="98" spans="3:6" ht="17.25" x14ac:dyDescent="0.25">
      <c r="C98" s="3"/>
      <c r="D98" s="4"/>
      <c r="E98" s="5"/>
      <c r="F98" s="5"/>
    </row>
    <row r="99" spans="3:6" ht="17.25" x14ac:dyDescent="0.25">
      <c r="C99" s="3"/>
      <c r="D99" s="4"/>
      <c r="E99" s="5"/>
      <c r="F99" s="5"/>
    </row>
    <row r="100" spans="3:6" ht="17.25" x14ac:dyDescent="0.25">
      <c r="C100" s="3"/>
      <c r="D100" s="4"/>
      <c r="E100" s="5"/>
      <c r="F100" s="5"/>
    </row>
    <row r="101" spans="3:6" ht="17.25" x14ac:dyDescent="0.25">
      <c r="C101" s="3"/>
      <c r="D101" s="4"/>
      <c r="E101" s="5"/>
      <c r="F101" s="5"/>
    </row>
    <row r="102" spans="3:6" ht="17.25" x14ac:dyDescent="0.25">
      <c r="C102" s="3"/>
      <c r="D102" s="4"/>
      <c r="E102" s="5"/>
      <c r="F102" s="5"/>
    </row>
    <row r="103" spans="3:6" ht="17.25" x14ac:dyDescent="0.25">
      <c r="C103" s="3"/>
      <c r="D103" s="4"/>
      <c r="E103" s="5"/>
      <c r="F103" s="5"/>
    </row>
    <row r="104" spans="3:6" ht="17.25" x14ac:dyDescent="0.25">
      <c r="C104" s="3"/>
      <c r="D104" s="4"/>
      <c r="E104" s="5"/>
      <c r="F104" s="5"/>
    </row>
    <row r="105" spans="3:6" ht="17.25" x14ac:dyDescent="0.25">
      <c r="C105" s="3"/>
      <c r="D105" s="4"/>
      <c r="E105" s="5"/>
      <c r="F105" s="5"/>
    </row>
    <row r="106" spans="3:6" ht="17.25" x14ac:dyDescent="0.25">
      <c r="C106" s="3"/>
      <c r="D106" s="4"/>
      <c r="E106" s="5"/>
      <c r="F106" s="5"/>
    </row>
    <row r="107" spans="3:6" ht="17.25" x14ac:dyDescent="0.25">
      <c r="C107" s="3"/>
      <c r="D107" s="4"/>
      <c r="E107" s="5"/>
      <c r="F107" s="5"/>
    </row>
    <row r="108" spans="3:6" ht="17.25" x14ac:dyDescent="0.25">
      <c r="C108" s="3"/>
      <c r="D108" s="4"/>
      <c r="E108" s="5"/>
      <c r="F108" s="5"/>
    </row>
    <row r="109" spans="3:6" ht="17.25" x14ac:dyDescent="0.25">
      <c r="C109" s="3"/>
      <c r="D109" s="4"/>
      <c r="E109" s="5"/>
      <c r="F109" s="5"/>
    </row>
    <row r="110" spans="3:6" ht="17.25" x14ac:dyDescent="0.25">
      <c r="C110" s="3"/>
      <c r="D110" s="4"/>
      <c r="E110" s="5"/>
      <c r="F110" s="5"/>
    </row>
    <row r="111" spans="3:6" ht="17.25" x14ac:dyDescent="0.25">
      <c r="C111" s="3"/>
      <c r="D111" s="4"/>
      <c r="E111" s="5"/>
      <c r="F111" s="5"/>
    </row>
    <row r="112" spans="3:6" ht="17.25" x14ac:dyDescent="0.25">
      <c r="C112" s="3"/>
      <c r="D112" s="4"/>
      <c r="E112" s="5"/>
      <c r="F112" s="5"/>
    </row>
    <row r="113" spans="3:6" ht="17.25" x14ac:dyDescent="0.25">
      <c r="C113" s="3"/>
      <c r="D113" s="4"/>
      <c r="E113" s="5"/>
      <c r="F113" s="5"/>
    </row>
    <row r="114" spans="3:6" ht="17.25" x14ac:dyDescent="0.25">
      <c r="C114" s="3"/>
      <c r="D114" s="4"/>
      <c r="E114" s="5"/>
      <c r="F114" s="5"/>
    </row>
    <row r="115" spans="3:6" ht="17.25" x14ac:dyDescent="0.25">
      <c r="C115" s="3"/>
      <c r="D115" s="4"/>
      <c r="E115" s="5"/>
      <c r="F115" s="5"/>
    </row>
    <row r="116" spans="3:6" ht="17.25" x14ac:dyDescent="0.25">
      <c r="C116" s="3"/>
      <c r="D116" s="4"/>
      <c r="E116" s="5"/>
      <c r="F116" s="5"/>
    </row>
    <row r="117" spans="3:6" ht="17.25" x14ac:dyDescent="0.25">
      <c r="C117" s="3"/>
      <c r="D117" s="4"/>
      <c r="E117" s="5"/>
      <c r="F117" s="5"/>
    </row>
    <row r="118" spans="3:6" ht="17.25" x14ac:dyDescent="0.25">
      <c r="C118" s="3"/>
      <c r="D118" s="4"/>
      <c r="E118" s="5"/>
      <c r="F118" s="5"/>
    </row>
    <row r="119" spans="3:6" ht="17.25" x14ac:dyDescent="0.25">
      <c r="C119" s="3"/>
      <c r="D119" s="4"/>
      <c r="E119" s="5"/>
      <c r="F119" s="5"/>
    </row>
    <row r="120" spans="3:6" ht="17.25" x14ac:dyDescent="0.25">
      <c r="C120" s="3"/>
      <c r="D120" s="4"/>
      <c r="E120" s="5"/>
      <c r="F120" s="5"/>
    </row>
    <row r="121" spans="3:6" ht="17.25" x14ac:dyDescent="0.25">
      <c r="C121" s="3"/>
      <c r="D121" s="4"/>
      <c r="E121" s="5"/>
      <c r="F121" s="5"/>
    </row>
    <row r="122" spans="3:6" ht="17.25" x14ac:dyDescent="0.25">
      <c r="C122" s="3"/>
      <c r="D122" s="4"/>
      <c r="E122" s="5"/>
      <c r="F122" s="5"/>
    </row>
    <row r="123" spans="3:6" ht="17.25" x14ac:dyDescent="0.25">
      <c r="C123" s="3"/>
      <c r="D123" s="4"/>
      <c r="E123" s="5"/>
      <c r="F123" s="5"/>
    </row>
    <row r="124" spans="3:6" ht="17.25" x14ac:dyDescent="0.25">
      <c r="C124" s="3"/>
      <c r="D124" s="4"/>
      <c r="E124" s="5"/>
      <c r="F124" s="5"/>
    </row>
    <row r="125" spans="3:6" ht="17.25" x14ac:dyDescent="0.25">
      <c r="C125" s="3"/>
      <c r="D125" s="4"/>
      <c r="E125" s="5"/>
      <c r="F125" s="5"/>
    </row>
    <row r="126" spans="3:6" ht="17.25" x14ac:dyDescent="0.25">
      <c r="C126" s="3"/>
      <c r="D126" s="4"/>
      <c r="E126" s="5"/>
      <c r="F126" s="5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4"/>
  <sheetViews>
    <sheetView tabSelected="1" topLeftCell="C44" zoomScale="80" zoomScaleNormal="80" workbookViewId="0">
      <selection activeCell="Q37" sqref="Q37:T39"/>
    </sheetView>
  </sheetViews>
  <sheetFormatPr defaultRowHeight="16.5" x14ac:dyDescent="0.25"/>
  <cols>
    <col min="1" max="1" width="9" style="1"/>
    <col min="2" max="2" width="8.5" style="1" customWidth="1"/>
    <col min="3" max="3" width="7" style="1" customWidth="1"/>
    <col min="4" max="4" width="9" style="1"/>
    <col min="5" max="8" width="12.125" style="1" customWidth="1"/>
    <col min="9" max="9" width="13.125" style="1" customWidth="1"/>
    <col min="10" max="10" width="14.125" style="1" customWidth="1"/>
    <col min="11" max="12" width="13.25" style="1" customWidth="1"/>
    <col min="13" max="13" width="12.375" style="1" customWidth="1"/>
    <col min="14" max="14" width="12.125" style="1" customWidth="1"/>
    <col min="15" max="15" width="11.5" style="1" customWidth="1"/>
    <col min="16" max="16" width="9" style="1"/>
    <col min="17" max="17" width="10.625" style="1" bestFit="1" customWidth="1"/>
    <col min="18" max="18" width="8.25" style="1" customWidth="1"/>
    <col min="19" max="16384" width="9" style="1"/>
  </cols>
  <sheetData>
    <row r="1" spans="4:16" x14ac:dyDescent="0.25">
      <c r="D1" s="1" t="s">
        <v>4</v>
      </c>
      <c r="H1" s="1" t="s">
        <v>5</v>
      </c>
    </row>
    <row r="2" spans="4:16" x14ac:dyDescent="0.25">
      <c r="D2" s="1" t="s">
        <v>6</v>
      </c>
      <c r="E2" s="1" t="s">
        <v>7</v>
      </c>
      <c r="F2" s="1" t="s">
        <v>8</v>
      </c>
      <c r="G2" s="1" t="s">
        <v>0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</v>
      </c>
      <c r="N2" s="1" t="s">
        <v>16</v>
      </c>
      <c r="O2" s="1" t="s">
        <v>2</v>
      </c>
      <c r="P2" s="1" t="s">
        <v>0</v>
      </c>
    </row>
    <row r="3" spans="4:16" x14ac:dyDescent="0.25">
      <c r="D3" s="1">
        <v>0</v>
      </c>
      <c r="E3" s="1">
        <v>0</v>
      </c>
      <c r="H3" s="1">
        <v>50</v>
      </c>
    </row>
    <row r="4" spans="4:16" x14ac:dyDescent="0.25">
      <c r="D4" s="1">
        <v>30</v>
      </c>
      <c r="E4" s="1">
        <v>30</v>
      </c>
      <c r="H4" s="1">
        <v>50</v>
      </c>
    </row>
    <row r="5" spans="4:16" x14ac:dyDescent="0.25">
      <c r="D5" s="1">
        <v>140</v>
      </c>
      <c r="E5" s="1">
        <v>140</v>
      </c>
      <c r="H5" s="1">
        <v>170</v>
      </c>
    </row>
    <row r="6" spans="4:16" x14ac:dyDescent="0.25">
      <c r="D6" s="1">
        <v>280</v>
      </c>
      <c r="E6" s="1">
        <v>280</v>
      </c>
      <c r="H6" s="1">
        <v>380</v>
      </c>
    </row>
    <row r="7" spans="4:16" x14ac:dyDescent="0.25">
      <c r="D7" s="1">
        <v>860</v>
      </c>
      <c r="E7" s="1">
        <v>430</v>
      </c>
      <c r="H7" s="1">
        <v>1100</v>
      </c>
    </row>
    <row r="8" spans="4:16" x14ac:dyDescent="0.25">
      <c r="D8" s="1">
        <v>120</v>
      </c>
      <c r="E8" s="1">
        <v>120</v>
      </c>
      <c r="K8" s="1">
        <v>0</v>
      </c>
    </row>
    <row r="9" spans="4:16" x14ac:dyDescent="0.25">
      <c r="D9" s="1">
        <v>120</v>
      </c>
      <c r="E9" s="1">
        <v>120</v>
      </c>
      <c r="K9" s="1">
        <v>30</v>
      </c>
    </row>
    <row r="10" spans="4:16" x14ac:dyDescent="0.25">
      <c r="D10" s="1">
        <v>260</v>
      </c>
      <c r="E10" s="1">
        <v>260</v>
      </c>
      <c r="K10" s="1">
        <v>130</v>
      </c>
    </row>
    <row r="11" spans="4:16" x14ac:dyDescent="0.25">
      <c r="D11" s="1">
        <v>550</v>
      </c>
      <c r="E11" s="1">
        <v>550</v>
      </c>
      <c r="K11" s="1">
        <v>250</v>
      </c>
    </row>
    <row r="12" spans="4:16" x14ac:dyDescent="0.25">
      <c r="D12" s="1">
        <v>50</v>
      </c>
      <c r="I12" s="1">
        <v>0</v>
      </c>
    </row>
    <row r="13" spans="4:16" x14ac:dyDescent="0.25">
      <c r="D13" s="1">
        <v>50</v>
      </c>
      <c r="I13" s="1">
        <v>30</v>
      </c>
    </row>
    <row r="14" spans="4:16" x14ac:dyDescent="0.25">
      <c r="D14" s="1">
        <v>170</v>
      </c>
      <c r="I14" s="1">
        <v>145</v>
      </c>
    </row>
    <row r="15" spans="4:16" x14ac:dyDescent="0.25">
      <c r="D15" s="1">
        <v>385</v>
      </c>
      <c r="I15" s="1">
        <v>300</v>
      </c>
    </row>
    <row r="16" spans="4:16" x14ac:dyDescent="0.25">
      <c r="D16" s="1">
        <v>550</v>
      </c>
      <c r="I16" s="1">
        <v>450</v>
      </c>
    </row>
    <row r="17" spans="4:14" x14ac:dyDescent="0.25">
      <c r="D17" s="1">
        <v>0</v>
      </c>
      <c r="J17" s="1">
        <v>60</v>
      </c>
    </row>
    <row r="18" spans="4:14" x14ac:dyDescent="0.25">
      <c r="D18" s="1">
        <v>30</v>
      </c>
      <c r="J18" s="1">
        <v>60</v>
      </c>
    </row>
    <row r="19" spans="4:14" x14ac:dyDescent="0.25">
      <c r="D19" s="1">
        <v>50</v>
      </c>
      <c r="J19" s="1">
        <v>80</v>
      </c>
    </row>
    <row r="20" spans="4:14" x14ac:dyDescent="0.25">
      <c r="D20" s="1">
        <v>70</v>
      </c>
      <c r="J20" s="1">
        <v>110</v>
      </c>
    </row>
    <row r="21" spans="4:14" x14ac:dyDescent="0.25">
      <c r="D21" s="1">
        <v>520</v>
      </c>
      <c r="J21" s="1">
        <v>1100</v>
      </c>
    </row>
    <row r="22" spans="4:14" x14ac:dyDescent="0.25">
      <c r="D22" s="1">
        <v>250</v>
      </c>
      <c r="M22" s="1">
        <v>0</v>
      </c>
    </row>
    <row r="23" spans="4:14" x14ac:dyDescent="0.25">
      <c r="D23" s="1">
        <v>250</v>
      </c>
      <c r="M23" s="1">
        <v>40</v>
      </c>
    </row>
    <row r="24" spans="4:14" x14ac:dyDescent="0.25">
      <c r="D24" s="1">
        <v>550</v>
      </c>
      <c r="M24" s="1">
        <v>150</v>
      </c>
    </row>
    <row r="25" spans="4:14" x14ac:dyDescent="0.25">
      <c r="D25" s="1">
        <v>0</v>
      </c>
      <c r="L25" s="1">
        <v>100</v>
      </c>
    </row>
    <row r="26" spans="4:14" x14ac:dyDescent="0.25">
      <c r="D26" s="1">
        <v>25</v>
      </c>
      <c r="L26" s="1">
        <v>100</v>
      </c>
    </row>
    <row r="27" spans="4:14" x14ac:dyDescent="0.25">
      <c r="D27" s="1">
        <v>50</v>
      </c>
      <c r="L27" s="1">
        <v>125</v>
      </c>
    </row>
    <row r="28" spans="4:14" x14ac:dyDescent="0.25">
      <c r="D28" s="1">
        <v>80</v>
      </c>
      <c r="L28" s="1">
        <v>215</v>
      </c>
    </row>
    <row r="29" spans="4:14" x14ac:dyDescent="0.25">
      <c r="D29" s="1">
        <v>250</v>
      </c>
      <c r="L29" s="1">
        <v>1100</v>
      </c>
    </row>
    <row r="30" spans="4:14" x14ac:dyDescent="0.25">
      <c r="D30" s="1">
        <v>0</v>
      </c>
      <c r="N30" s="1">
        <v>150</v>
      </c>
    </row>
    <row r="31" spans="4:14" x14ac:dyDescent="0.25">
      <c r="D31" s="1">
        <v>35</v>
      </c>
      <c r="N31" s="1">
        <v>155</v>
      </c>
    </row>
    <row r="32" spans="4:14" x14ac:dyDescent="0.25">
      <c r="D32" s="1">
        <v>100</v>
      </c>
      <c r="N32" s="1">
        <v>1100</v>
      </c>
    </row>
    <row r="33" spans="1:20" x14ac:dyDescent="0.25">
      <c r="D33" s="1">
        <v>0</v>
      </c>
      <c r="O33" s="1">
        <v>0</v>
      </c>
    </row>
    <row r="34" spans="1:20" x14ac:dyDescent="0.25">
      <c r="D34" s="1">
        <v>550</v>
      </c>
      <c r="O34" s="1">
        <v>550</v>
      </c>
    </row>
    <row r="36" spans="1:20" ht="17.25" thickBot="1" x14ac:dyDescent="0.3"/>
    <row r="37" spans="1:20" ht="17.25" x14ac:dyDescent="0.25">
      <c r="D37" s="2" t="s">
        <v>3</v>
      </c>
      <c r="E37" s="15" t="s">
        <v>42</v>
      </c>
      <c r="F37" s="15" t="s">
        <v>34</v>
      </c>
      <c r="G37" s="15" t="s">
        <v>35</v>
      </c>
      <c r="H37" s="15" t="s">
        <v>54</v>
      </c>
      <c r="I37" s="15" t="s">
        <v>55</v>
      </c>
      <c r="J37" s="15" t="s">
        <v>56</v>
      </c>
      <c r="K37" s="15" t="s">
        <v>57</v>
      </c>
      <c r="L37" s="15" t="s">
        <v>58</v>
      </c>
      <c r="M37" s="15" t="s">
        <v>59</v>
      </c>
      <c r="N37" s="15" t="s">
        <v>60</v>
      </c>
      <c r="O37" s="15" t="s">
        <v>61</v>
      </c>
      <c r="P37" s="22" t="s">
        <v>62</v>
      </c>
      <c r="Q37" s="24"/>
      <c r="R37" s="25" t="s">
        <v>64</v>
      </c>
      <c r="S37" s="25" t="s">
        <v>65</v>
      </c>
      <c r="T37" s="26" t="s">
        <v>66</v>
      </c>
    </row>
    <row r="38" spans="1:20" ht="17.25" x14ac:dyDescent="0.25">
      <c r="A38" s="21">
        <f>E38/D38-1</f>
        <v>0.16321431676558507</v>
      </c>
      <c r="B38" t="s">
        <v>36</v>
      </c>
      <c r="C38" s="21" t="str">
        <f>IF(OR(A38&gt;=20%,A38&lt;=-20%),"B","A")</f>
        <v>A</v>
      </c>
      <c r="D38">
        <v>94</v>
      </c>
      <c r="E38">
        <v>109.34214577596499</v>
      </c>
      <c r="F38"/>
      <c r="G38" s="5"/>
      <c r="Q38" s="28" t="s">
        <v>67</v>
      </c>
      <c r="R38" s="23">
        <f>COUNTIF(C38:C294,"A")</f>
        <v>176</v>
      </c>
      <c r="S38" s="23">
        <f>COUNTIF(C38:C294,"B")</f>
        <v>81</v>
      </c>
      <c r="T38" s="27">
        <v>257</v>
      </c>
    </row>
    <row r="39" spans="1:20" ht="18" thickBot="1" x14ac:dyDescent="0.3">
      <c r="A39" s="21">
        <f t="shared" ref="A39:A102" si="0">E39/D39-1</f>
        <v>-0.3270917340557733</v>
      </c>
      <c r="B39" t="s">
        <v>36</v>
      </c>
      <c r="C39" s="21" t="str">
        <f t="shared" ref="C39:C102" si="1">IF(OR(A39&gt;=20%,A39&lt;=-20%),"B","A")</f>
        <v>B</v>
      </c>
      <c r="D39">
        <v>194</v>
      </c>
      <c r="E39">
        <v>130.54420359317999</v>
      </c>
      <c r="F39"/>
      <c r="G39" s="5"/>
      <c r="Q39" s="29" t="s">
        <v>68</v>
      </c>
      <c r="R39" s="31">
        <f>R38/T38</f>
        <v>0.68482490272373542</v>
      </c>
      <c r="S39" s="31">
        <f>S38/T38</f>
        <v>0.31517509727626458</v>
      </c>
      <c r="T39" s="30">
        <f>R39+S39</f>
        <v>1</v>
      </c>
    </row>
    <row r="40" spans="1:20" ht="17.25" x14ac:dyDescent="0.25">
      <c r="A40" s="21">
        <f t="shared" si="0"/>
        <v>-0.17153837837051</v>
      </c>
      <c r="B40" t="s">
        <v>36</v>
      </c>
      <c r="C40" s="21" t="str">
        <f t="shared" si="1"/>
        <v>A</v>
      </c>
      <c r="D40">
        <v>151</v>
      </c>
      <c r="E40">
        <v>125.09770486605299</v>
      </c>
      <c r="F40"/>
      <c r="G40" s="5"/>
      <c r="Q40" s="21"/>
      <c r="R40" s="21"/>
    </row>
    <row r="41" spans="1:20" ht="17.25" x14ac:dyDescent="0.25">
      <c r="A41" s="21">
        <f t="shared" si="0"/>
        <v>0.26512534174208335</v>
      </c>
      <c r="B41" t="s">
        <v>36</v>
      </c>
      <c r="C41" s="21" t="str">
        <f t="shared" si="1"/>
        <v>B</v>
      </c>
      <c r="D41">
        <v>96</v>
      </c>
      <c r="E41">
        <v>121.45203280724</v>
      </c>
      <c r="F41"/>
      <c r="G41" s="5"/>
      <c r="Q41" s="21"/>
      <c r="R41" s="21"/>
    </row>
    <row r="42" spans="1:20" ht="17.25" x14ac:dyDescent="0.25">
      <c r="A42" s="21">
        <f t="shared" si="0"/>
        <v>-0.1293462283190151</v>
      </c>
      <c r="B42" t="s">
        <v>36</v>
      </c>
      <c r="C42" s="21" t="str">
        <f t="shared" si="1"/>
        <v>A</v>
      </c>
      <c r="D42">
        <v>132</v>
      </c>
      <c r="E42">
        <v>114.92629786189001</v>
      </c>
      <c r="F42"/>
      <c r="G42" s="5"/>
      <c r="Q42" s="21"/>
      <c r="R42" s="21"/>
    </row>
    <row r="43" spans="1:20" ht="17.25" x14ac:dyDescent="0.25">
      <c r="A43" s="21">
        <f t="shared" si="0"/>
        <v>8.6457495860234657E-2</v>
      </c>
      <c r="B43" t="s">
        <v>36</v>
      </c>
      <c r="C43" s="21" t="str">
        <f t="shared" si="1"/>
        <v>A</v>
      </c>
      <c r="D43">
        <v>115</v>
      </c>
      <c r="E43">
        <v>124.942612023927</v>
      </c>
      <c r="F43"/>
      <c r="G43" s="5"/>
      <c r="Q43" s="21"/>
      <c r="R43" s="21"/>
    </row>
    <row r="44" spans="1:20" ht="17.25" x14ac:dyDescent="0.25">
      <c r="A44" s="21">
        <f t="shared" si="0"/>
        <v>0.19531339458021102</v>
      </c>
      <c r="B44" t="s">
        <v>36</v>
      </c>
      <c r="C44" s="21" t="str">
        <f t="shared" si="1"/>
        <v>A</v>
      </c>
      <c r="D44">
        <v>90</v>
      </c>
      <c r="E44">
        <v>107.578205512219</v>
      </c>
      <c r="F44"/>
      <c r="G44" s="5"/>
      <c r="Q44" s="21"/>
      <c r="R44" s="21"/>
    </row>
    <row r="45" spans="1:20" ht="17.25" x14ac:dyDescent="0.25">
      <c r="A45" s="21">
        <f t="shared" si="0"/>
        <v>-0.37542415437633669</v>
      </c>
      <c r="B45" t="s">
        <v>36</v>
      </c>
      <c r="C45" s="21" t="str">
        <f t="shared" si="1"/>
        <v>B</v>
      </c>
      <c r="D45">
        <v>199</v>
      </c>
      <c r="E45">
        <v>124.290593279109</v>
      </c>
      <c r="F45"/>
      <c r="G45" s="5"/>
      <c r="Q45" s="21"/>
      <c r="R45" s="21"/>
    </row>
    <row r="46" spans="1:20" ht="17.25" x14ac:dyDescent="0.25">
      <c r="A46" s="21">
        <f t="shared" si="0"/>
        <v>-0.33024515247313713</v>
      </c>
      <c r="B46" t="s">
        <v>36</v>
      </c>
      <c r="C46" s="21" t="str">
        <f t="shared" si="1"/>
        <v>B</v>
      </c>
      <c r="D46">
        <v>197</v>
      </c>
      <c r="E46">
        <v>131.94170496279199</v>
      </c>
      <c r="F46"/>
      <c r="G46" s="5"/>
      <c r="Q46" s="21"/>
      <c r="R46" s="21"/>
    </row>
    <row r="47" spans="1:20" ht="17.25" x14ac:dyDescent="0.25">
      <c r="A47" s="21">
        <f t="shared" si="0"/>
        <v>0.26770922497690219</v>
      </c>
      <c r="B47" t="s">
        <v>43</v>
      </c>
      <c r="C47" s="21" t="str">
        <f t="shared" si="1"/>
        <v>B</v>
      </c>
      <c r="D47">
        <v>92</v>
      </c>
      <c r="E47">
        <v>116.629248697875</v>
      </c>
      <c r="F47"/>
      <c r="G47" s="5"/>
      <c r="Q47" s="21"/>
      <c r="R47" s="21"/>
    </row>
    <row r="48" spans="1:20" ht="17.25" x14ac:dyDescent="0.25">
      <c r="A48" s="21">
        <f t="shared" si="0"/>
        <v>0.22995779532380856</v>
      </c>
      <c r="B48" t="s">
        <v>43</v>
      </c>
      <c r="C48" s="21" t="str">
        <f t="shared" si="1"/>
        <v>B</v>
      </c>
      <c r="D48">
        <v>94</v>
      </c>
      <c r="E48">
        <v>115.616032760438</v>
      </c>
      <c r="F48"/>
      <c r="G48" s="5"/>
      <c r="Q48" s="21"/>
      <c r="R48" s="21"/>
    </row>
    <row r="49" spans="1:18" ht="17.25" x14ac:dyDescent="0.25">
      <c r="A49" s="21">
        <f t="shared" si="0"/>
        <v>4.5092539537425758E-2</v>
      </c>
      <c r="B49" t="s">
        <v>43</v>
      </c>
      <c r="C49" s="21" t="str">
        <f t="shared" si="1"/>
        <v>A</v>
      </c>
      <c r="D49">
        <v>101</v>
      </c>
      <c r="E49">
        <v>105.55434649327999</v>
      </c>
      <c r="F49"/>
      <c r="G49" s="5"/>
      <c r="Q49" s="21"/>
      <c r="R49" s="21"/>
    </row>
    <row r="50" spans="1:18" ht="17.25" x14ac:dyDescent="0.25">
      <c r="A50" s="21">
        <f t="shared" si="0"/>
        <v>0.10132734691716672</v>
      </c>
      <c r="B50" t="s">
        <v>43</v>
      </c>
      <c r="C50" s="21" t="str">
        <f t="shared" si="1"/>
        <v>A</v>
      </c>
      <c r="D50">
        <v>96</v>
      </c>
      <c r="E50">
        <v>105.727425304048</v>
      </c>
      <c r="F50"/>
      <c r="G50" s="5"/>
      <c r="Q50" s="21"/>
      <c r="R50" s="21"/>
    </row>
    <row r="51" spans="1:18" ht="17.25" x14ac:dyDescent="0.25">
      <c r="A51" s="21">
        <f t="shared" si="0"/>
        <v>0.12216437204804942</v>
      </c>
      <c r="B51" t="s">
        <v>43</v>
      </c>
      <c r="C51" s="21" t="str">
        <f t="shared" si="1"/>
        <v>A</v>
      </c>
      <c r="D51">
        <v>101</v>
      </c>
      <c r="E51">
        <v>113.33860157685299</v>
      </c>
      <c r="F51"/>
      <c r="G51" s="5"/>
      <c r="Q51" s="21"/>
      <c r="R51" s="21"/>
    </row>
    <row r="52" spans="1:18" ht="17.25" x14ac:dyDescent="0.25">
      <c r="A52" s="21">
        <f t="shared" si="0"/>
        <v>5.4023616153928256E-2</v>
      </c>
      <c r="B52" t="s">
        <v>43</v>
      </c>
      <c r="C52" s="21" t="str">
        <f t="shared" si="1"/>
        <v>A</v>
      </c>
      <c r="D52">
        <v>92</v>
      </c>
      <c r="E52">
        <v>96.970172686161405</v>
      </c>
      <c r="F52"/>
      <c r="G52" s="5"/>
      <c r="Q52" s="21"/>
      <c r="R52" s="21"/>
    </row>
    <row r="53" spans="1:18" ht="17.25" x14ac:dyDescent="0.25">
      <c r="A53" s="21">
        <f t="shared" si="0"/>
        <v>-0.10469401012698276</v>
      </c>
      <c r="B53" t="s">
        <v>43</v>
      </c>
      <c r="C53" s="21" t="str">
        <f t="shared" si="1"/>
        <v>A</v>
      </c>
      <c r="D53">
        <v>104</v>
      </c>
      <c r="E53">
        <v>93.111822946793794</v>
      </c>
      <c r="F53"/>
      <c r="G53" s="5"/>
      <c r="Q53" s="21"/>
      <c r="R53" s="21"/>
    </row>
    <row r="54" spans="1:18" ht="17.25" x14ac:dyDescent="0.25">
      <c r="A54" s="21">
        <f t="shared" si="0"/>
        <v>-3.705290294539354E-2</v>
      </c>
      <c r="B54" t="s">
        <v>43</v>
      </c>
      <c r="C54" s="21" t="str">
        <f t="shared" si="1"/>
        <v>A</v>
      </c>
      <c r="D54">
        <v>94</v>
      </c>
      <c r="E54">
        <v>90.517027123133005</v>
      </c>
      <c r="F54"/>
      <c r="G54" s="5"/>
      <c r="Q54" s="21"/>
      <c r="R54" s="21"/>
    </row>
    <row r="55" spans="1:18" ht="17.25" x14ac:dyDescent="0.25">
      <c r="A55" s="21">
        <f t="shared" si="0"/>
        <v>-0.11411454746416561</v>
      </c>
      <c r="B55" t="s">
        <v>43</v>
      </c>
      <c r="C55" s="21" t="str">
        <f t="shared" si="1"/>
        <v>A</v>
      </c>
      <c r="D55">
        <v>145</v>
      </c>
      <c r="E55">
        <v>128.45339061769599</v>
      </c>
      <c r="F55"/>
      <c r="G55" s="5"/>
      <c r="Q55" s="21"/>
      <c r="R55" s="21"/>
    </row>
    <row r="56" spans="1:18" ht="17.25" x14ac:dyDescent="0.25">
      <c r="A56" s="21">
        <f t="shared" si="0"/>
        <v>-0.23223925896392084</v>
      </c>
      <c r="B56" t="s">
        <v>43</v>
      </c>
      <c r="C56" s="21" t="str">
        <f t="shared" si="1"/>
        <v>B</v>
      </c>
      <c r="D56">
        <v>139</v>
      </c>
      <c r="E56">
        <v>106.718743004015</v>
      </c>
      <c r="F56"/>
      <c r="G56" s="5"/>
      <c r="Q56" s="21"/>
      <c r="R56" s="21"/>
    </row>
    <row r="57" spans="1:18" ht="17.25" x14ac:dyDescent="0.25">
      <c r="A57" s="21">
        <f t="shared" si="0"/>
        <v>-0.10123743063924351</v>
      </c>
      <c r="B57" t="s">
        <v>43</v>
      </c>
      <c r="C57" s="21" t="str">
        <f t="shared" si="1"/>
        <v>A</v>
      </c>
      <c r="D57">
        <v>115</v>
      </c>
      <c r="E57">
        <v>103.357695476487</v>
      </c>
      <c r="F57"/>
      <c r="G57" s="5"/>
      <c r="Q57" s="21"/>
      <c r="R57" s="21"/>
    </row>
    <row r="58" spans="1:18" x14ac:dyDescent="0.25">
      <c r="A58" s="21">
        <f t="shared" si="0"/>
        <v>-8.5603897095188897E-2</v>
      </c>
      <c r="B58" t="s">
        <v>44</v>
      </c>
      <c r="C58" s="21" t="str">
        <f t="shared" si="1"/>
        <v>A</v>
      </c>
      <c r="D58">
        <v>90</v>
      </c>
      <c r="E58">
        <v>82.295649261432999</v>
      </c>
      <c r="F58"/>
      <c r="G58"/>
      <c r="Q58" s="21"/>
      <c r="R58" s="21"/>
    </row>
    <row r="59" spans="1:18" x14ac:dyDescent="0.25">
      <c r="A59" s="21">
        <f t="shared" si="0"/>
        <v>-0.17315050300971646</v>
      </c>
      <c r="B59" t="s">
        <v>44</v>
      </c>
      <c r="C59" s="21" t="str">
        <f t="shared" si="1"/>
        <v>A</v>
      </c>
      <c r="D59">
        <v>137.5</v>
      </c>
      <c r="E59">
        <v>113.69180583616399</v>
      </c>
      <c r="F59"/>
      <c r="G59"/>
      <c r="Q59" s="21"/>
      <c r="R59" s="21"/>
    </row>
    <row r="60" spans="1:18" x14ac:dyDescent="0.25">
      <c r="A60" s="21">
        <f t="shared" si="0"/>
        <v>-0.1433752498760601</v>
      </c>
      <c r="B60" t="s">
        <v>44</v>
      </c>
      <c r="C60" s="21" t="str">
        <f t="shared" si="1"/>
        <v>A</v>
      </c>
      <c r="D60">
        <v>106.5</v>
      </c>
      <c r="E60">
        <v>91.230535888199597</v>
      </c>
      <c r="F60"/>
      <c r="G60"/>
      <c r="Q60" s="21"/>
      <c r="R60" s="21"/>
    </row>
    <row r="61" spans="1:18" x14ac:dyDescent="0.25">
      <c r="A61" s="21">
        <f t="shared" si="0"/>
        <v>-2.224097868669106E-2</v>
      </c>
      <c r="B61" t="s">
        <v>44</v>
      </c>
      <c r="C61" s="21" t="str">
        <f t="shared" si="1"/>
        <v>A</v>
      </c>
      <c r="D61">
        <v>101</v>
      </c>
      <c r="E61">
        <v>98.753661152644199</v>
      </c>
      <c r="F61"/>
      <c r="G61"/>
      <c r="Q61" s="21"/>
      <c r="R61" s="21"/>
    </row>
    <row r="62" spans="1:18" ht="17.25" x14ac:dyDescent="0.25">
      <c r="A62" s="21">
        <f t="shared" si="0"/>
        <v>-0.2886818978898914</v>
      </c>
      <c r="B62" t="s">
        <v>45</v>
      </c>
      <c r="C62" s="21" t="str">
        <f t="shared" si="1"/>
        <v>B</v>
      </c>
      <c r="D62">
        <v>212</v>
      </c>
      <c r="E62">
        <v>150.79943764734301</v>
      </c>
      <c r="F62"/>
      <c r="G62" s="5"/>
      <c r="H62"/>
      <c r="Q62" s="21"/>
      <c r="R62" s="21"/>
    </row>
    <row r="63" spans="1:18" ht="17.25" x14ac:dyDescent="0.25">
      <c r="A63" s="21">
        <f t="shared" si="0"/>
        <v>-0.32136815968534116</v>
      </c>
      <c r="B63" t="s">
        <v>45</v>
      </c>
      <c r="C63" s="21" t="str">
        <f t="shared" si="1"/>
        <v>B</v>
      </c>
      <c r="D63">
        <v>258</v>
      </c>
      <c r="E63">
        <v>175.08701480118199</v>
      </c>
      <c r="F63"/>
      <c r="G63" s="5"/>
      <c r="H63"/>
      <c r="Q63" s="21"/>
      <c r="R63" s="21"/>
    </row>
    <row r="64" spans="1:18" ht="17.25" x14ac:dyDescent="0.25">
      <c r="A64" s="21">
        <f t="shared" si="0"/>
        <v>-0.25767971115333588</v>
      </c>
      <c r="B64" t="s">
        <v>45</v>
      </c>
      <c r="C64" s="21" t="str">
        <f t="shared" si="1"/>
        <v>B</v>
      </c>
      <c r="D64">
        <v>257.5</v>
      </c>
      <c r="E64">
        <v>191.147474378016</v>
      </c>
      <c r="F64"/>
      <c r="G64" s="5"/>
      <c r="H64"/>
      <c r="Q64" s="21"/>
      <c r="R64" s="21"/>
    </row>
    <row r="65" spans="1:18" ht="17.25" x14ac:dyDescent="0.25">
      <c r="A65" s="21">
        <f t="shared" si="0"/>
        <v>0.1104002571438385</v>
      </c>
      <c r="B65" t="s">
        <v>45</v>
      </c>
      <c r="C65" s="21" t="str">
        <f t="shared" si="1"/>
        <v>A</v>
      </c>
      <c r="D65">
        <v>204.5</v>
      </c>
      <c r="E65">
        <v>227.07685258591499</v>
      </c>
      <c r="F65"/>
      <c r="G65" s="5"/>
      <c r="H65"/>
      <c r="Q65" s="21"/>
      <c r="R65" s="21"/>
    </row>
    <row r="66" spans="1:18" ht="17.25" x14ac:dyDescent="0.25">
      <c r="A66" s="21">
        <f t="shared" si="0"/>
        <v>-0.1048002572363369</v>
      </c>
      <c r="B66" t="s">
        <v>45</v>
      </c>
      <c r="C66" s="21" t="str">
        <f t="shared" si="1"/>
        <v>A</v>
      </c>
      <c r="D66">
        <v>383</v>
      </c>
      <c r="E66">
        <v>342.86150147848298</v>
      </c>
      <c r="F66"/>
      <c r="G66" s="5"/>
      <c r="H66"/>
      <c r="Q66" s="21"/>
      <c r="R66" s="21"/>
    </row>
    <row r="67" spans="1:18" ht="17.25" x14ac:dyDescent="0.25">
      <c r="A67" s="21">
        <f t="shared" si="0"/>
        <v>9.3808955109036196E-2</v>
      </c>
      <c r="B67" t="s">
        <v>46</v>
      </c>
      <c r="C67" s="21" t="str">
        <f t="shared" si="1"/>
        <v>A</v>
      </c>
      <c r="D67">
        <v>96.5</v>
      </c>
      <c r="E67">
        <v>105.552564168022</v>
      </c>
      <c r="F67"/>
      <c r="G67" s="5"/>
      <c r="I67"/>
      <c r="Q67" s="21"/>
      <c r="R67" s="21"/>
    </row>
    <row r="68" spans="1:18" ht="17.25" x14ac:dyDescent="0.25">
      <c r="A68" s="21">
        <f t="shared" si="0"/>
        <v>-0.15785137898281432</v>
      </c>
      <c r="B68" t="s">
        <v>46</v>
      </c>
      <c r="C68" s="21" t="str">
        <f t="shared" si="1"/>
        <v>A</v>
      </c>
      <c r="D68">
        <v>153.5</v>
      </c>
      <c r="E68">
        <v>129.26981332613801</v>
      </c>
      <c r="F68"/>
      <c r="G68" s="5"/>
      <c r="I68"/>
      <c r="Q68" s="21"/>
      <c r="R68" s="21"/>
    </row>
    <row r="69" spans="1:18" ht="17.25" x14ac:dyDescent="0.25">
      <c r="A69" s="21">
        <f t="shared" si="0"/>
        <v>-8.7848302004206902E-2</v>
      </c>
      <c r="B69" t="s">
        <v>46</v>
      </c>
      <c r="C69" s="21" t="str">
        <f t="shared" si="1"/>
        <v>A</v>
      </c>
      <c r="D69">
        <v>130.5</v>
      </c>
      <c r="E69">
        <v>119.03579658845101</v>
      </c>
      <c r="F69"/>
      <c r="G69" s="5"/>
      <c r="I69"/>
      <c r="Q69" s="21"/>
      <c r="R69" s="21"/>
    </row>
    <row r="70" spans="1:18" ht="17.25" x14ac:dyDescent="0.25">
      <c r="A70" s="21">
        <f t="shared" si="0"/>
        <v>-0.13715650828570591</v>
      </c>
      <c r="B70" t="s">
        <v>46</v>
      </c>
      <c r="C70" s="21" t="str">
        <f t="shared" si="1"/>
        <v>A</v>
      </c>
      <c r="D70">
        <v>136</v>
      </c>
      <c r="E70">
        <v>117.34671487314399</v>
      </c>
      <c r="F70"/>
      <c r="G70" s="5"/>
      <c r="I70"/>
      <c r="Q70" s="21"/>
      <c r="R70" s="21"/>
    </row>
    <row r="71" spans="1:18" ht="17.25" x14ac:dyDescent="0.25">
      <c r="A71" s="21">
        <f t="shared" si="0"/>
        <v>-4.7222582720702677E-2</v>
      </c>
      <c r="B71" t="s">
        <v>46</v>
      </c>
      <c r="C71" s="21" t="str">
        <f t="shared" si="1"/>
        <v>A</v>
      </c>
      <c r="D71">
        <v>111</v>
      </c>
      <c r="E71">
        <v>105.758293318002</v>
      </c>
      <c r="F71"/>
      <c r="G71" s="5"/>
      <c r="I71"/>
      <c r="Q71" s="21"/>
      <c r="R71" s="21"/>
    </row>
    <row r="72" spans="1:18" ht="17.25" x14ac:dyDescent="0.25">
      <c r="A72" s="21">
        <f t="shared" si="0"/>
        <v>-0.10453673154174437</v>
      </c>
      <c r="B72" t="s">
        <v>46</v>
      </c>
      <c r="C72" s="21" t="str">
        <f t="shared" si="1"/>
        <v>A</v>
      </c>
      <c r="D72">
        <v>156.5</v>
      </c>
      <c r="E72">
        <v>140.14000151371701</v>
      </c>
      <c r="F72"/>
      <c r="G72" s="5"/>
      <c r="I72"/>
      <c r="Q72" s="21"/>
      <c r="R72" s="21"/>
    </row>
    <row r="73" spans="1:18" ht="17.25" x14ac:dyDescent="0.25">
      <c r="A73" s="21">
        <f t="shared" si="0"/>
        <v>0.36594584680977982</v>
      </c>
      <c r="B73" t="s">
        <v>46</v>
      </c>
      <c r="C73" s="21" t="str">
        <f t="shared" si="1"/>
        <v>B</v>
      </c>
      <c r="D73">
        <v>109</v>
      </c>
      <c r="E73">
        <v>148.888097302266</v>
      </c>
      <c r="F73"/>
      <c r="G73" s="5"/>
      <c r="I73"/>
      <c r="Q73" s="21"/>
      <c r="R73" s="21"/>
    </row>
    <row r="74" spans="1:18" ht="17.25" x14ac:dyDescent="0.25">
      <c r="A74" s="21">
        <f t="shared" si="0"/>
        <v>1.8432987844554383E-3</v>
      </c>
      <c r="B74" t="s">
        <v>46</v>
      </c>
      <c r="C74" s="21" t="str">
        <f t="shared" si="1"/>
        <v>A</v>
      </c>
      <c r="D74">
        <v>112</v>
      </c>
      <c r="E74">
        <v>112.206449463859</v>
      </c>
      <c r="F74"/>
      <c r="G74" s="5"/>
      <c r="I74"/>
      <c r="Q74" s="21"/>
      <c r="R74" s="21"/>
    </row>
    <row r="75" spans="1:18" ht="17.25" x14ac:dyDescent="0.25">
      <c r="A75" s="21">
        <f t="shared" si="0"/>
        <v>0.1484067654071719</v>
      </c>
      <c r="B75" t="s">
        <v>46</v>
      </c>
      <c r="C75" s="21" t="str">
        <f t="shared" si="1"/>
        <v>A</v>
      </c>
      <c r="D75">
        <v>93</v>
      </c>
      <c r="E75">
        <v>106.801829182867</v>
      </c>
      <c r="F75"/>
      <c r="G75" s="5"/>
      <c r="I75"/>
      <c r="Q75" s="21"/>
      <c r="R75" s="21"/>
    </row>
    <row r="76" spans="1:18" ht="17.25" x14ac:dyDescent="0.25">
      <c r="A76" s="21">
        <f t="shared" si="0"/>
        <v>-0.26883631130262997</v>
      </c>
      <c r="B76" t="s">
        <v>46</v>
      </c>
      <c r="C76" s="21" t="str">
        <f t="shared" si="1"/>
        <v>B</v>
      </c>
      <c r="D76">
        <v>163.5</v>
      </c>
      <c r="E76">
        <v>119.54526310202</v>
      </c>
      <c r="F76"/>
      <c r="G76" s="5"/>
      <c r="I76"/>
      <c r="Q76" s="21"/>
      <c r="R76" s="21"/>
    </row>
    <row r="77" spans="1:18" ht="17.25" x14ac:dyDescent="0.25">
      <c r="A77" s="21">
        <f t="shared" si="0"/>
        <v>-3.6973577249559408E-3</v>
      </c>
      <c r="B77" t="s">
        <v>46</v>
      </c>
      <c r="C77" s="21" t="str">
        <f t="shared" si="1"/>
        <v>A</v>
      </c>
      <c r="D77">
        <v>136</v>
      </c>
      <c r="E77">
        <v>135.49715934940599</v>
      </c>
      <c r="F77"/>
      <c r="G77" s="5"/>
      <c r="I77"/>
      <c r="Q77" s="21"/>
      <c r="R77" s="21"/>
    </row>
    <row r="78" spans="1:18" ht="17.25" x14ac:dyDescent="0.25">
      <c r="A78" s="21">
        <f t="shared" si="0"/>
        <v>-6.1386991509916666E-2</v>
      </c>
      <c r="B78" t="s">
        <v>46</v>
      </c>
      <c r="C78" s="21" t="str">
        <f t="shared" si="1"/>
        <v>A</v>
      </c>
      <c r="D78">
        <v>120</v>
      </c>
      <c r="E78">
        <v>112.63356101881</v>
      </c>
      <c r="F78"/>
      <c r="G78" s="5"/>
      <c r="I78"/>
      <c r="Q78" s="21"/>
      <c r="R78" s="21"/>
    </row>
    <row r="79" spans="1:18" ht="17.25" x14ac:dyDescent="0.25">
      <c r="A79" s="21">
        <f t="shared" si="0"/>
        <v>-3.5978872050477007E-2</v>
      </c>
      <c r="B79" t="s">
        <v>47</v>
      </c>
      <c r="C79" s="21" t="str">
        <f t="shared" si="1"/>
        <v>A</v>
      </c>
      <c r="D79">
        <v>184.5</v>
      </c>
      <c r="E79">
        <v>177.86189810668699</v>
      </c>
      <c r="F79"/>
      <c r="G79" s="5"/>
      <c r="J79"/>
      <c r="Q79" s="21"/>
      <c r="R79" s="21"/>
    </row>
    <row r="80" spans="1:18" ht="17.25" x14ac:dyDescent="0.25">
      <c r="A80" s="21">
        <f t="shared" si="0"/>
        <v>-0.10162894453061033</v>
      </c>
      <c r="B80" t="s">
        <v>47</v>
      </c>
      <c r="C80" s="21" t="str">
        <f t="shared" si="1"/>
        <v>A</v>
      </c>
      <c r="D80">
        <v>195</v>
      </c>
      <c r="E80">
        <v>175.18235581653099</v>
      </c>
      <c r="F80"/>
      <c r="G80" s="5"/>
      <c r="J80"/>
      <c r="Q80" s="21"/>
      <c r="R80" s="21"/>
    </row>
    <row r="81" spans="1:18" ht="17.25" x14ac:dyDescent="0.25">
      <c r="A81" s="21">
        <f t="shared" si="0"/>
        <v>-0.21713539583269192</v>
      </c>
      <c r="B81" t="s">
        <v>47</v>
      </c>
      <c r="C81" s="21" t="str">
        <f t="shared" si="1"/>
        <v>B</v>
      </c>
      <c r="D81">
        <v>224</v>
      </c>
      <c r="E81">
        <v>175.36167133347701</v>
      </c>
      <c r="F81"/>
      <c r="G81" s="5"/>
      <c r="J81"/>
      <c r="Q81" s="21"/>
      <c r="R81" s="21"/>
    </row>
    <row r="82" spans="1:18" ht="17.25" x14ac:dyDescent="0.25">
      <c r="A82" s="21">
        <f t="shared" si="0"/>
        <v>-0.18979939384115385</v>
      </c>
      <c r="B82" t="s">
        <v>47</v>
      </c>
      <c r="C82" s="21" t="str">
        <f t="shared" si="1"/>
        <v>A</v>
      </c>
      <c r="D82">
        <v>247</v>
      </c>
      <c r="E82">
        <v>200.11954972123499</v>
      </c>
      <c r="F82"/>
      <c r="G82" s="5"/>
      <c r="J82"/>
      <c r="Q82" s="21"/>
      <c r="R82" s="21"/>
    </row>
    <row r="83" spans="1:18" ht="17.25" x14ac:dyDescent="0.25">
      <c r="A83" s="21">
        <f t="shared" si="0"/>
        <v>5.9881115804397256E-2</v>
      </c>
      <c r="B83" t="s">
        <v>47</v>
      </c>
      <c r="C83" s="21" t="str">
        <f t="shared" si="1"/>
        <v>A</v>
      </c>
      <c r="D83">
        <v>146</v>
      </c>
      <c r="E83">
        <v>154.74264290744199</v>
      </c>
      <c r="F83"/>
      <c r="G83" s="5"/>
      <c r="J83"/>
      <c r="Q83" s="21"/>
      <c r="R83" s="21"/>
    </row>
    <row r="84" spans="1:18" ht="17.25" x14ac:dyDescent="0.25">
      <c r="A84" s="21">
        <f t="shared" si="0"/>
        <v>-0.13210970533931143</v>
      </c>
      <c r="B84" t="s">
        <v>47</v>
      </c>
      <c r="C84" s="21" t="str">
        <f t="shared" si="1"/>
        <v>A</v>
      </c>
      <c r="D84">
        <v>183</v>
      </c>
      <c r="E84">
        <v>158.823923922906</v>
      </c>
      <c r="F84"/>
      <c r="G84" s="5"/>
      <c r="J84"/>
      <c r="Q84" s="21"/>
      <c r="R84" s="21"/>
    </row>
    <row r="85" spans="1:18" ht="17.25" x14ac:dyDescent="0.25">
      <c r="A85" s="21">
        <f t="shared" si="0"/>
        <v>4.256613788616348E-2</v>
      </c>
      <c r="B85" t="s">
        <v>47</v>
      </c>
      <c r="C85" s="21" t="str">
        <f t="shared" si="1"/>
        <v>A</v>
      </c>
      <c r="D85">
        <v>159</v>
      </c>
      <c r="E85">
        <v>165.76801592390001</v>
      </c>
      <c r="F85"/>
      <c r="G85" s="5"/>
      <c r="J85"/>
      <c r="Q85" s="21"/>
      <c r="R85" s="21"/>
    </row>
    <row r="86" spans="1:18" ht="17.25" x14ac:dyDescent="0.25">
      <c r="A86" s="21">
        <f t="shared" si="0"/>
        <v>-9.6204637296971707E-2</v>
      </c>
      <c r="B86" t="s">
        <v>50</v>
      </c>
      <c r="C86" s="21" t="str">
        <f t="shared" si="1"/>
        <v>A</v>
      </c>
      <c r="D86">
        <v>99</v>
      </c>
      <c r="E86">
        <v>89.4757409075998</v>
      </c>
      <c r="F86"/>
      <c r="G86" s="5"/>
      <c r="K86"/>
      <c r="Q86" s="21"/>
      <c r="R86" s="21"/>
    </row>
    <row r="87" spans="1:18" ht="17.25" x14ac:dyDescent="0.25">
      <c r="A87" s="21">
        <f t="shared" si="0"/>
        <v>-0.18999634158457146</v>
      </c>
      <c r="B87" t="s">
        <v>50</v>
      </c>
      <c r="C87" s="21" t="str">
        <f t="shared" si="1"/>
        <v>A</v>
      </c>
      <c r="D87">
        <v>140</v>
      </c>
      <c r="E87">
        <v>113.40051217816</v>
      </c>
      <c r="F87"/>
      <c r="G87" s="5"/>
      <c r="K87"/>
      <c r="Q87" s="21"/>
      <c r="R87" s="21"/>
    </row>
    <row r="88" spans="1:18" ht="17.25" x14ac:dyDescent="0.25">
      <c r="A88" s="21">
        <f t="shared" si="0"/>
        <v>-8.9774268036688865E-2</v>
      </c>
      <c r="B88" t="s">
        <v>50</v>
      </c>
      <c r="C88" s="21" t="str">
        <f t="shared" si="1"/>
        <v>A</v>
      </c>
      <c r="D88">
        <v>135</v>
      </c>
      <c r="E88">
        <v>122.880473815047</v>
      </c>
      <c r="F88"/>
      <c r="G88" s="5"/>
      <c r="K88"/>
      <c r="Q88" s="21"/>
      <c r="R88" s="21"/>
    </row>
    <row r="89" spans="1:18" ht="17.25" x14ac:dyDescent="0.25">
      <c r="A89" s="21">
        <f t="shared" si="0"/>
        <v>0.1199120612854081</v>
      </c>
      <c r="B89" t="s">
        <v>50</v>
      </c>
      <c r="C89" s="21" t="str">
        <f t="shared" si="1"/>
        <v>A</v>
      </c>
      <c r="D89">
        <v>98</v>
      </c>
      <c r="E89">
        <v>109.75138200597</v>
      </c>
      <c r="F89"/>
      <c r="G89" s="5"/>
      <c r="K89"/>
      <c r="Q89" s="21"/>
      <c r="R89" s="21"/>
    </row>
    <row r="90" spans="1:18" ht="17.25" x14ac:dyDescent="0.25">
      <c r="A90" s="21">
        <f t="shared" si="0"/>
        <v>-1.8817509861774884E-3</v>
      </c>
      <c r="B90" t="s">
        <v>50</v>
      </c>
      <c r="C90" s="21" t="str">
        <f t="shared" si="1"/>
        <v>A</v>
      </c>
      <c r="D90">
        <v>93</v>
      </c>
      <c r="E90">
        <v>92.824997158285498</v>
      </c>
      <c r="F90"/>
      <c r="G90" s="5"/>
      <c r="K90"/>
      <c r="Q90" s="21"/>
      <c r="R90" s="21"/>
    </row>
    <row r="91" spans="1:18" ht="17.25" x14ac:dyDescent="0.25">
      <c r="A91" s="21">
        <f t="shared" si="0"/>
        <v>-0.19101746014299992</v>
      </c>
      <c r="B91" t="s">
        <v>50</v>
      </c>
      <c r="C91" s="21" t="str">
        <f t="shared" si="1"/>
        <v>A</v>
      </c>
      <c r="D91">
        <v>151</v>
      </c>
      <c r="E91">
        <v>122.15636351840701</v>
      </c>
      <c r="F91"/>
      <c r="G91" s="5"/>
      <c r="K91"/>
      <c r="Q91" s="21"/>
      <c r="R91" s="21"/>
    </row>
    <row r="92" spans="1:18" ht="17.25" x14ac:dyDescent="0.25">
      <c r="A92" s="21">
        <f t="shared" si="0"/>
        <v>-0.23594533757558533</v>
      </c>
      <c r="B92" t="s">
        <v>50</v>
      </c>
      <c r="C92" s="21" t="str">
        <f t="shared" si="1"/>
        <v>B</v>
      </c>
      <c r="D92">
        <v>164</v>
      </c>
      <c r="E92">
        <v>125.304964637604</v>
      </c>
      <c r="F92"/>
      <c r="G92" s="5"/>
      <c r="K92"/>
      <c r="Q92" s="21"/>
      <c r="R92" s="21"/>
    </row>
    <row r="93" spans="1:18" ht="17.25" x14ac:dyDescent="0.25">
      <c r="A93" s="21">
        <f t="shared" si="0"/>
        <v>-0.24395830295901721</v>
      </c>
      <c r="B93" t="s">
        <v>50</v>
      </c>
      <c r="C93" s="21" t="str">
        <f t="shared" si="1"/>
        <v>B</v>
      </c>
      <c r="D93">
        <v>128</v>
      </c>
      <c r="E93">
        <v>96.773337221245797</v>
      </c>
      <c r="F93"/>
      <c r="G93" s="5"/>
      <c r="K93"/>
      <c r="Q93" s="21"/>
      <c r="R93" s="21"/>
    </row>
    <row r="94" spans="1:18" ht="17.25" x14ac:dyDescent="0.25">
      <c r="A94" s="21">
        <f t="shared" si="0"/>
        <v>0.29983726464431171</v>
      </c>
      <c r="B94" t="s">
        <v>51</v>
      </c>
      <c r="C94" s="21" t="str">
        <f t="shared" si="1"/>
        <v>B</v>
      </c>
      <c r="D94">
        <v>77</v>
      </c>
      <c r="E94">
        <v>100.087469377612</v>
      </c>
      <c r="F94"/>
      <c r="G94" s="5"/>
      <c r="L94"/>
      <c r="Q94" s="21"/>
      <c r="R94" s="21"/>
    </row>
    <row r="95" spans="1:18" ht="17.25" x14ac:dyDescent="0.25">
      <c r="A95" s="21">
        <f t="shared" si="0"/>
        <v>-0.21836201399880451</v>
      </c>
      <c r="B95" t="s">
        <v>51</v>
      </c>
      <c r="C95" s="21" t="str">
        <f t="shared" si="1"/>
        <v>B</v>
      </c>
      <c r="D95">
        <v>133</v>
      </c>
      <c r="E95">
        <v>103.957852138159</v>
      </c>
      <c r="F95"/>
      <c r="G95" s="5"/>
      <c r="L95"/>
      <c r="Q95" s="21"/>
      <c r="R95" s="21"/>
    </row>
    <row r="96" spans="1:18" ht="17.25" x14ac:dyDescent="0.25">
      <c r="A96" s="21">
        <f t="shared" si="0"/>
        <v>-2.4973825950272976E-3</v>
      </c>
      <c r="B96" t="s">
        <v>51</v>
      </c>
      <c r="C96" s="21" t="str">
        <f t="shared" si="1"/>
        <v>A</v>
      </c>
      <c r="D96">
        <v>110</v>
      </c>
      <c r="E96">
        <v>109.725287914547</v>
      </c>
      <c r="F96"/>
      <c r="G96" s="5"/>
      <c r="L96"/>
      <c r="Q96" s="21"/>
      <c r="R96" s="21"/>
    </row>
    <row r="97" spans="1:18" ht="17.25" x14ac:dyDescent="0.25">
      <c r="A97" s="21">
        <f t="shared" si="0"/>
        <v>2.0373092389431413E-2</v>
      </c>
      <c r="B97" t="s">
        <v>51</v>
      </c>
      <c r="C97" s="21" t="str">
        <f t="shared" si="1"/>
        <v>A</v>
      </c>
      <c r="D97">
        <v>102</v>
      </c>
      <c r="E97">
        <v>104.07805542372201</v>
      </c>
      <c r="F97"/>
      <c r="G97" s="5"/>
      <c r="L97"/>
      <c r="Q97" s="21"/>
      <c r="R97" s="21"/>
    </row>
    <row r="98" spans="1:18" ht="17.25" x14ac:dyDescent="0.25">
      <c r="A98" s="21">
        <f t="shared" si="0"/>
        <v>0.25088303066785067</v>
      </c>
      <c r="B98" t="s">
        <v>51</v>
      </c>
      <c r="C98" s="21" t="str">
        <f t="shared" si="1"/>
        <v>B</v>
      </c>
      <c r="D98">
        <v>79</v>
      </c>
      <c r="E98">
        <v>98.8197594227602</v>
      </c>
      <c r="F98"/>
      <c r="G98" s="5"/>
      <c r="L98"/>
      <c r="Q98" s="21"/>
      <c r="R98" s="21"/>
    </row>
    <row r="99" spans="1:18" ht="17.25" x14ac:dyDescent="0.25">
      <c r="A99" s="21">
        <f t="shared" si="0"/>
        <v>-0.35438908098295485</v>
      </c>
      <c r="B99" t="s">
        <v>51</v>
      </c>
      <c r="C99" s="21" t="str">
        <f t="shared" si="1"/>
        <v>B</v>
      </c>
      <c r="D99">
        <v>155</v>
      </c>
      <c r="E99">
        <v>100.069692447642</v>
      </c>
      <c r="F99"/>
      <c r="G99" s="5"/>
      <c r="L99"/>
      <c r="Q99" s="21"/>
      <c r="R99" s="21"/>
    </row>
    <row r="100" spans="1:18" ht="17.25" x14ac:dyDescent="0.25">
      <c r="A100" s="21">
        <f t="shared" si="0"/>
        <v>-0.31277224952698113</v>
      </c>
      <c r="B100" t="s">
        <v>51</v>
      </c>
      <c r="C100" s="21" t="str">
        <f t="shared" si="1"/>
        <v>B</v>
      </c>
      <c r="D100">
        <v>159</v>
      </c>
      <c r="E100">
        <v>109.26921232521001</v>
      </c>
      <c r="F100"/>
      <c r="G100" s="5"/>
      <c r="L100"/>
      <c r="Q100" s="21"/>
      <c r="R100" s="21"/>
    </row>
    <row r="101" spans="1:18" ht="17.25" x14ac:dyDescent="0.25">
      <c r="A101" s="21">
        <f t="shared" si="0"/>
        <v>-4.4928210835894711E-2</v>
      </c>
      <c r="B101" t="s">
        <v>51</v>
      </c>
      <c r="C101" s="21" t="str">
        <f t="shared" si="1"/>
        <v>A</v>
      </c>
      <c r="D101">
        <v>114</v>
      </c>
      <c r="E101">
        <v>108.878183964708</v>
      </c>
      <c r="F101"/>
      <c r="G101" s="5"/>
      <c r="L101"/>
      <c r="Q101" s="21"/>
      <c r="R101" s="21"/>
    </row>
    <row r="102" spans="1:18" ht="17.25" x14ac:dyDescent="0.25">
      <c r="A102" s="21">
        <f t="shared" si="0"/>
        <v>-0.12114801751063231</v>
      </c>
      <c r="B102" t="s">
        <v>52</v>
      </c>
      <c r="C102" s="21" t="str">
        <f t="shared" si="1"/>
        <v>A</v>
      </c>
      <c r="D102">
        <v>136</v>
      </c>
      <c r="E102">
        <v>119.523869618554</v>
      </c>
      <c r="F102"/>
      <c r="G102" s="5"/>
      <c r="L102"/>
      <c r="Q102" s="21"/>
      <c r="R102" s="21"/>
    </row>
    <row r="103" spans="1:18" ht="17.25" x14ac:dyDescent="0.25">
      <c r="A103" s="21">
        <f t="shared" ref="A103:A166" si="2">E103/D103-1</f>
        <v>0.16845650582611205</v>
      </c>
      <c r="B103" t="s">
        <v>52</v>
      </c>
      <c r="C103" s="21" t="str">
        <f t="shared" ref="C103:C166" si="3">IF(OR(A103&gt;=20%,A103&lt;=-20%),"B","A")</f>
        <v>A</v>
      </c>
      <c r="D103">
        <v>125</v>
      </c>
      <c r="E103">
        <v>146.05706322826401</v>
      </c>
      <c r="F103"/>
      <c r="G103" s="5"/>
      <c r="L103"/>
      <c r="Q103" s="21"/>
      <c r="R103" s="21"/>
    </row>
    <row r="104" spans="1:18" ht="17.25" x14ac:dyDescent="0.25">
      <c r="A104" s="21">
        <f t="shared" si="2"/>
        <v>-0.26163417205307737</v>
      </c>
      <c r="B104" t="s">
        <v>52</v>
      </c>
      <c r="C104" s="21" t="str">
        <f t="shared" si="3"/>
        <v>B</v>
      </c>
      <c r="D104">
        <v>168</v>
      </c>
      <c r="E104">
        <v>124.045459095083</v>
      </c>
      <c r="F104"/>
      <c r="G104" s="5"/>
      <c r="L104"/>
      <c r="Q104" s="21"/>
      <c r="R104" s="21"/>
    </row>
    <row r="105" spans="1:18" ht="17.25" x14ac:dyDescent="0.25">
      <c r="A105" s="21">
        <f t="shared" si="2"/>
        <v>-0.20632809344673653</v>
      </c>
      <c r="B105" t="s">
        <v>52</v>
      </c>
      <c r="C105" s="21" t="str">
        <f t="shared" si="3"/>
        <v>B</v>
      </c>
      <c r="D105">
        <v>148</v>
      </c>
      <c r="E105">
        <v>117.463442169883</v>
      </c>
      <c r="F105"/>
      <c r="G105" s="5"/>
      <c r="L105"/>
      <c r="Q105" s="21"/>
      <c r="R105" s="21"/>
    </row>
    <row r="106" spans="1:18" ht="17.25" x14ac:dyDescent="0.25">
      <c r="A106" s="21">
        <f t="shared" si="2"/>
        <v>-0.44168567345903742</v>
      </c>
      <c r="B106" t="s">
        <v>52</v>
      </c>
      <c r="C106" s="21" t="str">
        <f t="shared" si="3"/>
        <v>B</v>
      </c>
      <c r="D106">
        <v>214</v>
      </c>
      <c r="E106">
        <v>119.479265879766</v>
      </c>
      <c r="F106"/>
      <c r="G106" s="5"/>
      <c r="L106"/>
      <c r="Q106" s="21"/>
      <c r="R106" s="21"/>
    </row>
    <row r="107" spans="1:18" ht="17.25" x14ac:dyDescent="0.25">
      <c r="A107" s="21">
        <f t="shared" si="2"/>
        <v>-5.9649559281734765E-2</v>
      </c>
      <c r="B107" t="s">
        <v>53</v>
      </c>
      <c r="C107" s="21" t="str">
        <f t="shared" si="3"/>
        <v>A</v>
      </c>
      <c r="D107">
        <v>196</v>
      </c>
      <c r="E107">
        <v>184.30868638077999</v>
      </c>
      <c r="F107"/>
      <c r="G107" s="5"/>
      <c r="L107"/>
      <c r="Q107" s="21"/>
      <c r="R107" s="21"/>
    </row>
    <row r="108" spans="1:18" ht="17.25" x14ac:dyDescent="0.25">
      <c r="A108" s="21">
        <f t="shared" si="2"/>
        <v>-6.6130069573147821E-2</v>
      </c>
      <c r="B108" t="s">
        <v>53</v>
      </c>
      <c r="C108" s="21" t="str">
        <f t="shared" si="3"/>
        <v>A</v>
      </c>
      <c r="D108">
        <v>203</v>
      </c>
      <c r="E108">
        <v>189.57559587665099</v>
      </c>
      <c r="F108"/>
      <c r="G108" s="5"/>
      <c r="L108"/>
      <c r="Q108" s="21"/>
      <c r="R108" s="21"/>
    </row>
    <row r="109" spans="1:18" ht="17.25" x14ac:dyDescent="0.25">
      <c r="A109" s="21">
        <f t="shared" si="2"/>
        <v>-0.36856534684134534</v>
      </c>
      <c r="B109" t="s">
        <v>53</v>
      </c>
      <c r="C109" s="21" t="str">
        <f t="shared" si="3"/>
        <v>B</v>
      </c>
      <c r="D109">
        <v>278</v>
      </c>
      <c r="E109">
        <v>175.53883357810599</v>
      </c>
      <c r="F109"/>
      <c r="G109" s="5"/>
      <c r="L109"/>
      <c r="Q109" s="21"/>
      <c r="R109" s="21"/>
    </row>
    <row r="110" spans="1:18" ht="17.25" x14ac:dyDescent="0.25">
      <c r="A110" s="21">
        <f t="shared" si="2"/>
        <v>-0.20823425332539469</v>
      </c>
      <c r="B110" t="s">
        <v>53</v>
      </c>
      <c r="C110" s="21" t="str">
        <f t="shared" si="3"/>
        <v>B</v>
      </c>
      <c r="D110">
        <v>228</v>
      </c>
      <c r="E110">
        <v>180.52259024181001</v>
      </c>
      <c r="F110"/>
      <c r="G110" s="5"/>
      <c r="L110"/>
      <c r="Q110" s="21"/>
      <c r="R110" s="21"/>
    </row>
    <row r="111" spans="1:18" ht="17.25" x14ac:dyDescent="0.25">
      <c r="A111" s="21">
        <f t="shared" si="2"/>
        <v>-0.18389466476006155</v>
      </c>
      <c r="B111" t="s">
        <v>53</v>
      </c>
      <c r="C111" s="21" t="str">
        <f t="shared" si="3"/>
        <v>A</v>
      </c>
      <c r="D111">
        <v>195</v>
      </c>
      <c r="E111">
        <v>159.14054037178801</v>
      </c>
      <c r="F111"/>
      <c r="G111" s="5"/>
      <c r="L111"/>
      <c r="Q111" s="21"/>
      <c r="R111" s="21"/>
    </row>
    <row r="112" spans="1:18" ht="17.25" x14ac:dyDescent="0.25">
      <c r="A112" s="21">
        <f t="shared" si="2"/>
        <v>-0.13713980882235111</v>
      </c>
      <c r="B112" t="s">
        <v>45</v>
      </c>
      <c r="C112" s="21" t="str">
        <f t="shared" si="3"/>
        <v>A</v>
      </c>
      <c r="D112">
        <v>253.5</v>
      </c>
      <c r="E112">
        <v>218.73505846353399</v>
      </c>
      <c r="F112"/>
      <c r="G112" s="5"/>
      <c r="L112"/>
      <c r="Q112" s="21"/>
      <c r="R112" s="21"/>
    </row>
    <row r="113" spans="1:18" ht="17.25" x14ac:dyDescent="0.25">
      <c r="A113" s="21">
        <f t="shared" si="2"/>
        <v>-0.24790760073496909</v>
      </c>
      <c r="B113" t="s">
        <v>45</v>
      </c>
      <c r="C113" s="21" t="str">
        <f t="shared" si="3"/>
        <v>B</v>
      </c>
      <c r="D113">
        <v>242.5</v>
      </c>
      <c r="E113">
        <v>182.38240682176999</v>
      </c>
      <c r="F113"/>
      <c r="G113" s="5"/>
      <c r="L113"/>
      <c r="Q113" s="21"/>
      <c r="R113" s="21"/>
    </row>
    <row r="114" spans="1:18" ht="17.25" x14ac:dyDescent="0.25">
      <c r="A114" s="21">
        <f t="shared" si="2"/>
        <v>-0.30404806621245117</v>
      </c>
      <c r="B114" t="s">
        <v>45</v>
      </c>
      <c r="C114" s="21" t="str">
        <f t="shared" si="3"/>
        <v>B</v>
      </c>
      <c r="D114">
        <v>266</v>
      </c>
      <c r="E114">
        <v>185.12321438748799</v>
      </c>
      <c r="F114"/>
      <c r="G114" s="5"/>
      <c r="L114"/>
      <c r="Q114" s="21"/>
      <c r="R114" s="21"/>
    </row>
    <row r="115" spans="1:18" ht="17.25" x14ac:dyDescent="0.25">
      <c r="A115" s="21">
        <f t="shared" si="2"/>
        <v>-0.33569836851093493</v>
      </c>
      <c r="B115" t="s">
        <v>45</v>
      </c>
      <c r="C115" s="21" t="str">
        <f t="shared" si="3"/>
        <v>B</v>
      </c>
      <c r="D115">
        <v>215</v>
      </c>
      <c r="E115">
        <v>142.824850770149</v>
      </c>
      <c r="F115"/>
      <c r="G115" s="5"/>
      <c r="L115"/>
      <c r="Q115" s="21"/>
      <c r="R115" s="21"/>
    </row>
    <row r="116" spans="1:18" ht="17.25" x14ac:dyDescent="0.25">
      <c r="A116" s="21">
        <f t="shared" si="2"/>
        <v>0.24865562179409317</v>
      </c>
      <c r="B116" t="s">
        <v>45</v>
      </c>
      <c r="C116" s="21" t="str">
        <f t="shared" si="3"/>
        <v>B</v>
      </c>
      <c r="D116">
        <v>139.5</v>
      </c>
      <c r="E116">
        <v>174.18745924027601</v>
      </c>
      <c r="F116"/>
      <c r="G116" s="5"/>
      <c r="L116"/>
      <c r="Q116" s="21"/>
      <c r="R116" s="21"/>
    </row>
    <row r="117" spans="1:18" ht="17.25" x14ac:dyDescent="0.25">
      <c r="A117" s="21">
        <f t="shared" si="2"/>
        <v>5.4713526881946528E-2</v>
      </c>
      <c r="B117" t="s">
        <v>47</v>
      </c>
      <c r="C117" s="21" t="str">
        <f t="shared" si="3"/>
        <v>A</v>
      </c>
      <c r="D117">
        <v>187</v>
      </c>
      <c r="E117">
        <v>197.23142952692399</v>
      </c>
      <c r="F117"/>
      <c r="G117" s="5"/>
      <c r="L117"/>
      <c r="Q117" s="21"/>
      <c r="R117" s="21"/>
    </row>
    <row r="118" spans="1:18" ht="17.25" x14ac:dyDescent="0.25">
      <c r="A118" s="21">
        <f t="shared" si="2"/>
        <v>-4.8352516774846976E-2</v>
      </c>
      <c r="B118" t="s">
        <v>47</v>
      </c>
      <c r="C118" s="21" t="str">
        <f t="shared" si="3"/>
        <v>A</v>
      </c>
      <c r="D118">
        <v>281</v>
      </c>
      <c r="E118">
        <v>267.41294278626799</v>
      </c>
      <c r="F118"/>
      <c r="G118" s="5"/>
      <c r="L118"/>
      <c r="Q118" s="21"/>
      <c r="R118" s="21"/>
    </row>
    <row r="119" spans="1:18" ht="17.25" x14ac:dyDescent="0.25">
      <c r="A119" s="21">
        <f t="shared" si="2"/>
        <v>-0.25092331000075485</v>
      </c>
      <c r="B119" t="s">
        <v>47</v>
      </c>
      <c r="C119" s="21" t="str">
        <f t="shared" si="3"/>
        <v>B</v>
      </c>
      <c r="D119">
        <v>306</v>
      </c>
      <c r="E119">
        <v>229.21746713976901</v>
      </c>
      <c r="F119"/>
      <c r="G119" s="5"/>
      <c r="L119"/>
      <c r="Q119" s="21"/>
      <c r="R119" s="21"/>
    </row>
    <row r="120" spans="1:18" ht="17.25" x14ac:dyDescent="0.25">
      <c r="A120" s="21">
        <f t="shared" si="2"/>
        <v>-0.12657440595697678</v>
      </c>
      <c r="B120" t="s">
        <v>47</v>
      </c>
      <c r="C120" s="21" t="str">
        <f t="shared" si="3"/>
        <v>A</v>
      </c>
      <c r="D120">
        <v>258</v>
      </c>
      <c r="E120">
        <v>225.3438032631</v>
      </c>
      <c r="F120"/>
      <c r="G120" s="5"/>
      <c r="L120"/>
      <c r="Q120" s="21"/>
      <c r="R120" s="21"/>
    </row>
    <row r="121" spans="1:18" ht="17.25" x14ac:dyDescent="0.25">
      <c r="A121" s="21">
        <f t="shared" si="2"/>
        <v>-0.14850158668294333</v>
      </c>
      <c r="B121" t="s">
        <v>47</v>
      </c>
      <c r="C121" s="21" t="str">
        <f t="shared" si="3"/>
        <v>A</v>
      </c>
      <c r="D121">
        <v>212</v>
      </c>
      <c r="E121">
        <v>180.51766362321601</v>
      </c>
      <c r="F121"/>
      <c r="G121" s="5"/>
      <c r="L121"/>
      <c r="Q121" s="21"/>
      <c r="R121" s="21"/>
    </row>
    <row r="122" spans="1:18" ht="17.25" x14ac:dyDescent="0.25">
      <c r="A122" s="21">
        <f t="shared" si="2"/>
        <v>3.1365818798334555E-3</v>
      </c>
      <c r="B122" t="s">
        <v>47</v>
      </c>
      <c r="C122" s="21" t="str">
        <f t="shared" si="3"/>
        <v>A</v>
      </c>
      <c r="D122">
        <v>186</v>
      </c>
      <c r="E122">
        <v>186.58340422964901</v>
      </c>
      <c r="F122"/>
      <c r="G122" s="5"/>
      <c r="L122"/>
      <c r="Q122" s="21"/>
      <c r="R122" s="21"/>
    </row>
    <row r="123" spans="1:18" ht="17.25" x14ac:dyDescent="0.25">
      <c r="A123" s="21">
        <f t="shared" si="2"/>
        <v>0.38208650661646071</v>
      </c>
      <c r="B123" t="s">
        <v>71</v>
      </c>
      <c r="C123" s="21" t="str">
        <f t="shared" si="3"/>
        <v>B</v>
      </c>
      <c r="D123">
        <v>76</v>
      </c>
      <c r="E123">
        <v>105.03857450285101</v>
      </c>
      <c r="F123"/>
      <c r="G123" s="5"/>
      <c r="L123"/>
      <c r="Q123" s="21"/>
      <c r="R123" s="21"/>
    </row>
    <row r="124" spans="1:18" ht="17.25" x14ac:dyDescent="0.25">
      <c r="A124" s="21">
        <f t="shared" si="2"/>
        <v>-0.1190433032073549</v>
      </c>
      <c r="B124" t="s">
        <v>71</v>
      </c>
      <c r="C124" s="21" t="str">
        <f t="shared" si="3"/>
        <v>A</v>
      </c>
      <c r="D124">
        <v>113</v>
      </c>
      <c r="E124">
        <v>99.548106737568901</v>
      </c>
      <c r="F124"/>
      <c r="G124" s="5"/>
      <c r="L124"/>
      <c r="Q124" s="21"/>
      <c r="R124" s="21"/>
    </row>
    <row r="125" spans="1:18" ht="17.25" x14ac:dyDescent="0.25">
      <c r="A125" s="21">
        <f t="shared" si="2"/>
        <v>5.5636485972674565E-2</v>
      </c>
      <c r="B125" t="s">
        <v>71</v>
      </c>
      <c r="C125" s="21" t="str">
        <f t="shared" si="3"/>
        <v>A</v>
      </c>
      <c r="D125">
        <v>87</v>
      </c>
      <c r="E125">
        <v>91.840374279622694</v>
      </c>
      <c r="F125"/>
      <c r="G125" s="5"/>
      <c r="L125"/>
      <c r="Q125" s="21"/>
      <c r="R125" s="21"/>
    </row>
    <row r="126" spans="1:18" ht="17.25" x14ac:dyDescent="0.25">
      <c r="A126" s="21">
        <f t="shared" si="2"/>
        <v>3.5899536726888837E-2</v>
      </c>
      <c r="B126" t="s">
        <v>71</v>
      </c>
      <c r="C126" s="21" t="str">
        <f t="shared" si="3"/>
        <v>A</v>
      </c>
      <c r="D126">
        <v>81</v>
      </c>
      <c r="E126">
        <v>83.907862474878002</v>
      </c>
      <c r="F126"/>
      <c r="G126" s="5"/>
      <c r="M126"/>
      <c r="Q126" s="21"/>
      <c r="R126" s="21"/>
    </row>
    <row r="127" spans="1:18" x14ac:dyDescent="0.25">
      <c r="A127" s="21">
        <f t="shared" si="2"/>
        <v>-1.8825581387381773E-2</v>
      </c>
      <c r="B127" t="s">
        <v>71</v>
      </c>
      <c r="C127" s="21" t="str">
        <f t="shared" si="3"/>
        <v>A</v>
      </c>
      <c r="D127">
        <v>110</v>
      </c>
      <c r="E127">
        <v>107.929186047388</v>
      </c>
      <c r="F127"/>
      <c r="M127"/>
      <c r="Q127" s="21"/>
      <c r="R127" s="21"/>
    </row>
    <row r="128" spans="1:18" x14ac:dyDescent="0.25">
      <c r="A128" s="21">
        <f t="shared" si="2"/>
        <v>-0.10464844067395673</v>
      </c>
      <c r="B128" t="s">
        <v>71</v>
      </c>
      <c r="C128" s="21" t="str">
        <f t="shared" si="3"/>
        <v>A</v>
      </c>
      <c r="D128">
        <v>111</v>
      </c>
      <c r="E128">
        <v>99.384023085190805</v>
      </c>
      <c r="F128"/>
      <c r="M128"/>
      <c r="Q128" s="21"/>
      <c r="R128" s="21"/>
    </row>
    <row r="129" spans="1:18" x14ac:dyDescent="0.25">
      <c r="A129" s="21">
        <f t="shared" si="2"/>
        <v>9.3625860937505356E-2</v>
      </c>
      <c r="B129" t="s">
        <v>71</v>
      </c>
      <c r="C129" s="21" t="str">
        <f t="shared" si="3"/>
        <v>A</v>
      </c>
      <c r="D129">
        <v>93</v>
      </c>
      <c r="E129">
        <v>101.707205067188</v>
      </c>
      <c r="F129"/>
      <c r="M129"/>
      <c r="Q129" s="21"/>
      <c r="R129" s="21"/>
    </row>
    <row r="130" spans="1:18" x14ac:dyDescent="0.25">
      <c r="A130" s="21">
        <f t="shared" si="2"/>
        <v>3.6682928029180939E-2</v>
      </c>
      <c r="B130" t="s">
        <v>47</v>
      </c>
      <c r="C130" s="21" t="str">
        <f t="shared" si="3"/>
        <v>A</v>
      </c>
      <c r="D130">
        <v>221</v>
      </c>
      <c r="E130">
        <v>229.10692709444899</v>
      </c>
      <c r="F130"/>
      <c r="M130"/>
      <c r="Q130" s="21"/>
      <c r="R130" s="21"/>
    </row>
    <row r="131" spans="1:18" x14ac:dyDescent="0.25">
      <c r="A131" s="21">
        <f t="shared" si="2"/>
        <v>-0.17234426135220648</v>
      </c>
      <c r="B131" t="s">
        <v>47</v>
      </c>
      <c r="C131" s="21" t="str">
        <f t="shared" si="3"/>
        <v>A</v>
      </c>
      <c r="D131">
        <v>281</v>
      </c>
      <c r="E131">
        <v>232.57126256002999</v>
      </c>
      <c r="F131"/>
      <c r="M131"/>
      <c r="Q131" s="21"/>
      <c r="R131" s="21"/>
    </row>
    <row r="132" spans="1:18" x14ac:dyDescent="0.25">
      <c r="A132" s="21">
        <f t="shared" si="2"/>
        <v>-0.27543181528560279</v>
      </c>
      <c r="B132" t="s">
        <v>47</v>
      </c>
      <c r="C132" s="21" t="str">
        <f t="shared" si="3"/>
        <v>B</v>
      </c>
      <c r="D132">
        <v>287</v>
      </c>
      <c r="E132">
        <v>207.951069013032</v>
      </c>
      <c r="F132"/>
      <c r="M132"/>
      <c r="Q132" s="21"/>
      <c r="R132" s="21"/>
    </row>
    <row r="133" spans="1:18" x14ac:dyDescent="0.25">
      <c r="A133" s="21">
        <f t="shared" si="2"/>
        <v>-0.22341481770828076</v>
      </c>
      <c r="B133" t="s">
        <v>47</v>
      </c>
      <c r="C133" s="21" t="str">
        <f t="shared" si="3"/>
        <v>B</v>
      </c>
      <c r="D133">
        <v>260</v>
      </c>
      <c r="E133">
        <v>201.912147395847</v>
      </c>
      <c r="F133"/>
      <c r="M133"/>
      <c r="Q133" s="21"/>
      <c r="R133" s="21"/>
    </row>
    <row r="134" spans="1:18" x14ac:dyDescent="0.25">
      <c r="A134" s="21">
        <f t="shared" si="2"/>
        <v>-0.17552148964007985</v>
      </c>
      <c r="B134" t="s">
        <v>47</v>
      </c>
      <c r="C134" s="21" t="str">
        <f t="shared" si="3"/>
        <v>A</v>
      </c>
      <c r="D134">
        <v>263</v>
      </c>
      <c r="E134">
        <v>216.83784822465901</v>
      </c>
      <c r="F134"/>
      <c r="N134"/>
      <c r="Q134" s="21"/>
      <c r="R134" s="21"/>
    </row>
    <row r="135" spans="1:18" x14ac:dyDescent="0.25">
      <c r="A135" s="21">
        <f t="shared" si="2"/>
        <v>-0.25746690553469342</v>
      </c>
      <c r="B135" t="s">
        <v>47</v>
      </c>
      <c r="C135" s="21" t="str">
        <f t="shared" si="3"/>
        <v>B</v>
      </c>
      <c r="D135">
        <v>323</v>
      </c>
      <c r="E135">
        <v>239.83818951229401</v>
      </c>
      <c r="F135"/>
      <c r="N135"/>
      <c r="Q135" s="21"/>
      <c r="R135" s="21"/>
    </row>
    <row r="136" spans="1:18" x14ac:dyDescent="0.25">
      <c r="A136" s="21">
        <f t="shared" si="2"/>
        <v>-0.27728954844966003</v>
      </c>
      <c r="B136" t="s">
        <v>72</v>
      </c>
      <c r="C136" s="21" t="str">
        <f t="shared" si="3"/>
        <v>B</v>
      </c>
      <c r="D136">
        <v>150</v>
      </c>
      <c r="E136">
        <v>108.406567732551</v>
      </c>
      <c r="F136"/>
      <c r="N136"/>
      <c r="Q136" s="21"/>
      <c r="R136" s="21"/>
    </row>
    <row r="137" spans="1:18" x14ac:dyDescent="0.25">
      <c r="A137" s="21">
        <f t="shared" si="2"/>
        <v>0.12670111981464127</v>
      </c>
      <c r="B137" t="s">
        <v>72</v>
      </c>
      <c r="C137" s="21" t="str">
        <f t="shared" si="3"/>
        <v>A</v>
      </c>
      <c r="D137">
        <v>131</v>
      </c>
      <c r="E137">
        <v>147.597846695718</v>
      </c>
      <c r="F137"/>
      <c r="N137"/>
      <c r="Q137" s="21"/>
      <c r="R137" s="21"/>
    </row>
    <row r="138" spans="1:18" x14ac:dyDescent="0.25">
      <c r="A138" s="21">
        <f t="shared" si="2"/>
        <v>-4.0966645834776383E-2</v>
      </c>
      <c r="B138" t="s">
        <v>72</v>
      </c>
      <c r="C138" s="21" t="str">
        <f t="shared" si="3"/>
        <v>A</v>
      </c>
      <c r="D138">
        <v>152</v>
      </c>
      <c r="E138">
        <v>145.77306983311399</v>
      </c>
      <c r="F138"/>
      <c r="N138"/>
      <c r="Q138" s="21"/>
      <c r="R138" s="21"/>
    </row>
    <row r="139" spans="1:18" x14ac:dyDescent="0.25">
      <c r="A139" s="21">
        <f t="shared" si="2"/>
        <v>-4.4577161830615331E-2</v>
      </c>
      <c r="B139" t="s">
        <v>72</v>
      </c>
      <c r="C139" s="21" t="str">
        <f t="shared" si="3"/>
        <v>A</v>
      </c>
      <c r="D139">
        <v>156</v>
      </c>
      <c r="E139">
        <v>149.04596275442401</v>
      </c>
      <c r="F139"/>
      <c r="N139"/>
      <c r="Q139" s="21"/>
      <c r="R139" s="21"/>
    </row>
    <row r="140" spans="1:18" x14ac:dyDescent="0.25">
      <c r="A140" s="21">
        <f t="shared" si="2"/>
        <v>0.1823480458757849</v>
      </c>
      <c r="B140" t="s">
        <v>72</v>
      </c>
      <c r="C140" s="21" t="str">
        <f t="shared" si="3"/>
        <v>A</v>
      </c>
      <c r="D140">
        <v>93</v>
      </c>
      <c r="E140">
        <v>109.95836826644801</v>
      </c>
      <c r="F140"/>
      <c r="N140"/>
      <c r="Q140" s="21"/>
      <c r="R140" s="21"/>
    </row>
    <row r="141" spans="1:18" x14ac:dyDescent="0.25">
      <c r="A141" s="21">
        <f t="shared" si="2"/>
        <v>-0.26711389547622577</v>
      </c>
      <c r="B141" t="s">
        <v>72</v>
      </c>
      <c r="C141" s="21" t="str">
        <f t="shared" si="3"/>
        <v>B</v>
      </c>
      <c r="D141">
        <v>155</v>
      </c>
      <c r="E141">
        <v>113.597346201185</v>
      </c>
      <c r="F141"/>
      <c r="N141"/>
      <c r="Q141" s="21"/>
      <c r="R141" s="21"/>
    </row>
    <row r="142" spans="1:18" x14ac:dyDescent="0.25">
      <c r="A142" s="21">
        <f t="shared" si="2"/>
        <v>-0.24187134393249665</v>
      </c>
      <c r="B142" t="s">
        <v>72</v>
      </c>
      <c r="C142" s="21" t="str">
        <f t="shared" si="3"/>
        <v>B</v>
      </c>
      <c r="D142">
        <v>147</v>
      </c>
      <c r="E142">
        <v>111.44491244192299</v>
      </c>
      <c r="F142"/>
      <c r="O142"/>
      <c r="Q142" s="21"/>
      <c r="R142" s="21"/>
    </row>
    <row r="143" spans="1:18" x14ac:dyDescent="0.25">
      <c r="A143" s="21">
        <f t="shared" si="2"/>
        <v>-6.7412228416624975E-2</v>
      </c>
      <c r="B143" t="s">
        <v>72</v>
      </c>
      <c r="C143" s="21" t="str">
        <f t="shared" si="3"/>
        <v>A</v>
      </c>
      <c r="D143">
        <v>112</v>
      </c>
      <c r="E143">
        <v>104.44983041733801</v>
      </c>
      <c r="F143"/>
      <c r="O143"/>
      <c r="Q143" s="21"/>
      <c r="R143" s="21"/>
    </row>
    <row r="144" spans="1:18" x14ac:dyDescent="0.25">
      <c r="A144" s="21">
        <f t="shared" si="2"/>
        <v>6.180858855742577E-2</v>
      </c>
      <c r="B144" t="s">
        <v>46</v>
      </c>
      <c r="C144" s="21" t="str">
        <f t="shared" si="3"/>
        <v>A</v>
      </c>
      <c r="D144">
        <v>101</v>
      </c>
      <c r="E144">
        <v>107.2426674443</v>
      </c>
      <c r="F144"/>
      <c r="O144"/>
      <c r="Q144" s="21"/>
      <c r="R144" s="21"/>
    </row>
    <row r="145" spans="1:18" x14ac:dyDescent="0.25">
      <c r="A145" s="21">
        <f t="shared" si="2"/>
        <v>-0.29894217645492793</v>
      </c>
      <c r="B145" t="s">
        <v>46</v>
      </c>
      <c r="C145" s="21" t="str">
        <f t="shared" si="3"/>
        <v>B</v>
      </c>
      <c r="D145">
        <v>173.5</v>
      </c>
      <c r="E145">
        <v>121.63353238507</v>
      </c>
      <c r="F145"/>
      <c r="O145"/>
      <c r="Q145" s="21"/>
      <c r="R145" s="21"/>
    </row>
    <row r="146" spans="1:18" x14ac:dyDescent="0.25">
      <c r="A146" s="21">
        <f t="shared" si="2"/>
        <v>-0.12788236346826232</v>
      </c>
      <c r="B146" t="s">
        <v>46</v>
      </c>
      <c r="C146" s="21" t="str">
        <f t="shared" si="3"/>
        <v>A</v>
      </c>
      <c r="D146">
        <v>141</v>
      </c>
      <c r="E146">
        <v>122.96858675097501</v>
      </c>
      <c r="F146"/>
      <c r="O146"/>
      <c r="Q146" s="21"/>
      <c r="R146" s="21"/>
    </row>
    <row r="147" spans="1:18" x14ac:dyDescent="0.25">
      <c r="A147" s="21">
        <f t="shared" si="2"/>
        <v>-0.24643844934072612</v>
      </c>
      <c r="B147" t="s">
        <v>46</v>
      </c>
      <c r="C147" s="21" t="str">
        <f t="shared" si="3"/>
        <v>B</v>
      </c>
      <c r="D147">
        <v>157</v>
      </c>
      <c r="E147">
        <v>118.309163453506</v>
      </c>
      <c r="F147"/>
      <c r="O147"/>
      <c r="Q147" s="21"/>
      <c r="R147" s="21"/>
    </row>
    <row r="148" spans="1:18" x14ac:dyDescent="0.25">
      <c r="A148" s="21">
        <f t="shared" si="2"/>
        <v>0.12587574440515015</v>
      </c>
      <c r="B148" t="s">
        <v>46</v>
      </c>
      <c r="C148" s="21" t="str">
        <f t="shared" si="3"/>
        <v>A</v>
      </c>
      <c r="D148">
        <v>138.25</v>
      </c>
      <c r="E148">
        <v>155.65232166401199</v>
      </c>
      <c r="F148"/>
      <c r="O148"/>
      <c r="Q148" s="21"/>
      <c r="R148" s="21"/>
    </row>
    <row r="149" spans="1:18" x14ac:dyDescent="0.25">
      <c r="A149" s="21">
        <f t="shared" si="2"/>
        <v>0.251237711025045</v>
      </c>
      <c r="B149" t="s">
        <v>46</v>
      </c>
      <c r="C149" s="21" t="str">
        <f t="shared" si="3"/>
        <v>B</v>
      </c>
      <c r="D149">
        <v>111</v>
      </c>
      <c r="E149">
        <v>138.88738592377999</v>
      </c>
      <c r="F149"/>
      <c r="O149"/>
      <c r="Q149" s="21"/>
      <c r="R149" s="21"/>
    </row>
    <row r="150" spans="1:18" x14ac:dyDescent="0.25">
      <c r="A150" s="21">
        <f t="shared" si="2"/>
        <v>-5.0980881502720732E-2</v>
      </c>
      <c r="B150" t="s">
        <v>46</v>
      </c>
      <c r="C150" s="21" t="str">
        <f t="shared" si="3"/>
        <v>A</v>
      </c>
      <c r="D150">
        <v>111</v>
      </c>
      <c r="E150">
        <v>105.341122153198</v>
      </c>
      <c r="F150"/>
      <c r="O150"/>
      <c r="Q150" s="21"/>
      <c r="R150" s="21"/>
    </row>
    <row r="151" spans="1:18" x14ac:dyDescent="0.25">
      <c r="A151" s="21">
        <f t="shared" si="2"/>
        <v>0.10347251742562102</v>
      </c>
      <c r="B151" t="s">
        <v>46</v>
      </c>
      <c r="C151" s="21" t="str">
        <f t="shared" si="3"/>
        <v>A</v>
      </c>
      <c r="D151">
        <v>95</v>
      </c>
      <c r="E151">
        <v>104.829889155434</v>
      </c>
      <c r="F151"/>
      <c r="O151"/>
      <c r="Q151" s="21"/>
      <c r="R151" s="21"/>
    </row>
    <row r="152" spans="1:18" x14ac:dyDescent="0.25">
      <c r="A152" s="21">
        <f t="shared" si="2"/>
        <v>-0.29374853647029386</v>
      </c>
      <c r="B152" t="s">
        <v>46</v>
      </c>
      <c r="C152" s="21" t="str">
        <f t="shared" si="3"/>
        <v>B</v>
      </c>
      <c r="D152">
        <v>156.5</v>
      </c>
      <c r="E152">
        <v>110.528354042399</v>
      </c>
      <c r="F152"/>
      <c r="Q152" s="21"/>
      <c r="R152" s="21"/>
    </row>
    <row r="153" spans="1:18" x14ac:dyDescent="0.25">
      <c r="A153" s="21">
        <f t="shared" si="2"/>
        <v>2.4383138969017226E-2</v>
      </c>
      <c r="B153" t="s">
        <v>46</v>
      </c>
      <c r="C153" s="21" t="str">
        <f t="shared" si="3"/>
        <v>A</v>
      </c>
      <c r="D153">
        <v>116</v>
      </c>
      <c r="E153">
        <v>118.828444120406</v>
      </c>
      <c r="F153"/>
      <c r="Q153" s="21"/>
      <c r="R153" s="21"/>
    </row>
    <row r="154" spans="1:18" x14ac:dyDescent="0.25">
      <c r="A154" s="21">
        <f t="shared" si="2"/>
        <v>-8.5784868767818212E-2</v>
      </c>
      <c r="B154" t="s">
        <v>46</v>
      </c>
      <c r="C154" s="21" t="str">
        <f t="shared" si="3"/>
        <v>A</v>
      </c>
      <c r="D154">
        <v>121</v>
      </c>
      <c r="E154">
        <v>110.620030879094</v>
      </c>
      <c r="F154"/>
      <c r="Q154" s="21"/>
      <c r="R154" s="21"/>
    </row>
    <row r="155" spans="1:18" x14ac:dyDescent="0.25">
      <c r="A155" s="21">
        <f t="shared" si="2"/>
        <v>-5.8003804445760365E-2</v>
      </c>
      <c r="B155" t="s">
        <v>73</v>
      </c>
      <c r="C155" s="21" t="str">
        <f t="shared" si="3"/>
        <v>A</v>
      </c>
      <c r="D155">
        <v>108.5</v>
      </c>
      <c r="E155">
        <v>102.206587217635</v>
      </c>
      <c r="F155"/>
      <c r="Q155" s="21"/>
      <c r="R155" s="21"/>
    </row>
    <row r="156" spans="1:18" x14ac:dyDescent="0.25">
      <c r="A156" s="21">
        <f t="shared" si="2"/>
        <v>-0.46922359686756265</v>
      </c>
      <c r="B156" t="s">
        <v>73</v>
      </c>
      <c r="C156" s="21" t="str">
        <f t="shared" si="3"/>
        <v>B</v>
      </c>
      <c r="D156">
        <v>203.5</v>
      </c>
      <c r="E156">
        <v>108.012998037451</v>
      </c>
      <c r="F156"/>
      <c r="Q156" s="21"/>
      <c r="R156" s="21"/>
    </row>
    <row r="157" spans="1:18" x14ac:dyDescent="0.25">
      <c r="A157" s="21">
        <f t="shared" si="2"/>
        <v>-0.45117668560578861</v>
      </c>
      <c r="B157" t="s">
        <v>73</v>
      </c>
      <c r="C157" s="21" t="str">
        <f t="shared" si="3"/>
        <v>B</v>
      </c>
      <c r="D157">
        <v>159</v>
      </c>
      <c r="E157">
        <v>87.262906988679603</v>
      </c>
      <c r="F157"/>
      <c r="Q157" s="21"/>
      <c r="R157" s="21"/>
    </row>
    <row r="158" spans="1:18" x14ac:dyDescent="0.25">
      <c r="A158" s="21">
        <f t="shared" si="2"/>
        <v>-0.1873124368511242</v>
      </c>
      <c r="B158" t="s">
        <v>73</v>
      </c>
      <c r="C158" s="21" t="str">
        <f t="shared" si="3"/>
        <v>A</v>
      </c>
      <c r="D158">
        <v>91</v>
      </c>
      <c r="E158">
        <v>73.954568246547694</v>
      </c>
      <c r="F158"/>
      <c r="Q158" s="21"/>
      <c r="R158" s="21"/>
    </row>
    <row r="159" spans="1:18" x14ac:dyDescent="0.25">
      <c r="A159" s="21">
        <f t="shared" si="2"/>
        <v>8.5656052647278713E-2</v>
      </c>
      <c r="B159" t="s">
        <v>73</v>
      </c>
      <c r="C159" s="21" t="str">
        <f t="shared" si="3"/>
        <v>A</v>
      </c>
      <c r="D159">
        <v>87.5</v>
      </c>
      <c r="E159">
        <v>94.994904606636894</v>
      </c>
      <c r="F159"/>
      <c r="Q159" s="21"/>
      <c r="R159" s="21"/>
    </row>
    <row r="160" spans="1:18" x14ac:dyDescent="0.25">
      <c r="A160" s="21">
        <f t="shared" si="2"/>
        <v>-0.26501387849276481</v>
      </c>
      <c r="B160" t="s">
        <v>73</v>
      </c>
      <c r="C160" s="21" t="str">
        <f t="shared" si="3"/>
        <v>B</v>
      </c>
      <c r="D160">
        <v>131</v>
      </c>
      <c r="E160">
        <v>96.283181917447806</v>
      </c>
      <c r="F160"/>
      <c r="Q160" s="21"/>
      <c r="R160" s="21"/>
    </row>
    <row r="161" spans="1:18" x14ac:dyDescent="0.25">
      <c r="A161" s="21">
        <f t="shared" si="2"/>
        <v>-0.1388958539749362</v>
      </c>
      <c r="B161" t="s">
        <v>73</v>
      </c>
      <c r="C161" s="21" t="str">
        <f t="shared" si="3"/>
        <v>A</v>
      </c>
      <c r="D161">
        <v>117.5</v>
      </c>
      <c r="E161">
        <v>101.179737157945</v>
      </c>
      <c r="F161"/>
      <c r="Q161" s="21"/>
      <c r="R161" s="21"/>
    </row>
    <row r="162" spans="1:18" x14ac:dyDescent="0.25">
      <c r="A162" s="21">
        <f t="shared" si="2"/>
        <v>2.1736311504142902E-2</v>
      </c>
      <c r="B162" t="s">
        <v>73</v>
      </c>
      <c r="C162" s="21" t="str">
        <f t="shared" si="3"/>
        <v>A</v>
      </c>
      <c r="D162">
        <v>105</v>
      </c>
      <c r="E162">
        <v>107.28231270793501</v>
      </c>
      <c r="F162"/>
      <c r="Q162" s="21"/>
      <c r="R162" s="21"/>
    </row>
    <row r="163" spans="1:18" x14ac:dyDescent="0.25">
      <c r="A163" s="21">
        <f t="shared" si="2"/>
        <v>6.1792171035623067E-2</v>
      </c>
      <c r="B163" t="s">
        <v>73</v>
      </c>
      <c r="C163" s="21" t="str">
        <f t="shared" si="3"/>
        <v>A</v>
      </c>
      <c r="D163">
        <v>95.5</v>
      </c>
      <c r="E163">
        <v>101.401152333902</v>
      </c>
      <c r="F163"/>
      <c r="Q163" s="21"/>
      <c r="R163" s="21"/>
    </row>
    <row r="164" spans="1:18" x14ac:dyDescent="0.25">
      <c r="A164" s="21">
        <f t="shared" si="2"/>
        <v>-0.48874441845231054</v>
      </c>
      <c r="B164" t="s">
        <v>73</v>
      </c>
      <c r="C164" s="21" t="str">
        <f t="shared" si="3"/>
        <v>B</v>
      </c>
      <c r="D164">
        <v>219</v>
      </c>
      <c r="E164">
        <v>111.964972358944</v>
      </c>
      <c r="F164"/>
      <c r="Q164" s="21"/>
      <c r="R164" s="21"/>
    </row>
    <row r="165" spans="1:18" x14ac:dyDescent="0.25">
      <c r="A165" s="21">
        <f t="shared" si="2"/>
        <v>-0.42472244966163952</v>
      </c>
      <c r="B165" t="s">
        <v>73</v>
      </c>
      <c r="C165" s="21" t="str">
        <f t="shared" si="3"/>
        <v>B</v>
      </c>
      <c r="D165">
        <v>197</v>
      </c>
      <c r="E165">
        <v>113.32967741665701</v>
      </c>
      <c r="F165"/>
      <c r="Q165" s="21"/>
      <c r="R165" s="21"/>
    </row>
    <row r="166" spans="1:18" x14ac:dyDescent="0.25">
      <c r="A166" s="21">
        <f t="shared" si="2"/>
        <v>-0.2561774444461753</v>
      </c>
      <c r="B166" t="s">
        <v>73</v>
      </c>
      <c r="C166" s="21" t="str">
        <f t="shared" si="3"/>
        <v>B</v>
      </c>
      <c r="D166">
        <v>154</v>
      </c>
      <c r="E166">
        <v>114.548673555289</v>
      </c>
      <c r="F166"/>
      <c r="Q166" s="21"/>
      <c r="R166" s="21"/>
    </row>
    <row r="167" spans="1:18" x14ac:dyDescent="0.25">
      <c r="A167" s="21">
        <f t="shared" ref="A167:A230" si="4">E167/D167-1</f>
        <v>0.32177936857186218</v>
      </c>
      <c r="B167" t="s">
        <v>48</v>
      </c>
      <c r="C167" s="21" t="str">
        <f t="shared" ref="C167:C230" si="5">IF(OR(A167&gt;=20%,A167&lt;=-20%),"B","A")</f>
        <v>B</v>
      </c>
      <c r="D167">
        <v>87</v>
      </c>
      <c r="E167">
        <v>114.994805065752</v>
      </c>
      <c r="F167"/>
    </row>
    <row r="168" spans="1:18" x14ac:dyDescent="0.25">
      <c r="A168" s="21">
        <f t="shared" si="4"/>
        <v>-0.28006911211515484</v>
      </c>
      <c r="B168" t="s">
        <v>48</v>
      </c>
      <c r="C168" s="21" t="str">
        <f t="shared" si="5"/>
        <v>B</v>
      </c>
      <c r="D168">
        <v>155</v>
      </c>
      <c r="E168">
        <v>111.58928762215101</v>
      </c>
      <c r="F168"/>
    </row>
    <row r="169" spans="1:18" x14ac:dyDescent="0.25">
      <c r="A169" s="21">
        <f t="shared" si="4"/>
        <v>1.6612122422054565E-2</v>
      </c>
      <c r="B169" t="s">
        <v>48</v>
      </c>
      <c r="C169" s="21" t="str">
        <f t="shared" si="5"/>
        <v>A</v>
      </c>
      <c r="D169">
        <v>110</v>
      </c>
      <c r="E169">
        <v>111.827333466426</v>
      </c>
      <c r="F169"/>
    </row>
    <row r="170" spans="1:18" x14ac:dyDescent="0.25">
      <c r="A170" s="21">
        <f t="shared" si="4"/>
        <v>0.2705920754383333</v>
      </c>
      <c r="B170" t="s">
        <v>48</v>
      </c>
      <c r="C170" s="21" t="str">
        <f t="shared" si="5"/>
        <v>B</v>
      </c>
      <c r="D170">
        <v>87</v>
      </c>
      <c r="E170">
        <v>110.54151056313501</v>
      </c>
    </row>
    <row r="171" spans="1:18" x14ac:dyDescent="0.25">
      <c r="A171" s="21">
        <f t="shared" si="4"/>
        <v>1.7266085853827162E-2</v>
      </c>
      <c r="B171" t="s">
        <v>48</v>
      </c>
      <c r="C171" s="21" t="str">
        <f t="shared" si="5"/>
        <v>A</v>
      </c>
      <c r="D171">
        <v>110</v>
      </c>
      <c r="E171">
        <v>111.899269443921</v>
      </c>
      <c r="F171"/>
    </row>
    <row r="172" spans="1:18" x14ac:dyDescent="0.25">
      <c r="A172" s="21">
        <f t="shared" si="4"/>
        <v>8.7242743375000043E-2</v>
      </c>
      <c r="B172" t="s">
        <v>48</v>
      </c>
      <c r="C172" s="21" t="str">
        <f t="shared" si="5"/>
        <v>A</v>
      </c>
      <c r="D172">
        <v>104</v>
      </c>
      <c r="E172">
        <v>113.07324531099999</v>
      </c>
      <c r="F172"/>
    </row>
    <row r="173" spans="1:18" x14ac:dyDescent="0.25">
      <c r="A173" s="21">
        <f t="shared" si="4"/>
        <v>1.131698615953991E-2</v>
      </c>
      <c r="B173" t="s">
        <v>49</v>
      </c>
      <c r="C173" s="21" t="str">
        <f t="shared" si="5"/>
        <v>A</v>
      </c>
      <c r="D173">
        <v>113</v>
      </c>
      <c r="E173">
        <v>114.278819436028</v>
      </c>
      <c r="F173"/>
    </row>
    <row r="174" spans="1:18" x14ac:dyDescent="0.25">
      <c r="A174" s="21">
        <f t="shared" si="4"/>
        <v>-0.19794798121925583</v>
      </c>
      <c r="B174" t="s">
        <v>49</v>
      </c>
      <c r="C174" s="21" t="str">
        <f t="shared" si="5"/>
        <v>A</v>
      </c>
      <c r="D174">
        <v>120</v>
      </c>
      <c r="E174">
        <v>96.246242253689303</v>
      </c>
      <c r="F174"/>
    </row>
    <row r="175" spans="1:18" x14ac:dyDescent="0.25">
      <c r="A175" s="21">
        <f t="shared" si="4"/>
        <v>-0.14441757255334065</v>
      </c>
      <c r="B175" t="s">
        <v>49</v>
      </c>
      <c r="C175" s="21" t="str">
        <f t="shared" si="5"/>
        <v>A</v>
      </c>
      <c r="D175">
        <v>96</v>
      </c>
      <c r="E175">
        <v>82.135913034879295</v>
      </c>
      <c r="F175"/>
    </row>
    <row r="176" spans="1:18" x14ac:dyDescent="0.25">
      <c r="A176" s="21">
        <f t="shared" si="4"/>
        <v>-0.17284393669808451</v>
      </c>
      <c r="B176" t="s">
        <v>49</v>
      </c>
      <c r="C176" s="21" t="str">
        <f t="shared" si="5"/>
        <v>A</v>
      </c>
      <c r="D176">
        <v>84</v>
      </c>
      <c r="E176">
        <v>69.481109317360904</v>
      </c>
      <c r="F176"/>
    </row>
    <row r="177" spans="1:6" x14ac:dyDescent="0.25">
      <c r="A177" s="21">
        <f t="shared" si="4"/>
        <v>-4.1454675904906479E-2</v>
      </c>
      <c r="B177" t="s">
        <v>49</v>
      </c>
      <c r="C177" s="21" t="str">
        <f t="shared" si="5"/>
        <v>A</v>
      </c>
      <c r="D177">
        <v>107</v>
      </c>
      <c r="E177">
        <v>102.56434967817501</v>
      </c>
      <c r="F177"/>
    </row>
    <row r="178" spans="1:6" x14ac:dyDescent="0.25">
      <c r="A178" s="21">
        <f t="shared" si="4"/>
        <v>-4.1262321897571397E-2</v>
      </c>
      <c r="B178" t="s">
        <v>49</v>
      </c>
      <c r="C178" s="21" t="str">
        <f t="shared" si="5"/>
        <v>A</v>
      </c>
      <c r="D178">
        <v>105</v>
      </c>
      <c r="E178">
        <v>100.667456200755</v>
      </c>
      <c r="F178"/>
    </row>
    <row r="179" spans="1:6" x14ac:dyDescent="0.25">
      <c r="A179" s="21">
        <f t="shared" si="4"/>
        <v>-0.10673198925615013</v>
      </c>
      <c r="B179" t="s">
        <v>49</v>
      </c>
      <c r="C179" s="21" t="str">
        <f t="shared" si="5"/>
        <v>A</v>
      </c>
      <c r="D179">
        <v>82</v>
      </c>
      <c r="E179">
        <v>73.247976880995694</v>
      </c>
      <c r="F179"/>
    </row>
    <row r="180" spans="1:6" x14ac:dyDescent="0.25">
      <c r="A180" s="21">
        <f t="shared" si="4"/>
        <v>-0.37286257127905598</v>
      </c>
      <c r="B180" t="s">
        <v>49</v>
      </c>
      <c r="C180" s="21" t="str">
        <f t="shared" si="5"/>
        <v>B</v>
      </c>
      <c r="D180">
        <v>150</v>
      </c>
      <c r="E180">
        <v>94.0706143081416</v>
      </c>
      <c r="F180"/>
    </row>
    <row r="181" spans="1:6" x14ac:dyDescent="0.25">
      <c r="A181" s="21">
        <f t="shared" si="4"/>
        <v>-0.19214029123489684</v>
      </c>
      <c r="B181" t="s">
        <v>49</v>
      </c>
      <c r="C181" s="21" t="str">
        <f t="shared" si="5"/>
        <v>A</v>
      </c>
      <c r="D181">
        <v>126</v>
      </c>
      <c r="E181">
        <v>101.790323304403</v>
      </c>
      <c r="F181"/>
    </row>
    <row r="182" spans="1:6" x14ac:dyDescent="0.25">
      <c r="A182" s="21">
        <f t="shared" si="4"/>
        <v>1.104129731208614E-2</v>
      </c>
      <c r="B182" t="s">
        <v>49</v>
      </c>
      <c r="C182" s="21" t="str">
        <f t="shared" si="5"/>
        <v>A</v>
      </c>
      <c r="D182">
        <v>94</v>
      </c>
      <c r="E182">
        <v>95.037881947336103</v>
      </c>
      <c r="F182"/>
    </row>
    <row r="183" spans="1:6" x14ac:dyDescent="0.25">
      <c r="A183" s="21">
        <f t="shared" si="4"/>
        <v>-9.7110602691287129E-2</v>
      </c>
      <c r="B183" t="s">
        <v>49</v>
      </c>
      <c r="C183" s="21" t="str">
        <f t="shared" si="5"/>
        <v>A</v>
      </c>
      <c r="D183">
        <v>86</v>
      </c>
      <c r="E183">
        <v>77.648488168549306</v>
      </c>
      <c r="F183"/>
    </row>
    <row r="184" spans="1:6" x14ac:dyDescent="0.25">
      <c r="A184" s="21">
        <f t="shared" si="4"/>
        <v>-0.27896581001750154</v>
      </c>
      <c r="B184" t="s">
        <v>49</v>
      </c>
      <c r="C184" s="21" t="str">
        <f t="shared" si="5"/>
        <v>B</v>
      </c>
      <c r="D184">
        <v>137</v>
      </c>
      <c r="E184">
        <v>98.781684027602296</v>
      </c>
      <c r="F184"/>
    </row>
    <row r="185" spans="1:6" x14ac:dyDescent="0.25">
      <c r="A185" s="21">
        <f t="shared" si="4"/>
        <v>-0.11198294200417402</v>
      </c>
      <c r="B185" t="s">
        <v>49</v>
      </c>
      <c r="C185" s="21" t="str">
        <f t="shared" si="5"/>
        <v>A</v>
      </c>
      <c r="D185">
        <v>108</v>
      </c>
      <c r="E185">
        <v>95.905842263549204</v>
      </c>
      <c r="F185"/>
    </row>
    <row r="186" spans="1:6" x14ac:dyDescent="0.25">
      <c r="A186" s="21">
        <f t="shared" si="4"/>
        <v>-0.11462500205691151</v>
      </c>
      <c r="B186" t="s">
        <v>49</v>
      </c>
      <c r="C186" s="21" t="str">
        <f t="shared" si="5"/>
        <v>A</v>
      </c>
      <c r="D186">
        <v>104</v>
      </c>
      <c r="E186">
        <v>92.078999786081198</v>
      </c>
      <c r="F186"/>
    </row>
    <row r="187" spans="1:6" x14ac:dyDescent="0.25">
      <c r="A187" s="21">
        <f t="shared" si="4"/>
        <v>0.11826288478058622</v>
      </c>
      <c r="B187" t="s">
        <v>49</v>
      </c>
      <c r="C187" s="21" t="str">
        <f t="shared" si="5"/>
        <v>A</v>
      </c>
      <c r="D187">
        <v>80</v>
      </c>
      <c r="E187">
        <v>89.461030782446898</v>
      </c>
      <c r="F187"/>
    </row>
    <row r="188" spans="1:6" x14ac:dyDescent="0.25">
      <c r="A188" s="21">
        <f t="shared" si="4"/>
        <v>-0.46172873324544006</v>
      </c>
      <c r="B188" t="s">
        <v>49</v>
      </c>
      <c r="C188" s="21" t="str">
        <f t="shared" si="5"/>
        <v>B</v>
      </c>
      <c r="D188">
        <v>150</v>
      </c>
      <c r="E188">
        <v>80.740690013183993</v>
      </c>
      <c r="F188"/>
    </row>
    <row r="189" spans="1:6" x14ac:dyDescent="0.25">
      <c r="A189" s="21">
        <f t="shared" si="4"/>
        <v>2.833761680379987E-2</v>
      </c>
      <c r="B189" t="s">
        <v>49</v>
      </c>
      <c r="C189" s="21" t="str">
        <f t="shared" si="5"/>
        <v>A</v>
      </c>
      <c r="D189">
        <v>110</v>
      </c>
      <c r="E189">
        <v>113.117137848418</v>
      </c>
      <c r="F189"/>
    </row>
    <row r="190" spans="1:6" x14ac:dyDescent="0.25">
      <c r="A190" s="21">
        <f t="shared" si="4"/>
        <v>5.574484797362067E-2</v>
      </c>
      <c r="B190" t="s">
        <v>49</v>
      </c>
      <c r="C190" s="21" t="str">
        <f t="shared" si="5"/>
        <v>A</v>
      </c>
      <c r="D190">
        <v>92</v>
      </c>
      <c r="E190">
        <v>97.128526013573094</v>
      </c>
      <c r="F190"/>
    </row>
    <row r="191" spans="1:6" x14ac:dyDescent="0.25">
      <c r="A191" s="21">
        <f t="shared" si="4"/>
        <v>-6.5545168401835663E-2</v>
      </c>
      <c r="B191" t="s">
        <v>49</v>
      </c>
      <c r="C191" s="21" t="str">
        <f t="shared" si="5"/>
        <v>A</v>
      </c>
      <c r="D191">
        <v>84</v>
      </c>
      <c r="E191">
        <v>78.494205854245806</v>
      </c>
      <c r="F191"/>
    </row>
    <row r="192" spans="1:6" x14ac:dyDescent="0.25">
      <c r="A192" s="21">
        <f t="shared" si="4"/>
        <v>-0.23175770515730343</v>
      </c>
      <c r="B192" t="s">
        <v>49</v>
      </c>
      <c r="C192" s="21" t="str">
        <f t="shared" si="5"/>
        <v>B</v>
      </c>
      <c r="D192">
        <v>145</v>
      </c>
      <c r="E192">
        <v>111.395132752191</v>
      </c>
      <c r="F192"/>
    </row>
    <row r="193" spans="1:6" x14ac:dyDescent="0.25">
      <c r="A193" s="21">
        <f t="shared" si="4"/>
        <v>-0.16078120214023583</v>
      </c>
      <c r="B193" t="s">
        <v>49</v>
      </c>
      <c r="C193" s="21" t="str">
        <f t="shared" si="5"/>
        <v>A</v>
      </c>
      <c r="D193">
        <v>123</v>
      </c>
      <c r="E193">
        <v>103.223912136751</v>
      </c>
      <c r="F193"/>
    </row>
    <row r="194" spans="1:6" x14ac:dyDescent="0.25">
      <c r="A194" s="21">
        <f t="shared" si="4"/>
        <v>-0.18092101226454704</v>
      </c>
      <c r="B194" t="s">
        <v>49</v>
      </c>
      <c r="C194" s="21" t="str">
        <f t="shared" si="5"/>
        <v>A</v>
      </c>
      <c r="D194">
        <v>100</v>
      </c>
      <c r="E194">
        <v>81.907898773545298</v>
      </c>
      <c r="F194"/>
    </row>
    <row r="195" spans="1:6" x14ac:dyDescent="0.25">
      <c r="A195" s="21">
        <f t="shared" si="4"/>
        <v>-3.5756603758533401E-2</v>
      </c>
      <c r="B195" t="s">
        <v>49</v>
      </c>
      <c r="C195" s="21" t="str">
        <f t="shared" si="5"/>
        <v>A</v>
      </c>
      <c r="D195">
        <v>87</v>
      </c>
      <c r="E195">
        <v>83.889175473007597</v>
      </c>
      <c r="F195"/>
    </row>
    <row r="196" spans="1:6" x14ac:dyDescent="0.25">
      <c r="A196" s="21">
        <f t="shared" si="4"/>
        <v>-8.8539780973282634E-2</v>
      </c>
      <c r="B196" t="s">
        <v>49</v>
      </c>
      <c r="C196" s="21" t="str">
        <f t="shared" si="5"/>
        <v>A</v>
      </c>
      <c r="D196">
        <v>86</v>
      </c>
      <c r="E196">
        <v>78.385578836297697</v>
      </c>
      <c r="F196"/>
    </row>
    <row r="197" spans="1:6" x14ac:dyDescent="0.25">
      <c r="A197" s="21">
        <f t="shared" si="4"/>
        <v>-0.30461465259790321</v>
      </c>
      <c r="B197" t="s">
        <v>49</v>
      </c>
      <c r="C197" s="21" t="str">
        <f t="shared" si="5"/>
        <v>B</v>
      </c>
      <c r="D197">
        <v>126</v>
      </c>
      <c r="E197">
        <v>87.6185537726642</v>
      </c>
      <c r="F197"/>
    </row>
    <row r="198" spans="1:6" x14ac:dyDescent="0.25">
      <c r="A198" s="21">
        <f t="shared" si="4"/>
        <v>-0.24439434817437544</v>
      </c>
      <c r="B198" t="s">
        <v>49</v>
      </c>
      <c r="C198" s="21" t="str">
        <f t="shared" si="5"/>
        <v>B</v>
      </c>
      <c r="D198">
        <v>110</v>
      </c>
      <c r="E198">
        <v>83.116621700818698</v>
      </c>
      <c r="F198"/>
    </row>
    <row r="199" spans="1:6" x14ac:dyDescent="0.25">
      <c r="A199" s="21">
        <f t="shared" si="4"/>
        <v>-1.4367224771401066E-2</v>
      </c>
      <c r="B199" t="s">
        <v>49</v>
      </c>
      <c r="C199" s="21" t="str">
        <f t="shared" si="5"/>
        <v>A</v>
      </c>
      <c r="D199">
        <v>95</v>
      </c>
      <c r="E199">
        <v>93.635113646716903</v>
      </c>
      <c r="F199"/>
    </row>
    <row r="200" spans="1:6" x14ac:dyDescent="0.25">
      <c r="A200" s="21">
        <f t="shared" si="4"/>
        <v>-0.13264772611779097</v>
      </c>
      <c r="B200" t="s">
        <v>49</v>
      </c>
      <c r="C200" s="21" t="str">
        <f t="shared" si="5"/>
        <v>A</v>
      </c>
      <c r="D200">
        <v>88</v>
      </c>
      <c r="E200">
        <v>76.327000101634397</v>
      </c>
      <c r="F200"/>
    </row>
    <row r="201" spans="1:6" x14ac:dyDescent="0.25">
      <c r="A201" s="21">
        <f t="shared" si="4"/>
        <v>-0.32888053304419462</v>
      </c>
      <c r="B201" t="s">
        <v>49</v>
      </c>
      <c r="C201" s="21" t="str">
        <f t="shared" si="5"/>
        <v>B</v>
      </c>
      <c r="D201">
        <v>149</v>
      </c>
      <c r="E201">
        <v>99.996800576414998</v>
      </c>
      <c r="F201"/>
    </row>
    <row r="202" spans="1:6" x14ac:dyDescent="0.25">
      <c r="A202" s="21">
        <f t="shared" si="4"/>
        <v>-0.30840146111211963</v>
      </c>
      <c r="B202" t="s">
        <v>49</v>
      </c>
      <c r="C202" s="21" t="str">
        <f t="shared" si="5"/>
        <v>B</v>
      </c>
      <c r="D202">
        <v>143</v>
      </c>
      <c r="E202">
        <v>98.898591060966893</v>
      </c>
      <c r="F202"/>
    </row>
    <row r="203" spans="1:6" x14ac:dyDescent="0.25">
      <c r="A203" s="21">
        <f t="shared" si="4"/>
        <v>-0.27864249805164054</v>
      </c>
      <c r="B203" t="s">
        <v>49</v>
      </c>
      <c r="C203" s="21" t="str">
        <f t="shared" si="5"/>
        <v>B</v>
      </c>
      <c r="D203">
        <v>133</v>
      </c>
      <c r="E203">
        <v>95.940547759131803</v>
      </c>
      <c r="F203"/>
    </row>
    <row r="204" spans="1:6" x14ac:dyDescent="0.25">
      <c r="A204" s="21">
        <f t="shared" si="4"/>
        <v>-0.2957958159688272</v>
      </c>
      <c r="B204" t="s">
        <v>49</v>
      </c>
      <c r="C204" s="21" t="str">
        <f t="shared" si="5"/>
        <v>B</v>
      </c>
      <c r="D204">
        <v>88</v>
      </c>
      <c r="E204">
        <v>61.969968194743203</v>
      </c>
      <c r="F204"/>
    </row>
    <row r="205" spans="1:6" x14ac:dyDescent="0.25">
      <c r="A205" s="21">
        <f t="shared" si="4"/>
        <v>6.452183783426868E-2</v>
      </c>
      <c r="B205" t="s">
        <v>49</v>
      </c>
      <c r="C205" s="21" t="str">
        <f t="shared" si="5"/>
        <v>A</v>
      </c>
      <c r="D205">
        <v>83</v>
      </c>
      <c r="E205">
        <v>88.355312540244299</v>
      </c>
      <c r="F205"/>
    </row>
    <row r="206" spans="1:6" x14ac:dyDescent="0.25">
      <c r="A206" s="21">
        <f t="shared" si="4"/>
        <v>-0.32104698912601326</v>
      </c>
      <c r="B206" t="s">
        <v>49</v>
      </c>
      <c r="C206" s="21" t="str">
        <f t="shared" si="5"/>
        <v>B</v>
      </c>
      <c r="D206">
        <v>143</v>
      </c>
      <c r="E206">
        <v>97.090280554980097</v>
      </c>
      <c r="F206"/>
    </row>
    <row r="207" spans="1:6" x14ac:dyDescent="0.25">
      <c r="A207" s="21">
        <f t="shared" si="4"/>
        <v>-9.8584043097684204E-2</v>
      </c>
      <c r="B207" t="s">
        <v>49</v>
      </c>
      <c r="C207" s="21" t="str">
        <f t="shared" si="5"/>
        <v>A</v>
      </c>
      <c r="D207">
        <v>114</v>
      </c>
      <c r="E207">
        <v>102.761419086864</v>
      </c>
      <c r="F207"/>
    </row>
    <row r="208" spans="1:6" x14ac:dyDescent="0.25">
      <c r="A208" s="21">
        <f t="shared" si="4"/>
        <v>-8.9994854351454601E-2</v>
      </c>
      <c r="B208" t="s">
        <v>49</v>
      </c>
      <c r="C208" s="21" t="str">
        <f t="shared" si="5"/>
        <v>A</v>
      </c>
      <c r="D208">
        <v>108</v>
      </c>
      <c r="E208">
        <v>98.280555730042906</v>
      </c>
      <c r="F208"/>
    </row>
    <row r="209" spans="1:6" x14ac:dyDescent="0.25">
      <c r="A209" s="21">
        <f t="shared" si="4"/>
        <v>0.23282222678618236</v>
      </c>
      <c r="B209" t="s">
        <v>49</v>
      </c>
      <c r="C209" s="21" t="str">
        <f t="shared" si="5"/>
        <v>B</v>
      </c>
      <c r="D209">
        <v>79</v>
      </c>
      <c r="E209">
        <v>97.392955916108406</v>
      </c>
      <c r="F209"/>
    </row>
    <row r="210" spans="1:6" x14ac:dyDescent="0.25">
      <c r="A210" s="21">
        <f t="shared" si="4"/>
        <v>-0.21623521594847406</v>
      </c>
      <c r="B210" t="s">
        <v>49</v>
      </c>
      <c r="C210" s="21" t="str">
        <f t="shared" si="5"/>
        <v>B</v>
      </c>
      <c r="D210">
        <v>135</v>
      </c>
      <c r="E210">
        <v>105.808245846956</v>
      </c>
      <c r="F210"/>
    </row>
    <row r="211" spans="1:6" x14ac:dyDescent="0.25">
      <c r="A211" s="21">
        <f t="shared" si="4"/>
        <v>-0.11902203851743698</v>
      </c>
      <c r="B211" t="s">
        <v>49</v>
      </c>
      <c r="C211" s="21" t="str">
        <f t="shared" si="5"/>
        <v>A</v>
      </c>
      <c r="D211">
        <v>119</v>
      </c>
      <c r="E211">
        <v>104.83637741642499</v>
      </c>
      <c r="F211"/>
    </row>
    <row r="212" spans="1:6" x14ac:dyDescent="0.25">
      <c r="A212" s="21">
        <f t="shared" si="4"/>
        <v>-6.4078876792233674E-2</v>
      </c>
      <c r="B212" t="s">
        <v>49</v>
      </c>
      <c r="C212" s="21" t="str">
        <f t="shared" si="5"/>
        <v>A</v>
      </c>
      <c r="D212">
        <v>107</v>
      </c>
      <c r="E212">
        <v>100.143560183231</v>
      </c>
      <c r="F212"/>
    </row>
    <row r="213" spans="1:6" x14ac:dyDescent="0.25">
      <c r="A213" s="21">
        <f t="shared" si="4"/>
        <v>-0.27386817964541776</v>
      </c>
      <c r="B213" t="s">
        <v>49</v>
      </c>
      <c r="C213" s="21" t="str">
        <f t="shared" si="5"/>
        <v>B</v>
      </c>
      <c r="D213">
        <v>146</v>
      </c>
      <c r="E213">
        <v>106.015245771769</v>
      </c>
      <c r="F213"/>
    </row>
    <row r="214" spans="1:6" x14ac:dyDescent="0.25">
      <c r="A214" s="21">
        <f t="shared" si="4"/>
        <v>-0.14136126988494224</v>
      </c>
      <c r="B214" t="s">
        <v>49</v>
      </c>
      <c r="C214" s="21" t="str">
        <f t="shared" si="5"/>
        <v>A</v>
      </c>
      <c r="D214">
        <v>121</v>
      </c>
      <c r="E214">
        <v>103.895286343922</v>
      </c>
      <c r="F214"/>
    </row>
    <row r="215" spans="1:6" x14ac:dyDescent="0.25">
      <c r="A215" s="21">
        <f t="shared" si="4"/>
        <v>-0.18289803669853566</v>
      </c>
      <c r="B215" t="s">
        <v>49</v>
      </c>
      <c r="C215" s="21" t="str">
        <f t="shared" si="5"/>
        <v>A</v>
      </c>
      <c r="D215">
        <v>90</v>
      </c>
      <c r="E215">
        <v>73.539176697131794</v>
      </c>
      <c r="F215"/>
    </row>
    <row r="216" spans="1:6" x14ac:dyDescent="0.25">
      <c r="A216" s="21">
        <f t="shared" si="4"/>
        <v>4.3392748269694303E-2</v>
      </c>
      <c r="B216" t="s">
        <v>49</v>
      </c>
      <c r="C216" s="21" t="str">
        <f t="shared" si="5"/>
        <v>A</v>
      </c>
      <c r="D216">
        <v>86</v>
      </c>
      <c r="E216">
        <v>89.731776351193702</v>
      </c>
      <c r="F216"/>
    </row>
    <row r="217" spans="1:6" x14ac:dyDescent="0.25">
      <c r="A217" s="21">
        <f t="shared" si="4"/>
        <v>-0.34071152180849851</v>
      </c>
      <c r="B217" t="s">
        <v>49</v>
      </c>
      <c r="C217" s="21" t="str">
        <f t="shared" si="5"/>
        <v>B</v>
      </c>
      <c r="D217">
        <v>132</v>
      </c>
      <c r="E217">
        <v>87.026079121278201</v>
      </c>
      <c r="F217"/>
    </row>
    <row r="218" spans="1:6" x14ac:dyDescent="0.25">
      <c r="A218" s="21">
        <f t="shared" si="4"/>
        <v>-4.6261712800513721E-2</v>
      </c>
      <c r="B218" t="s">
        <v>49</v>
      </c>
      <c r="C218" s="21" t="str">
        <f t="shared" si="5"/>
        <v>A</v>
      </c>
      <c r="D218">
        <v>109</v>
      </c>
      <c r="E218">
        <v>103.957473304744</v>
      </c>
      <c r="F218"/>
    </row>
    <row r="219" spans="1:6" x14ac:dyDescent="0.25">
      <c r="A219" s="21">
        <f t="shared" si="4"/>
        <v>-7.2137439745342147E-2</v>
      </c>
      <c r="B219" t="s">
        <v>49</v>
      </c>
      <c r="C219" s="21" t="str">
        <f t="shared" si="5"/>
        <v>A</v>
      </c>
      <c r="D219">
        <v>95</v>
      </c>
      <c r="E219">
        <v>88.146943224192498</v>
      </c>
      <c r="F219"/>
    </row>
    <row r="220" spans="1:6" x14ac:dyDescent="0.25">
      <c r="A220" s="21">
        <f t="shared" si="4"/>
        <v>-3.2917447506023434E-3</v>
      </c>
      <c r="B220" t="s">
        <v>49</v>
      </c>
      <c r="C220" s="21" t="str">
        <f t="shared" si="5"/>
        <v>A</v>
      </c>
      <c r="D220">
        <v>89</v>
      </c>
      <c r="E220">
        <v>88.707034717196393</v>
      </c>
      <c r="F220"/>
    </row>
    <row r="221" spans="1:6" x14ac:dyDescent="0.25">
      <c r="A221" s="21">
        <f t="shared" si="4"/>
        <v>-0.12920205127119844</v>
      </c>
      <c r="B221" t="s">
        <v>49</v>
      </c>
      <c r="C221" s="21" t="str">
        <f t="shared" si="5"/>
        <v>A</v>
      </c>
      <c r="D221">
        <v>126</v>
      </c>
      <c r="E221">
        <v>109.720541539829</v>
      </c>
      <c r="F221"/>
    </row>
    <row r="222" spans="1:6" x14ac:dyDescent="0.25">
      <c r="A222" s="21">
        <f t="shared" si="4"/>
        <v>-4.6740329237586198E-2</v>
      </c>
      <c r="B222" t="s">
        <v>49</v>
      </c>
      <c r="C222" s="21" t="str">
        <f t="shared" si="5"/>
        <v>A</v>
      </c>
      <c r="D222">
        <v>116</v>
      </c>
      <c r="E222">
        <v>110.57812180844</v>
      </c>
      <c r="F222"/>
    </row>
    <row r="223" spans="1:6" x14ac:dyDescent="0.25">
      <c r="A223" s="21">
        <f t="shared" si="4"/>
        <v>-0.19155616512341012</v>
      </c>
      <c r="B223" t="s">
        <v>49</v>
      </c>
      <c r="C223" s="21" t="str">
        <f t="shared" si="5"/>
        <v>A</v>
      </c>
      <c r="D223">
        <v>108</v>
      </c>
      <c r="E223">
        <v>87.311934166671705</v>
      </c>
      <c r="F223"/>
    </row>
    <row r="224" spans="1:6" x14ac:dyDescent="0.25">
      <c r="A224" s="21">
        <f t="shared" si="4"/>
        <v>-7.3378180698044693E-2</v>
      </c>
      <c r="B224" t="s">
        <v>49</v>
      </c>
      <c r="C224" s="21" t="str">
        <f t="shared" si="5"/>
        <v>A</v>
      </c>
      <c r="D224">
        <v>112</v>
      </c>
      <c r="E224">
        <v>103.781643761819</v>
      </c>
      <c r="F224"/>
    </row>
    <row r="225" spans="1:6" x14ac:dyDescent="0.25">
      <c r="A225" s="21">
        <f t="shared" si="4"/>
        <v>8.2399171347378841E-2</v>
      </c>
      <c r="B225" t="s">
        <v>49</v>
      </c>
      <c r="C225" s="21" t="str">
        <f t="shared" si="5"/>
        <v>A</v>
      </c>
      <c r="D225">
        <v>95</v>
      </c>
      <c r="E225">
        <v>102.827921278001</v>
      </c>
      <c r="F225"/>
    </row>
    <row r="226" spans="1:6" x14ac:dyDescent="0.25">
      <c r="A226" s="21">
        <f t="shared" si="4"/>
        <v>4.5546552296978682E-2</v>
      </c>
      <c r="B226" t="s">
        <v>49</v>
      </c>
      <c r="C226" s="21" t="str">
        <f t="shared" si="5"/>
        <v>A</v>
      </c>
      <c r="D226">
        <v>94</v>
      </c>
      <c r="E226">
        <v>98.281375915916001</v>
      </c>
      <c r="F226"/>
    </row>
    <row r="227" spans="1:6" x14ac:dyDescent="0.25">
      <c r="A227" s="21">
        <f t="shared" si="4"/>
        <v>-0.21828785648436744</v>
      </c>
      <c r="B227" t="s">
        <v>49</v>
      </c>
      <c r="C227" s="21" t="str">
        <f t="shared" si="5"/>
        <v>B</v>
      </c>
      <c r="D227">
        <v>92</v>
      </c>
      <c r="E227">
        <v>71.917517203438194</v>
      </c>
      <c r="F227"/>
    </row>
    <row r="228" spans="1:6" x14ac:dyDescent="0.25">
      <c r="A228" s="21">
        <f t="shared" si="4"/>
        <v>-0.21369834686442746</v>
      </c>
      <c r="B228" t="s">
        <v>49</v>
      </c>
      <c r="C228" s="21" t="str">
        <f t="shared" si="5"/>
        <v>B</v>
      </c>
      <c r="D228">
        <v>131</v>
      </c>
      <c r="E228">
        <v>103.00551656076</v>
      </c>
      <c r="F228"/>
    </row>
    <row r="229" spans="1:6" x14ac:dyDescent="0.25">
      <c r="A229" s="21">
        <f t="shared" si="4"/>
        <v>-0.17164247621470397</v>
      </c>
      <c r="B229" t="s">
        <v>49</v>
      </c>
      <c r="C229" s="21" t="str">
        <f t="shared" si="5"/>
        <v>A</v>
      </c>
      <c r="D229">
        <v>125</v>
      </c>
      <c r="E229">
        <v>103.54469047316201</v>
      </c>
      <c r="F229"/>
    </row>
    <row r="230" spans="1:6" x14ac:dyDescent="0.25">
      <c r="A230" s="21">
        <f t="shared" si="4"/>
        <v>4.0424710054666635E-2</v>
      </c>
      <c r="B230" t="s">
        <v>49</v>
      </c>
      <c r="C230" s="21" t="str">
        <f t="shared" si="5"/>
        <v>A</v>
      </c>
      <c r="D230">
        <v>105</v>
      </c>
      <c r="E230">
        <v>109.24459455573999</v>
      </c>
      <c r="F230"/>
    </row>
    <row r="231" spans="1:6" x14ac:dyDescent="0.25">
      <c r="A231" s="21">
        <f t="shared" ref="A231:A294" si="6">E231/D231-1</f>
        <v>2.7180528927151171E-2</v>
      </c>
      <c r="B231" t="s">
        <v>49</v>
      </c>
      <c r="C231" s="21" t="str">
        <f t="shared" ref="C231:C294" si="7">IF(OR(A231&gt;=20%,A231&lt;=-20%),"B","A")</f>
        <v>A</v>
      </c>
      <c r="D231">
        <v>86</v>
      </c>
      <c r="E231">
        <v>88.337525487734993</v>
      </c>
      <c r="F231"/>
    </row>
    <row r="232" spans="1:6" x14ac:dyDescent="0.25">
      <c r="A232" s="21">
        <f t="shared" si="6"/>
        <v>-0.1445099345936508</v>
      </c>
      <c r="B232" t="s">
        <v>49</v>
      </c>
      <c r="C232" s="21" t="str">
        <f t="shared" si="7"/>
        <v>A</v>
      </c>
      <c r="D232">
        <v>126</v>
      </c>
      <c r="E232">
        <v>107.7917482412</v>
      </c>
      <c r="F232"/>
    </row>
    <row r="233" spans="1:6" x14ac:dyDescent="0.25">
      <c r="A233" s="21">
        <f t="shared" si="6"/>
        <v>-6.545457261590526E-2</v>
      </c>
      <c r="B233" t="s">
        <v>49</v>
      </c>
      <c r="C233" s="21" t="str">
        <f t="shared" si="7"/>
        <v>A</v>
      </c>
      <c r="D233">
        <v>116</v>
      </c>
      <c r="E233">
        <v>108.407269576555</v>
      </c>
      <c r="F233"/>
    </row>
    <row r="234" spans="1:6" x14ac:dyDescent="0.25">
      <c r="A234" s="21">
        <f t="shared" si="6"/>
        <v>-3.1034212215135248E-3</v>
      </c>
      <c r="B234" t="s">
        <v>49</v>
      </c>
      <c r="C234" s="21" t="str">
        <f t="shared" si="7"/>
        <v>A</v>
      </c>
      <c r="D234">
        <v>111</v>
      </c>
      <c r="E234">
        <v>110.655520244412</v>
      </c>
      <c r="F234"/>
    </row>
    <row r="235" spans="1:6" x14ac:dyDescent="0.25">
      <c r="A235" s="21">
        <f t="shared" si="6"/>
        <v>0.12348736384246672</v>
      </c>
      <c r="B235" t="s">
        <v>49</v>
      </c>
      <c r="C235" s="21" t="str">
        <f t="shared" si="7"/>
        <v>A</v>
      </c>
      <c r="D235">
        <v>90</v>
      </c>
      <c r="E235">
        <v>101.113862745822</v>
      </c>
      <c r="F235"/>
    </row>
    <row r="236" spans="1:6" x14ac:dyDescent="0.25">
      <c r="A236" s="21">
        <f t="shared" si="6"/>
        <v>-0.14800760031219995</v>
      </c>
      <c r="B236" t="s">
        <v>49</v>
      </c>
      <c r="C236" s="21" t="str">
        <f t="shared" si="7"/>
        <v>A</v>
      </c>
      <c r="D236">
        <v>125</v>
      </c>
      <c r="E236">
        <v>106.499049960975</v>
      </c>
      <c r="F236"/>
    </row>
    <row r="237" spans="1:6" x14ac:dyDescent="0.25">
      <c r="A237" s="21">
        <f t="shared" si="6"/>
        <v>9.2769506338188368E-3</v>
      </c>
      <c r="B237" t="s">
        <v>49</v>
      </c>
      <c r="C237" s="21" t="str">
        <f t="shared" si="7"/>
        <v>A</v>
      </c>
      <c r="D237">
        <v>95</v>
      </c>
      <c r="E237">
        <v>95.881310310212797</v>
      </c>
      <c r="F237"/>
    </row>
    <row r="238" spans="1:6" x14ac:dyDescent="0.25">
      <c r="A238" s="21">
        <f t="shared" si="6"/>
        <v>-0.10464991063112905</v>
      </c>
      <c r="B238" t="s">
        <v>49</v>
      </c>
      <c r="C238" s="21" t="str">
        <f t="shared" si="7"/>
        <v>A</v>
      </c>
      <c r="D238">
        <v>93</v>
      </c>
      <c r="E238">
        <v>83.267558311304995</v>
      </c>
      <c r="F238"/>
    </row>
    <row r="239" spans="1:6" x14ac:dyDescent="0.25">
      <c r="A239" s="21">
        <f t="shared" si="6"/>
        <v>-0.14822463448616785</v>
      </c>
      <c r="B239" t="s">
        <v>49</v>
      </c>
      <c r="C239" s="21" t="str">
        <f t="shared" si="7"/>
        <v>A</v>
      </c>
      <c r="D239">
        <v>81</v>
      </c>
      <c r="E239">
        <v>68.993804606620401</v>
      </c>
      <c r="F239"/>
    </row>
    <row r="240" spans="1:6" x14ac:dyDescent="0.25">
      <c r="A240" s="21">
        <f t="shared" si="6"/>
        <v>-0.21001678631977394</v>
      </c>
      <c r="B240" t="s">
        <v>49</v>
      </c>
      <c r="C240" s="21" t="str">
        <f t="shared" si="7"/>
        <v>B</v>
      </c>
      <c r="D240">
        <v>92</v>
      </c>
      <c r="E240">
        <v>72.678455658580802</v>
      </c>
      <c r="F240"/>
    </row>
    <row r="241" spans="1:6" x14ac:dyDescent="0.25">
      <c r="A241" s="21">
        <f t="shared" si="6"/>
        <v>-0.16277000531140695</v>
      </c>
      <c r="B241" t="s">
        <v>49</v>
      </c>
      <c r="C241" s="21" t="str">
        <f t="shared" si="7"/>
        <v>A</v>
      </c>
      <c r="D241">
        <v>86</v>
      </c>
      <c r="E241">
        <v>72.001779543219001</v>
      </c>
      <c r="F241"/>
    </row>
    <row r="242" spans="1:6" x14ac:dyDescent="0.25">
      <c r="A242" s="21">
        <f t="shared" si="6"/>
        <v>-0.29606037754900849</v>
      </c>
      <c r="B242" t="s">
        <v>49</v>
      </c>
      <c r="C242" s="21" t="str">
        <f t="shared" si="7"/>
        <v>B</v>
      </c>
      <c r="D242">
        <v>82</v>
      </c>
      <c r="E242">
        <v>57.723049040981302</v>
      </c>
      <c r="F242"/>
    </row>
    <row r="243" spans="1:6" x14ac:dyDescent="0.25">
      <c r="A243" s="21">
        <f t="shared" si="6"/>
        <v>-0.31398334068483147</v>
      </c>
      <c r="B243" t="s">
        <v>49</v>
      </c>
      <c r="C243" s="21" t="str">
        <f t="shared" si="7"/>
        <v>B</v>
      </c>
      <c r="D243">
        <v>127</v>
      </c>
      <c r="E243">
        <v>87.1241157330264</v>
      </c>
      <c r="F243"/>
    </row>
    <row r="244" spans="1:6" x14ac:dyDescent="0.25">
      <c r="A244" s="21">
        <f t="shared" si="6"/>
        <v>-0.22974398465141843</v>
      </c>
      <c r="B244" t="s">
        <v>49</v>
      </c>
      <c r="C244" s="21" t="str">
        <f t="shared" si="7"/>
        <v>B</v>
      </c>
      <c r="D244">
        <v>103</v>
      </c>
      <c r="E244">
        <v>79.336369580903906</v>
      </c>
      <c r="F244"/>
    </row>
    <row r="245" spans="1:6" x14ac:dyDescent="0.25">
      <c r="A245" s="21">
        <f t="shared" si="6"/>
        <v>0.18701942091005819</v>
      </c>
      <c r="B245" t="s">
        <v>49</v>
      </c>
      <c r="C245" s="21" t="str">
        <f t="shared" si="7"/>
        <v>A</v>
      </c>
      <c r="D245">
        <v>86</v>
      </c>
      <c r="E245">
        <v>102.083670198265</v>
      </c>
      <c r="F245"/>
    </row>
    <row r="246" spans="1:6" x14ac:dyDescent="0.25">
      <c r="A246" s="21">
        <f t="shared" si="6"/>
        <v>-0.1261416814346038</v>
      </c>
      <c r="B246" t="s">
        <v>49</v>
      </c>
      <c r="C246" s="21" t="str">
        <f t="shared" si="7"/>
        <v>A</v>
      </c>
      <c r="D246">
        <v>79</v>
      </c>
      <c r="E246">
        <v>69.034807166666297</v>
      </c>
      <c r="F246"/>
    </row>
    <row r="247" spans="1:6" x14ac:dyDescent="0.25">
      <c r="A247" s="21">
        <f t="shared" si="6"/>
        <v>-0.17414290889313122</v>
      </c>
      <c r="B247" t="s">
        <v>49</v>
      </c>
      <c r="C247" s="21" t="str">
        <f t="shared" si="7"/>
        <v>A</v>
      </c>
      <c r="D247">
        <v>160</v>
      </c>
      <c r="E247">
        <v>132.137134577099</v>
      </c>
      <c r="F247"/>
    </row>
    <row r="248" spans="1:6" x14ac:dyDescent="0.25">
      <c r="A248" s="21">
        <f t="shared" si="6"/>
        <v>-0.29118817755902737</v>
      </c>
      <c r="B248" t="s">
        <v>49</v>
      </c>
      <c r="C248" s="21" t="str">
        <f t="shared" si="7"/>
        <v>B</v>
      </c>
      <c r="D248">
        <v>135</v>
      </c>
      <c r="E248">
        <v>95.689596029531302</v>
      </c>
      <c r="F248"/>
    </row>
    <row r="249" spans="1:6" x14ac:dyDescent="0.25">
      <c r="A249" s="21">
        <f t="shared" si="6"/>
        <v>-9.3241093718896217E-2</v>
      </c>
      <c r="B249" t="s">
        <v>49</v>
      </c>
      <c r="C249" s="21" t="str">
        <f t="shared" si="7"/>
        <v>A</v>
      </c>
      <c r="D249">
        <v>106</v>
      </c>
      <c r="E249">
        <v>96.116444065796998</v>
      </c>
      <c r="F249"/>
    </row>
    <row r="250" spans="1:6" x14ac:dyDescent="0.25">
      <c r="A250" s="21">
        <f t="shared" si="6"/>
        <v>9.7739528192762659E-2</v>
      </c>
      <c r="B250" t="s">
        <v>49</v>
      </c>
      <c r="C250" s="21" t="str">
        <f t="shared" si="7"/>
        <v>A</v>
      </c>
      <c r="D250">
        <v>80</v>
      </c>
      <c r="E250">
        <v>87.819162255421006</v>
      </c>
    </row>
    <row r="251" spans="1:6" x14ac:dyDescent="0.25">
      <c r="A251" s="21">
        <f t="shared" si="6"/>
        <v>-0.11753661638511292</v>
      </c>
      <c r="B251" t="s">
        <v>49</v>
      </c>
      <c r="C251" s="21" t="str">
        <f t="shared" si="7"/>
        <v>A</v>
      </c>
      <c r="D251">
        <v>124</v>
      </c>
      <c r="E251">
        <v>109.425459568246</v>
      </c>
      <c r="F251"/>
    </row>
    <row r="252" spans="1:6" x14ac:dyDescent="0.25">
      <c r="A252" s="21">
        <f t="shared" si="6"/>
        <v>-3.0912738645428539E-2</v>
      </c>
      <c r="B252" t="s">
        <v>49</v>
      </c>
      <c r="C252" s="21" t="str">
        <f t="shared" si="7"/>
        <v>A</v>
      </c>
      <c r="D252">
        <v>112</v>
      </c>
      <c r="E252">
        <v>108.537773271712</v>
      </c>
      <c r="F252"/>
    </row>
    <row r="253" spans="1:6" x14ac:dyDescent="0.25">
      <c r="A253" s="21">
        <f t="shared" si="6"/>
        <v>-0.16734831151346563</v>
      </c>
      <c r="B253" t="s">
        <v>49</v>
      </c>
      <c r="C253" s="21" t="str">
        <f t="shared" si="7"/>
        <v>A</v>
      </c>
      <c r="D253">
        <v>96</v>
      </c>
      <c r="E253">
        <v>79.934562094707303</v>
      </c>
      <c r="F253"/>
    </row>
    <row r="254" spans="1:6" x14ac:dyDescent="0.25">
      <c r="A254" s="21">
        <f t="shared" si="6"/>
        <v>-9.5905486460220457E-3</v>
      </c>
      <c r="B254" t="s">
        <v>49</v>
      </c>
      <c r="C254" s="21" t="str">
        <f t="shared" si="7"/>
        <v>A</v>
      </c>
      <c r="D254">
        <v>77</v>
      </c>
      <c r="E254">
        <v>76.261527754256306</v>
      </c>
      <c r="F254"/>
    </row>
    <row r="255" spans="1:6" x14ac:dyDescent="0.25">
      <c r="A255" s="21">
        <f t="shared" si="6"/>
        <v>-0.46473999918795694</v>
      </c>
      <c r="B255" t="s">
        <v>49</v>
      </c>
      <c r="C255" s="21" t="str">
        <f t="shared" si="7"/>
        <v>B</v>
      </c>
      <c r="D255">
        <v>137</v>
      </c>
      <c r="E255">
        <v>73.3306201112499</v>
      </c>
      <c r="F255"/>
    </row>
    <row r="256" spans="1:6" x14ac:dyDescent="0.25">
      <c r="A256" s="21">
        <f t="shared" si="6"/>
        <v>-0.20445875320843854</v>
      </c>
      <c r="B256" t="s">
        <v>49</v>
      </c>
      <c r="C256" s="21" t="str">
        <f t="shared" si="7"/>
        <v>B</v>
      </c>
      <c r="D256">
        <v>130</v>
      </c>
      <c r="E256">
        <v>103.420362082903</v>
      </c>
      <c r="F256"/>
    </row>
    <row r="257" spans="1:6" x14ac:dyDescent="0.25">
      <c r="A257" s="21">
        <f t="shared" si="6"/>
        <v>-0.33223991556395949</v>
      </c>
      <c r="B257" t="s">
        <v>49</v>
      </c>
      <c r="C257" s="21" t="str">
        <f t="shared" si="7"/>
        <v>B</v>
      </c>
      <c r="D257">
        <v>121</v>
      </c>
      <c r="E257">
        <v>80.798970216760907</v>
      </c>
      <c r="F257"/>
    </row>
    <row r="258" spans="1:6" x14ac:dyDescent="0.25">
      <c r="A258" s="21">
        <f t="shared" si="6"/>
        <v>-0.13182196940484181</v>
      </c>
      <c r="B258" t="s">
        <v>49</v>
      </c>
      <c r="C258" s="21" t="str">
        <f t="shared" si="7"/>
        <v>A</v>
      </c>
      <c r="D258">
        <v>91</v>
      </c>
      <c r="E258">
        <v>79.004200784159394</v>
      </c>
      <c r="F258"/>
    </row>
    <row r="259" spans="1:6" x14ac:dyDescent="0.25">
      <c r="A259" s="21">
        <f t="shared" si="6"/>
        <v>-0.19787896988819709</v>
      </c>
      <c r="B259" t="s">
        <v>49</v>
      </c>
      <c r="C259" s="21" t="str">
        <f t="shared" si="7"/>
        <v>A</v>
      </c>
      <c r="D259">
        <v>137</v>
      </c>
      <c r="E259">
        <v>109.890581125317</v>
      </c>
      <c r="F259"/>
    </row>
    <row r="260" spans="1:6" x14ac:dyDescent="0.25">
      <c r="A260" s="21">
        <f t="shared" si="6"/>
        <v>-0.10729525097005044</v>
      </c>
      <c r="B260" t="s">
        <v>49</v>
      </c>
      <c r="C260" s="21" t="str">
        <f t="shared" si="7"/>
        <v>A</v>
      </c>
      <c r="D260">
        <v>119</v>
      </c>
      <c r="E260">
        <v>106.231865134564</v>
      </c>
      <c r="F260"/>
    </row>
    <row r="261" spans="1:6" x14ac:dyDescent="0.25">
      <c r="A261" s="21">
        <f t="shared" si="6"/>
        <v>-0.17876685955695659</v>
      </c>
      <c r="B261" t="s">
        <v>49</v>
      </c>
      <c r="C261" s="21" t="str">
        <f t="shared" si="7"/>
        <v>A</v>
      </c>
      <c r="D261">
        <v>99</v>
      </c>
      <c r="E261">
        <v>81.302080903861295</v>
      </c>
      <c r="F261"/>
    </row>
    <row r="262" spans="1:6" x14ac:dyDescent="0.25">
      <c r="A262" s="21">
        <f t="shared" si="6"/>
        <v>0.15624103756063912</v>
      </c>
      <c r="B262" t="s">
        <v>74</v>
      </c>
      <c r="C262" s="21" t="str">
        <f t="shared" si="7"/>
        <v>A</v>
      </c>
      <c r="D262">
        <v>97</v>
      </c>
      <c r="E262">
        <v>112.155380643382</v>
      </c>
    </row>
    <row r="263" spans="1:6" x14ac:dyDescent="0.25">
      <c r="A263" s="21">
        <f t="shared" si="6"/>
        <v>-0.36956080894449106</v>
      </c>
      <c r="B263" t="s">
        <v>74</v>
      </c>
      <c r="C263" s="21" t="str">
        <f t="shared" si="7"/>
        <v>B</v>
      </c>
      <c r="D263">
        <v>169</v>
      </c>
      <c r="E263">
        <v>106.544223288381</v>
      </c>
      <c r="F263"/>
    </row>
    <row r="264" spans="1:6" x14ac:dyDescent="0.25">
      <c r="A264" s="21">
        <f t="shared" si="6"/>
        <v>5.8112820533263054E-2</v>
      </c>
      <c r="B264" t="s">
        <v>74</v>
      </c>
      <c r="C264" s="21" t="str">
        <f t="shared" si="7"/>
        <v>A</v>
      </c>
      <c r="D264">
        <v>114</v>
      </c>
      <c r="E264">
        <v>120.624861540792</v>
      </c>
    </row>
    <row r="265" spans="1:6" x14ac:dyDescent="0.25">
      <c r="A265" s="21">
        <f t="shared" si="6"/>
        <v>-0.18510396160257658</v>
      </c>
      <c r="B265" t="s">
        <v>74</v>
      </c>
      <c r="C265" s="21" t="str">
        <f t="shared" si="7"/>
        <v>A</v>
      </c>
      <c r="D265">
        <v>137</v>
      </c>
      <c r="E265">
        <v>111.640757260447</v>
      </c>
    </row>
    <row r="266" spans="1:6" x14ac:dyDescent="0.25">
      <c r="A266" s="21">
        <f t="shared" si="6"/>
        <v>-5.646816059922688E-2</v>
      </c>
      <c r="B266" t="s">
        <v>74</v>
      </c>
      <c r="C266" s="21" t="str">
        <f t="shared" si="7"/>
        <v>A</v>
      </c>
      <c r="D266">
        <v>119</v>
      </c>
      <c r="E266">
        <v>112.280288888692</v>
      </c>
    </row>
    <row r="267" spans="1:6" x14ac:dyDescent="0.25">
      <c r="A267" s="21">
        <f t="shared" si="6"/>
        <v>-6.356124009074815E-3</v>
      </c>
      <c r="B267" t="s">
        <v>74</v>
      </c>
      <c r="C267" s="21" t="str">
        <f t="shared" si="7"/>
        <v>A</v>
      </c>
      <c r="D267">
        <v>107</v>
      </c>
      <c r="E267">
        <v>106.319894731029</v>
      </c>
    </row>
    <row r="268" spans="1:6" x14ac:dyDescent="0.25">
      <c r="A268" s="21">
        <f t="shared" si="6"/>
        <v>-2.1760903948062738E-2</v>
      </c>
      <c r="B268" t="s">
        <v>74</v>
      </c>
      <c r="C268" s="21" t="str">
        <f t="shared" si="7"/>
        <v>A</v>
      </c>
      <c r="D268">
        <v>94</v>
      </c>
      <c r="E268">
        <v>91.954475028882101</v>
      </c>
    </row>
    <row r="269" spans="1:6" x14ac:dyDescent="0.25">
      <c r="A269" s="21">
        <f t="shared" si="6"/>
        <v>-1.1598933767456132E-2</v>
      </c>
      <c r="B269" t="s">
        <v>74</v>
      </c>
      <c r="C269" s="21" t="str">
        <f t="shared" si="7"/>
        <v>A</v>
      </c>
      <c r="D269">
        <v>114</v>
      </c>
      <c r="E269">
        <v>112.67772155051</v>
      </c>
    </row>
    <row r="270" spans="1:6" x14ac:dyDescent="0.25">
      <c r="A270" s="21">
        <f t="shared" si="6"/>
        <v>1.8218597015572602E-2</v>
      </c>
      <c r="B270" t="s">
        <v>74</v>
      </c>
      <c r="C270" s="21" t="str">
        <f t="shared" si="7"/>
        <v>A</v>
      </c>
      <c r="D270">
        <v>117</v>
      </c>
      <c r="E270">
        <v>119.131575850822</v>
      </c>
    </row>
    <row r="271" spans="1:6" x14ac:dyDescent="0.25">
      <c r="A271" s="21">
        <f t="shared" si="6"/>
        <v>-1.0909549028754517E-2</v>
      </c>
      <c r="B271" t="s">
        <v>74</v>
      </c>
      <c r="C271" s="21" t="str">
        <f t="shared" si="7"/>
        <v>A</v>
      </c>
      <c r="D271">
        <v>110</v>
      </c>
      <c r="E271">
        <v>108.799949606837</v>
      </c>
    </row>
    <row r="272" spans="1:6" x14ac:dyDescent="0.25">
      <c r="A272" s="21">
        <f t="shared" si="6"/>
        <v>0.25545756673662057</v>
      </c>
      <c r="B272" t="s">
        <v>75</v>
      </c>
      <c r="C272" s="21" t="str">
        <f t="shared" si="7"/>
        <v>B</v>
      </c>
      <c r="D272">
        <v>78</v>
      </c>
      <c r="E272">
        <v>97.925690205456405</v>
      </c>
    </row>
    <row r="273" spans="1:5" x14ac:dyDescent="0.25">
      <c r="A273" s="21">
        <f t="shared" si="6"/>
        <v>0.200801957587456</v>
      </c>
      <c r="B273" t="s">
        <v>75</v>
      </c>
      <c r="C273" s="21" t="str">
        <f t="shared" si="7"/>
        <v>B</v>
      </c>
      <c r="D273">
        <v>125</v>
      </c>
      <c r="E273">
        <v>150.10024469843199</v>
      </c>
    </row>
    <row r="274" spans="1:5" x14ac:dyDescent="0.25">
      <c r="A274" s="21">
        <f t="shared" si="6"/>
        <v>-7.5980884034153817E-2</v>
      </c>
      <c r="B274" t="s">
        <v>75</v>
      </c>
      <c r="C274" s="21" t="str">
        <f t="shared" si="7"/>
        <v>A</v>
      </c>
      <c r="D274">
        <v>143</v>
      </c>
      <c r="E274">
        <v>132.134733583116</v>
      </c>
    </row>
    <row r="275" spans="1:5" x14ac:dyDescent="0.25">
      <c r="A275" s="21">
        <f t="shared" si="6"/>
        <v>-9.2015370550704856E-2</v>
      </c>
      <c r="B275" t="s">
        <v>75</v>
      </c>
      <c r="C275" s="21" t="str">
        <f t="shared" si="7"/>
        <v>A</v>
      </c>
      <c r="D275">
        <v>122</v>
      </c>
      <c r="E275">
        <v>110.77412479281401</v>
      </c>
    </row>
    <row r="276" spans="1:5" x14ac:dyDescent="0.25">
      <c r="A276" s="21">
        <f t="shared" si="6"/>
        <v>7.4360433896945022E-3</v>
      </c>
      <c r="B276" t="s">
        <v>75</v>
      </c>
      <c r="C276" s="21" t="str">
        <f t="shared" si="7"/>
        <v>A</v>
      </c>
      <c r="D276">
        <v>108</v>
      </c>
      <c r="E276">
        <v>108.803092686087</v>
      </c>
    </row>
    <row r="277" spans="1:5" x14ac:dyDescent="0.25">
      <c r="A277" s="21">
        <f t="shared" si="6"/>
        <v>0.15101593035308891</v>
      </c>
      <c r="B277" t="s">
        <v>75</v>
      </c>
      <c r="C277" s="21" t="str">
        <f t="shared" si="7"/>
        <v>A</v>
      </c>
      <c r="D277">
        <v>90</v>
      </c>
      <c r="E277">
        <v>103.591433731778</v>
      </c>
    </row>
    <row r="278" spans="1:5" x14ac:dyDescent="0.25">
      <c r="A278" s="21">
        <f t="shared" si="6"/>
        <v>-5.3284405209807262E-2</v>
      </c>
      <c r="B278" t="s">
        <v>76</v>
      </c>
      <c r="C278" s="21" t="str">
        <f t="shared" si="7"/>
        <v>A</v>
      </c>
      <c r="D278">
        <v>109</v>
      </c>
      <c r="E278">
        <v>103.191999832131</v>
      </c>
    </row>
    <row r="279" spans="1:5" x14ac:dyDescent="0.25">
      <c r="A279" s="21">
        <f t="shared" si="6"/>
        <v>-0.31874627139313427</v>
      </c>
      <c r="B279" t="s">
        <v>76</v>
      </c>
      <c r="C279" s="21" t="str">
        <f t="shared" si="7"/>
        <v>B</v>
      </c>
      <c r="D279">
        <v>149</v>
      </c>
      <c r="E279">
        <v>101.506805562423</v>
      </c>
    </row>
    <row r="280" spans="1:5" x14ac:dyDescent="0.25">
      <c r="A280" s="21">
        <f t="shared" si="6"/>
        <v>-0.32997588105874509</v>
      </c>
      <c r="B280" t="s">
        <v>76</v>
      </c>
      <c r="C280" s="21" t="str">
        <f t="shared" si="7"/>
        <v>B</v>
      </c>
      <c r="D280">
        <v>153</v>
      </c>
      <c r="E280">
        <v>102.513690198012</v>
      </c>
    </row>
    <row r="281" spans="1:5" x14ac:dyDescent="0.25">
      <c r="A281" s="21">
        <f t="shared" si="6"/>
        <v>0.1418887650631091</v>
      </c>
      <c r="B281" t="s">
        <v>76</v>
      </c>
      <c r="C281" s="21" t="str">
        <f t="shared" si="7"/>
        <v>A</v>
      </c>
      <c r="D281">
        <v>87</v>
      </c>
      <c r="E281">
        <v>99.344322560490497</v>
      </c>
    </row>
    <row r="282" spans="1:5" x14ac:dyDescent="0.25">
      <c r="A282" s="21">
        <f t="shared" si="6"/>
        <v>-2.198973979453045E-2</v>
      </c>
      <c r="B282" t="s">
        <v>76</v>
      </c>
      <c r="C282" s="21" t="str">
        <f t="shared" si="7"/>
        <v>A</v>
      </c>
      <c r="D282">
        <v>115</v>
      </c>
      <c r="E282">
        <v>112.47117992362899</v>
      </c>
    </row>
    <row r="283" spans="1:5" x14ac:dyDescent="0.25">
      <c r="A283" s="21">
        <f t="shared" si="6"/>
        <v>-1.2777636235955403E-2</v>
      </c>
      <c r="B283" t="s">
        <v>76</v>
      </c>
      <c r="C283" s="21" t="str">
        <f t="shared" si="7"/>
        <v>A</v>
      </c>
      <c r="D283">
        <v>112</v>
      </c>
      <c r="E283">
        <v>110.56890474157299</v>
      </c>
    </row>
    <row r="284" spans="1:5" x14ac:dyDescent="0.25">
      <c r="A284" s="21">
        <f t="shared" si="6"/>
        <v>-3.1273311761663702E-2</v>
      </c>
      <c r="B284" t="s">
        <v>76</v>
      </c>
      <c r="C284" s="21" t="str">
        <f t="shared" si="7"/>
        <v>A</v>
      </c>
      <c r="D284">
        <v>113</v>
      </c>
      <c r="E284">
        <v>109.46611577093201</v>
      </c>
    </row>
    <row r="285" spans="1:5" x14ac:dyDescent="0.25">
      <c r="A285" s="21">
        <f t="shared" si="6"/>
        <v>-0.12269080327278692</v>
      </c>
      <c r="B285" t="s">
        <v>76</v>
      </c>
      <c r="C285" s="21" t="str">
        <f t="shared" si="7"/>
        <v>A</v>
      </c>
      <c r="D285">
        <v>122</v>
      </c>
      <c r="E285">
        <v>107.03172200071999</v>
      </c>
    </row>
    <row r="286" spans="1:5" x14ac:dyDescent="0.25">
      <c r="A286" s="21">
        <f t="shared" si="6"/>
        <v>-7.8275594402603454E-2</v>
      </c>
      <c r="B286" t="s">
        <v>76</v>
      </c>
      <c r="C286" s="21" t="str">
        <f t="shared" si="7"/>
        <v>A</v>
      </c>
      <c r="D286">
        <v>116</v>
      </c>
      <c r="E286">
        <v>106.920031049298</v>
      </c>
    </row>
    <row r="287" spans="1:5" x14ac:dyDescent="0.25">
      <c r="A287" s="21">
        <f t="shared" si="6"/>
        <v>-4.4816268008899041E-2</v>
      </c>
      <c r="B287" t="s">
        <v>76</v>
      </c>
      <c r="C287" s="21" t="str">
        <f t="shared" si="7"/>
        <v>A</v>
      </c>
      <c r="D287">
        <v>109</v>
      </c>
      <c r="E287">
        <v>104.11502678703</v>
      </c>
    </row>
    <row r="288" spans="1:5" x14ac:dyDescent="0.25">
      <c r="A288" s="21">
        <f t="shared" si="6"/>
        <v>-0.13370409974187092</v>
      </c>
      <c r="B288" t="s">
        <v>77</v>
      </c>
      <c r="C288" s="21" t="str">
        <f t="shared" si="7"/>
        <v>A</v>
      </c>
      <c r="D288">
        <v>124</v>
      </c>
      <c r="E288">
        <v>107.420691632008</v>
      </c>
    </row>
    <row r="289" spans="1:6" x14ac:dyDescent="0.25">
      <c r="A289" s="21">
        <f t="shared" si="6"/>
        <v>9.2359837798451583E-2</v>
      </c>
      <c r="B289" t="s">
        <v>77</v>
      </c>
      <c r="C289" s="21" t="str">
        <f t="shared" si="7"/>
        <v>A</v>
      </c>
      <c r="D289">
        <v>93</v>
      </c>
      <c r="E289">
        <v>101.589464915256</v>
      </c>
    </row>
    <row r="290" spans="1:6" x14ac:dyDescent="0.25">
      <c r="A290" s="21">
        <f t="shared" si="6"/>
        <v>0.16465400069595559</v>
      </c>
      <c r="B290" t="s">
        <v>77</v>
      </c>
      <c r="C290" s="21" t="str">
        <f t="shared" si="7"/>
        <v>A</v>
      </c>
      <c r="D290">
        <v>72</v>
      </c>
      <c r="E290">
        <v>83.855088050108805</v>
      </c>
      <c r="F290"/>
    </row>
    <row r="291" spans="1:6" x14ac:dyDescent="0.25">
      <c r="A291" s="21">
        <f t="shared" si="6"/>
        <v>-0.2006041059526692</v>
      </c>
      <c r="B291" t="s">
        <v>77</v>
      </c>
      <c r="C291" s="21" t="str">
        <f t="shared" si="7"/>
        <v>B</v>
      </c>
      <c r="D291">
        <v>81</v>
      </c>
      <c r="E291">
        <v>64.751067417833795</v>
      </c>
    </row>
    <row r="292" spans="1:6" x14ac:dyDescent="0.25">
      <c r="A292" s="21">
        <f t="shared" si="6"/>
        <v>-0.10337442855695156</v>
      </c>
      <c r="B292" t="s">
        <v>77</v>
      </c>
      <c r="C292" s="21" t="str">
        <f t="shared" si="7"/>
        <v>A</v>
      </c>
      <c r="D292">
        <v>124</v>
      </c>
      <c r="E292">
        <v>111.181570858938</v>
      </c>
    </row>
    <row r="293" spans="1:6" x14ac:dyDescent="0.25">
      <c r="A293" s="21">
        <f t="shared" si="6"/>
        <v>4.0093461523478258E-2</v>
      </c>
      <c r="B293" t="s">
        <v>77</v>
      </c>
      <c r="C293" s="21" t="str">
        <f t="shared" si="7"/>
        <v>A</v>
      </c>
      <c r="D293">
        <v>115</v>
      </c>
      <c r="E293">
        <v>119.61074807519999</v>
      </c>
    </row>
    <row r="294" spans="1:6" x14ac:dyDescent="0.25">
      <c r="A294" s="21">
        <f t="shared" si="6"/>
        <v>-2.7449144518435165E-2</v>
      </c>
      <c r="B294" t="s">
        <v>77</v>
      </c>
      <c r="C294" s="21" t="str">
        <f t="shared" si="7"/>
        <v>A</v>
      </c>
      <c r="D294">
        <v>108</v>
      </c>
      <c r="E294">
        <v>105.035492392009</v>
      </c>
    </row>
  </sheetData>
  <phoneticPr fontId="1" type="noConversion"/>
  <conditionalFormatting sqref="A38:A29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4"/>
  <sheetViews>
    <sheetView topLeftCell="C37" zoomScale="80" zoomScaleNormal="80" workbookViewId="0">
      <selection activeCell="Q37" sqref="Q37:T39"/>
    </sheetView>
  </sheetViews>
  <sheetFormatPr defaultRowHeight="16.5" x14ac:dyDescent="0.25"/>
  <cols>
    <col min="1" max="1" width="9" style="1"/>
    <col min="2" max="2" width="8.5" style="1" customWidth="1"/>
    <col min="3" max="3" width="7" style="1" customWidth="1"/>
    <col min="4" max="4" width="9" style="1"/>
    <col min="5" max="8" width="12.125" style="1" customWidth="1"/>
    <col min="9" max="9" width="13.125" style="1" customWidth="1"/>
    <col min="10" max="10" width="14.125" style="1" customWidth="1"/>
    <col min="11" max="12" width="13.25" style="1" customWidth="1"/>
    <col min="13" max="13" width="12.375" style="1" customWidth="1"/>
    <col min="14" max="14" width="12.125" style="1" customWidth="1"/>
    <col min="15" max="15" width="11.5" style="1" customWidth="1"/>
    <col min="16" max="16" width="9" style="1"/>
    <col min="17" max="17" width="10.625" style="1" bestFit="1" customWidth="1"/>
    <col min="18" max="18" width="8.25" style="1" customWidth="1"/>
    <col min="19" max="16384" width="9" style="1"/>
  </cols>
  <sheetData>
    <row r="1" spans="4:16" x14ac:dyDescent="0.25">
      <c r="D1" s="1" t="s">
        <v>4</v>
      </c>
      <c r="H1" s="1" t="s">
        <v>5</v>
      </c>
    </row>
    <row r="2" spans="4:16" x14ac:dyDescent="0.25">
      <c r="D2" s="1" t="s">
        <v>6</v>
      </c>
      <c r="E2" s="1" t="s">
        <v>7</v>
      </c>
      <c r="F2" s="1" t="s">
        <v>8</v>
      </c>
      <c r="G2" s="1" t="s">
        <v>0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</v>
      </c>
      <c r="N2" s="1" t="s">
        <v>16</v>
      </c>
      <c r="O2" s="1" t="s">
        <v>2</v>
      </c>
      <c r="P2" s="1" t="s">
        <v>0</v>
      </c>
    </row>
    <row r="3" spans="4:16" x14ac:dyDescent="0.25">
      <c r="D3" s="1">
        <v>0</v>
      </c>
      <c r="E3" s="1">
        <v>0</v>
      </c>
      <c r="H3" s="1">
        <v>50</v>
      </c>
    </row>
    <row r="4" spans="4:16" x14ac:dyDescent="0.25">
      <c r="D4" s="1">
        <v>30</v>
      </c>
      <c r="E4" s="1">
        <v>30</v>
      </c>
      <c r="H4" s="1">
        <v>50</v>
      </c>
    </row>
    <row r="5" spans="4:16" x14ac:dyDescent="0.25">
      <c r="D5" s="1">
        <v>140</v>
      </c>
      <c r="E5" s="1">
        <v>140</v>
      </c>
      <c r="H5" s="1">
        <v>170</v>
      </c>
    </row>
    <row r="6" spans="4:16" x14ac:dyDescent="0.25">
      <c r="D6" s="1">
        <v>280</v>
      </c>
      <c r="E6" s="1">
        <v>280</v>
      </c>
      <c r="H6" s="1">
        <v>380</v>
      </c>
    </row>
    <row r="7" spans="4:16" x14ac:dyDescent="0.25">
      <c r="D7" s="1">
        <v>860</v>
      </c>
      <c r="E7" s="1">
        <v>430</v>
      </c>
      <c r="H7" s="1">
        <v>1100</v>
      </c>
    </row>
    <row r="8" spans="4:16" x14ac:dyDescent="0.25">
      <c r="D8" s="1">
        <v>120</v>
      </c>
      <c r="E8" s="1">
        <v>120</v>
      </c>
      <c r="K8" s="1">
        <v>0</v>
      </c>
    </row>
    <row r="9" spans="4:16" x14ac:dyDescent="0.25">
      <c r="D9" s="1">
        <v>120</v>
      </c>
      <c r="E9" s="1">
        <v>120</v>
      </c>
      <c r="K9" s="1">
        <v>30</v>
      </c>
    </row>
    <row r="10" spans="4:16" x14ac:dyDescent="0.25">
      <c r="D10" s="1">
        <v>260</v>
      </c>
      <c r="E10" s="1">
        <v>260</v>
      </c>
      <c r="K10" s="1">
        <v>130</v>
      </c>
    </row>
    <row r="11" spans="4:16" x14ac:dyDescent="0.25">
      <c r="D11" s="1">
        <v>550</v>
      </c>
      <c r="E11" s="1">
        <v>550</v>
      </c>
      <c r="K11" s="1">
        <v>250</v>
      </c>
    </row>
    <row r="12" spans="4:16" x14ac:dyDescent="0.25">
      <c r="D12" s="1">
        <v>50</v>
      </c>
      <c r="I12" s="1">
        <v>0</v>
      </c>
    </row>
    <row r="13" spans="4:16" x14ac:dyDescent="0.25">
      <c r="D13" s="1">
        <v>50</v>
      </c>
      <c r="I13" s="1">
        <v>30</v>
      </c>
    </row>
    <row r="14" spans="4:16" x14ac:dyDescent="0.25">
      <c r="D14" s="1">
        <v>170</v>
      </c>
      <c r="I14" s="1">
        <v>145</v>
      </c>
    </row>
    <row r="15" spans="4:16" x14ac:dyDescent="0.25">
      <c r="D15" s="1">
        <v>385</v>
      </c>
      <c r="I15" s="1">
        <v>300</v>
      </c>
    </row>
    <row r="16" spans="4:16" x14ac:dyDescent="0.25">
      <c r="D16" s="1">
        <v>550</v>
      </c>
      <c r="I16" s="1">
        <v>450</v>
      </c>
    </row>
    <row r="17" spans="4:14" x14ac:dyDescent="0.25">
      <c r="D17" s="1">
        <v>0</v>
      </c>
      <c r="J17" s="1">
        <v>60</v>
      </c>
    </row>
    <row r="18" spans="4:14" x14ac:dyDescent="0.25">
      <c r="D18" s="1">
        <v>30</v>
      </c>
      <c r="J18" s="1">
        <v>60</v>
      </c>
    </row>
    <row r="19" spans="4:14" x14ac:dyDescent="0.25">
      <c r="D19" s="1">
        <v>50</v>
      </c>
      <c r="J19" s="1">
        <v>80</v>
      </c>
    </row>
    <row r="20" spans="4:14" x14ac:dyDescent="0.25">
      <c r="D20" s="1">
        <v>70</v>
      </c>
      <c r="J20" s="1">
        <v>110</v>
      </c>
    </row>
    <row r="21" spans="4:14" x14ac:dyDescent="0.25">
      <c r="D21" s="1">
        <v>520</v>
      </c>
      <c r="J21" s="1">
        <v>1100</v>
      </c>
    </row>
    <row r="22" spans="4:14" x14ac:dyDescent="0.25">
      <c r="D22" s="1">
        <v>250</v>
      </c>
      <c r="M22" s="1">
        <v>0</v>
      </c>
    </row>
    <row r="23" spans="4:14" x14ac:dyDescent="0.25">
      <c r="D23" s="1">
        <v>250</v>
      </c>
      <c r="M23" s="1">
        <v>40</v>
      </c>
    </row>
    <row r="24" spans="4:14" x14ac:dyDescent="0.25">
      <c r="D24" s="1">
        <v>550</v>
      </c>
      <c r="M24" s="1">
        <v>150</v>
      </c>
    </row>
    <row r="25" spans="4:14" x14ac:dyDescent="0.25">
      <c r="D25" s="1">
        <v>0</v>
      </c>
      <c r="L25" s="1">
        <v>100</v>
      </c>
    </row>
    <row r="26" spans="4:14" x14ac:dyDescent="0.25">
      <c r="D26" s="1">
        <v>25</v>
      </c>
      <c r="L26" s="1">
        <v>100</v>
      </c>
    </row>
    <row r="27" spans="4:14" x14ac:dyDescent="0.25">
      <c r="D27" s="1">
        <v>50</v>
      </c>
      <c r="L27" s="1">
        <v>125</v>
      </c>
    </row>
    <row r="28" spans="4:14" x14ac:dyDescent="0.25">
      <c r="D28" s="1">
        <v>80</v>
      </c>
      <c r="L28" s="1">
        <v>215</v>
      </c>
    </row>
    <row r="29" spans="4:14" x14ac:dyDescent="0.25">
      <c r="D29" s="1">
        <v>250</v>
      </c>
      <c r="L29" s="1">
        <v>1100</v>
      </c>
    </row>
    <row r="30" spans="4:14" x14ac:dyDescent="0.25">
      <c r="D30" s="1">
        <v>0</v>
      </c>
      <c r="N30" s="1">
        <v>150</v>
      </c>
    </row>
    <row r="31" spans="4:14" x14ac:dyDescent="0.25">
      <c r="D31" s="1">
        <v>35</v>
      </c>
      <c r="N31" s="1">
        <v>155</v>
      </c>
    </row>
    <row r="32" spans="4:14" x14ac:dyDescent="0.25">
      <c r="D32" s="1">
        <v>100</v>
      </c>
      <c r="N32" s="1">
        <v>1100</v>
      </c>
    </row>
    <row r="33" spans="1:20" x14ac:dyDescent="0.25">
      <c r="D33" s="1">
        <v>0</v>
      </c>
      <c r="O33" s="1">
        <v>0</v>
      </c>
    </row>
    <row r="34" spans="1:20" x14ac:dyDescent="0.25">
      <c r="D34" s="1">
        <v>550</v>
      </c>
      <c r="O34" s="1">
        <v>550</v>
      </c>
    </row>
    <row r="36" spans="1:20" ht="17.25" thickBot="1" x14ac:dyDescent="0.3"/>
    <row r="37" spans="1:20" ht="17.25" x14ac:dyDescent="0.25">
      <c r="D37" s="2" t="s">
        <v>3</v>
      </c>
      <c r="E37" s="15" t="s">
        <v>42</v>
      </c>
      <c r="F37" s="15" t="s">
        <v>34</v>
      </c>
      <c r="G37" s="15" t="s">
        <v>35</v>
      </c>
      <c r="H37" s="15" t="s">
        <v>54</v>
      </c>
      <c r="I37" s="15" t="s">
        <v>55</v>
      </c>
      <c r="J37" s="15" t="s">
        <v>56</v>
      </c>
      <c r="K37" s="15" t="s">
        <v>57</v>
      </c>
      <c r="L37" s="15" t="s">
        <v>58</v>
      </c>
      <c r="M37" s="15" t="s">
        <v>59</v>
      </c>
      <c r="N37" s="15" t="s">
        <v>60</v>
      </c>
      <c r="O37" s="15" t="s">
        <v>61</v>
      </c>
      <c r="P37" s="22" t="s">
        <v>62</v>
      </c>
      <c r="Q37" s="24"/>
      <c r="R37" s="25" t="s">
        <v>64</v>
      </c>
      <c r="S37" s="25" t="s">
        <v>65</v>
      </c>
      <c r="T37" s="26" t="s">
        <v>66</v>
      </c>
    </row>
    <row r="38" spans="1:20" ht="17.25" x14ac:dyDescent="0.25">
      <c r="A38" s="21">
        <f>E38/D38-1</f>
        <v>0.11182366348294681</v>
      </c>
      <c r="B38" t="s">
        <v>36</v>
      </c>
      <c r="C38" s="21" t="str">
        <f>IF(OR(A38&gt;=20%,A38&lt;=-20%),"B","A")</f>
        <v>A</v>
      </c>
      <c r="D38">
        <v>94</v>
      </c>
      <c r="E38">
        <v>104.511424367397</v>
      </c>
      <c r="F38"/>
      <c r="G38" s="5"/>
      <c r="Q38" s="28" t="s">
        <v>67</v>
      </c>
      <c r="R38" s="23">
        <f>COUNTIF(C38:C294,"A")</f>
        <v>140</v>
      </c>
      <c r="S38" s="23">
        <f>COUNTIF(C38:C294,"B")</f>
        <v>111</v>
      </c>
      <c r="T38" s="27">
        <v>257</v>
      </c>
    </row>
    <row r="39" spans="1:20" ht="18" thickBot="1" x14ac:dyDescent="0.3">
      <c r="A39" s="21">
        <f t="shared" ref="A39:A102" si="0">E39/D39-1</f>
        <v>-0.22360638764846386</v>
      </c>
      <c r="B39" t="s">
        <v>36</v>
      </c>
      <c r="C39" s="21" t="str">
        <f t="shared" ref="C39:C102" si="1">IF(OR(A39&gt;=20%,A39&lt;=-20%),"B","A")</f>
        <v>B</v>
      </c>
      <c r="D39">
        <v>194</v>
      </c>
      <c r="E39">
        <v>150.62036079619801</v>
      </c>
      <c r="F39"/>
      <c r="G39" s="5"/>
      <c r="Q39" s="29" t="s">
        <v>68</v>
      </c>
      <c r="R39" s="31">
        <f>R38/T38</f>
        <v>0.54474708171206221</v>
      </c>
      <c r="S39" s="31">
        <f>S38/T38</f>
        <v>0.43190661478599224</v>
      </c>
      <c r="T39" s="30">
        <f>R39+S39</f>
        <v>0.97665369649805445</v>
      </c>
    </row>
    <row r="40" spans="1:20" ht="17.25" x14ac:dyDescent="0.25">
      <c r="A40" s="21">
        <f t="shared" si="0"/>
        <v>-1.1496442383377437E-2</v>
      </c>
      <c r="B40" t="s">
        <v>36</v>
      </c>
      <c r="C40" s="21" t="str">
        <f t="shared" si="1"/>
        <v>A</v>
      </c>
      <c r="D40">
        <v>151</v>
      </c>
      <c r="E40">
        <v>149.26403720011001</v>
      </c>
      <c r="F40"/>
      <c r="G40" s="5"/>
      <c r="Q40" s="21"/>
      <c r="R40" s="21"/>
    </row>
    <row r="41" spans="1:20" ht="17.25" x14ac:dyDescent="0.25">
      <c r="A41" s="21">
        <f t="shared" si="0"/>
        <v>0.40513502946863533</v>
      </c>
      <c r="B41" t="s">
        <v>36</v>
      </c>
      <c r="C41" s="21" t="str">
        <f t="shared" si="1"/>
        <v>B</v>
      </c>
      <c r="D41">
        <v>96</v>
      </c>
      <c r="E41">
        <v>134.892962828989</v>
      </c>
      <c r="F41"/>
      <c r="G41" s="5"/>
      <c r="Q41" s="21"/>
      <c r="R41" s="21"/>
    </row>
    <row r="42" spans="1:20" ht="17.25" x14ac:dyDescent="0.25">
      <c r="A42" s="21">
        <f t="shared" si="0"/>
        <v>0.49626013234776511</v>
      </c>
      <c r="B42" t="s">
        <v>36</v>
      </c>
      <c r="C42" s="21" t="str">
        <f t="shared" si="1"/>
        <v>B</v>
      </c>
      <c r="D42">
        <v>132</v>
      </c>
      <c r="E42">
        <v>197.50633746990499</v>
      </c>
      <c r="F42"/>
      <c r="G42" s="5"/>
      <c r="Q42" s="21"/>
      <c r="R42" s="21"/>
    </row>
    <row r="43" spans="1:20" ht="17.25" x14ac:dyDescent="0.25">
      <c r="A43" s="21">
        <f t="shared" si="0"/>
        <v>0.28605136986333912</v>
      </c>
      <c r="B43" t="s">
        <v>36</v>
      </c>
      <c r="C43" s="21" t="str">
        <f t="shared" si="1"/>
        <v>B</v>
      </c>
      <c r="D43">
        <v>115</v>
      </c>
      <c r="E43">
        <v>147.89590753428399</v>
      </c>
      <c r="F43"/>
      <c r="G43" s="5"/>
      <c r="Q43" s="21"/>
      <c r="R43" s="21"/>
    </row>
    <row r="44" spans="1:20" ht="17.25" x14ac:dyDescent="0.25">
      <c r="A44" s="21">
        <f t="shared" si="0"/>
        <v>1.1928527201647832E-2</v>
      </c>
      <c r="B44" t="s">
        <v>36</v>
      </c>
      <c r="C44" s="21" t="str">
        <f t="shared" si="1"/>
        <v>A</v>
      </c>
      <c r="D44">
        <v>90</v>
      </c>
      <c r="E44">
        <v>91.073567448148296</v>
      </c>
      <c r="F44"/>
      <c r="G44" s="5"/>
      <c r="Q44" s="21"/>
      <c r="R44" s="21"/>
    </row>
    <row r="45" spans="1:20" ht="17.25" x14ac:dyDescent="0.25">
      <c r="A45" s="21">
        <f t="shared" si="0"/>
        <v>-0.16311144264939692</v>
      </c>
      <c r="B45" t="s">
        <v>36</v>
      </c>
      <c r="C45" s="21" t="str">
        <f t="shared" si="1"/>
        <v>A</v>
      </c>
      <c r="D45">
        <v>199</v>
      </c>
      <c r="E45">
        <v>166.54082291277001</v>
      </c>
      <c r="F45"/>
      <c r="G45" s="5"/>
      <c r="Q45" s="21"/>
      <c r="R45" s="21"/>
    </row>
    <row r="46" spans="1:20" ht="17.25" x14ac:dyDescent="0.25">
      <c r="A46" s="21">
        <f t="shared" si="0"/>
        <v>-6.8092308108339994E-2</v>
      </c>
      <c r="B46" t="s">
        <v>36</v>
      </c>
      <c r="C46" s="21" t="str">
        <f t="shared" si="1"/>
        <v>A</v>
      </c>
      <c r="D46">
        <v>197</v>
      </c>
      <c r="E46">
        <v>183.58581530265701</v>
      </c>
      <c r="F46"/>
      <c r="G46" s="5"/>
      <c r="Q46" s="21"/>
      <c r="R46" s="21"/>
    </row>
    <row r="47" spans="1:20" ht="17.25" x14ac:dyDescent="0.25">
      <c r="A47" s="21">
        <f t="shared" si="0"/>
        <v>-1</v>
      </c>
      <c r="B47" t="s">
        <v>43</v>
      </c>
      <c r="C47" s="21" t="s">
        <v>70</v>
      </c>
      <c r="D47">
        <v>92</v>
      </c>
      <c r="E47"/>
      <c r="F47">
        <v>181.39125639379299</v>
      </c>
      <c r="G47" s="5"/>
      <c r="Q47" s="21"/>
      <c r="R47" s="21"/>
    </row>
    <row r="48" spans="1:20" ht="17.25" x14ac:dyDescent="0.25">
      <c r="A48" s="21">
        <f t="shared" si="0"/>
        <v>-1</v>
      </c>
      <c r="B48" t="s">
        <v>43</v>
      </c>
      <c r="C48" s="21" t="s">
        <v>69</v>
      </c>
      <c r="D48">
        <v>94</v>
      </c>
      <c r="E48"/>
      <c r="F48">
        <v>168.728241405689</v>
      </c>
      <c r="G48" s="5"/>
      <c r="Q48" s="21"/>
      <c r="R48" s="21"/>
    </row>
    <row r="49" spans="1:18" ht="17.25" x14ac:dyDescent="0.25">
      <c r="A49" s="21">
        <f t="shared" si="0"/>
        <v>0.16285471157494058</v>
      </c>
      <c r="B49" t="s">
        <v>43</v>
      </c>
      <c r="C49" s="21" t="str">
        <f t="shared" si="1"/>
        <v>A</v>
      </c>
      <c r="D49">
        <v>101</v>
      </c>
      <c r="E49">
        <v>117.448325869069</v>
      </c>
      <c r="F49"/>
      <c r="G49" s="5"/>
      <c r="Q49" s="21"/>
      <c r="R49" s="21"/>
    </row>
    <row r="50" spans="1:18" ht="17.25" x14ac:dyDescent="0.25">
      <c r="A50" s="21">
        <f t="shared" si="0"/>
        <v>0.30386436439460418</v>
      </c>
      <c r="B50" t="s">
        <v>43</v>
      </c>
      <c r="C50" s="21" t="str">
        <f t="shared" si="1"/>
        <v>B</v>
      </c>
      <c r="D50">
        <v>96</v>
      </c>
      <c r="E50">
        <v>125.170978981882</v>
      </c>
      <c r="F50"/>
      <c r="G50" s="5"/>
      <c r="Q50" s="21"/>
      <c r="R50" s="21"/>
    </row>
    <row r="51" spans="1:18" ht="17.25" x14ac:dyDescent="0.25">
      <c r="A51" s="21">
        <f t="shared" si="0"/>
        <v>0.38582680125975255</v>
      </c>
      <c r="B51" t="s">
        <v>43</v>
      </c>
      <c r="C51" s="21" t="str">
        <f t="shared" si="1"/>
        <v>B</v>
      </c>
      <c r="D51">
        <v>101</v>
      </c>
      <c r="E51">
        <v>139.96850692723501</v>
      </c>
      <c r="F51"/>
      <c r="G51" s="5"/>
      <c r="Q51" s="21"/>
      <c r="R51" s="21"/>
    </row>
    <row r="52" spans="1:18" ht="17.25" x14ac:dyDescent="0.25">
      <c r="A52" s="21">
        <f t="shared" si="0"/>
        <v>0.19853810036986963</v>
      </c>
      <c r="B52" t="s">
        <v>43</v>
      </c>
      <c r="C52" s="21" t="str">
        <f t="shared" si="1"/>
        <v>A</v>
      </c>
      <c r="D52">
        <v>92</v>
      </c>
      <c r="E52">
        <v>110.265505234028</v>
      </c>
      <c r="F52"/>
      <c r="G52" s="5"/>
      <c r="Q52" s="21"/>
      <c r="R52" s="21"/>
    </row>
    <row r="53" spans="1:18" ht="17.25" x14ac:dyDescent="0.25">
      <c r="A53" s="21">
        <f t="shared" si="0"/>
        <v>0.24627007497300002</v>
      </c>
      <c r="B53" t="s">
        <v>43</v>
      </c>
      <c r="C53" s="21" t="str">
        <f t="shared" si="1"/>
        <v>B</v>
      </c>
      <c r="D53">
        <v>104</v>
      </c>
      <c r="E53">
        <v>129.612087797192</v>
      </c>
      <c r="F53"/>
      <c r="G53" s="5"/>
      <c r="Q53" s="21"/>
      <c r="R53" s="21"/>
    </row>
    <row r="54" spans="1:18" ht="17.25" x14ac:dyDescent="0.25">
      <c r="A54" s="21">
        <f t="shared" si="0"/>
        <v>0.31225873076190425</v>
      </c>
      <c r="B54" t="s">
        <v>43</v>
      </c>
      <c r="C54" s="21" t="str">
        <f t="shared" si="1"/>
        <v>B</v>
      </c>
      <c r="D54">
        <v>94</v>
      </c>
      <c r="E54">
        <v>123.352320691619</v>
      </c>
      <c r="F54"/>
      <c r="G54" s="5"/>
      <c r="Q54" s="21"/>
      <c r="R54" s="21"/>
    </row>
    <row r="55" spans="1:18" ht="17.25" x14ac:dyDescent="0.25">
      <c r="A55" s="21">
        <f t="shared" si="0"/>
        <v>0.21371929186942751</v>
      </c>
      <c r="B55" t="s">
        <v>43</v>
      </c>
      <c r="C55" s="21" t="str">
        <f t="shared" si="1"/>
        <v>B</v>
      </c>
      <c r="D55">
        <v>145</v>
      </c>
      <c r="E55">
        <v>175.989297321067</v>
      </c>
      <c r="F55"/>
      <c r="G55" s="5"/>
      <c r="Q55" s="21"/>
      <c r="R55" s="21"/>
    </row>
    <row r="56" spans="1:18" ht="17.25" x14ac:dyDescent="0.25">
      <c r="A56" s="21">
        <f t="shared" si="0"/>
        <v>2.6146371927503687E-2</v>
      </c>
      <c r="B56" t="s">
        <v>43</v>
      </c>
      <c r="C56" s="21" t="str">
        <f t="shared" si="1"/>
        <v>A</v>
      </c>
      <c r="D56">
        <v>139</v>
      </c>
      <c r="E56">
        <v>142.63434569792301</v>
      </c>
      <c r="F56"/>
      <c r="G56" s="5"/>
      <c r="Q56" s="21"/>
      <c r="R56" s="21"/>
    </row>
    <row r="57" spans="1:18" ht="17.25" x14ac:dyDescent="0.25">
      <c r="A57" s="21">
        <f t="shared" si="0"/>
        <v>0.10562145206522611</v>
      </c>
      <c r="B57" t="s">
        <v>43</v>
      </c>
      <c r="C57" s="21" t="str">
        <f t="shared" si="1"/>
        <v>A</v>
      </c>
      <c r="D57">
        <v>115</v>
      </c>
      <c r="E57">
        <v>127.146466987501</v>
      </c>
      <c r="F57"/>
      <c r="G57" s="5"/>
      <c r="Q57" s="21"/>
      <c r="R57" s="21"/>
    </row>
    <row r="58" spans="1:18" x14ac:dyDescent="0.25">
      <c r="A58" s="21">
        <f t="shared" si="0"/>
        <v>0.23606488814131099</v>
      </c>
      <c r="B58" t="s">
        <v>44</v>
      </c>
      <c r="C58" s="21" t="str">
        <f t="shared" si="1"/>
        <v>B</v>
      </c>
      <c r="D58">
        <v>90</v>
      </c>
      <c r="E58">
        <v>111.245839932718</v>
      </c>
      <c r="F58"/>
      <c r="G58"/>
      <c r="Q58" s="21"/>
      <c r="R58" s="21"/>
    </row>
    <row r="59" spans="1:18" x14ac:dyDescent="0.25">
      <c r="A59" s="21">
        <f t="shared" si="0"/>
        <v>-0.12121583710601458</v>
      </c>
      <c r="B59" t="s">
        <v>44</v>
      </c>
      <c r="C59" s="21" t="str">
        <f t="shared" si="1"/>
        <v>A</v>
      </c>
      <c r="D59">
        <v>137.5</v>
      </c>
      <c r="E59">
        <v>120.832822397923</v>
      </c>
      <c r="F59"/>
      <c r="G59"/>
      <c r="Q59" s="21"/>
      <c r="R59" s="21"/>
    </row>
    <row r="60" spans="1:18" x14ac:dyDescent="0.25">
      <c r="A60" s="21">
        <f t="shared" si="0"/>
        <v>5.2468368536347398E-2</v>
      </c>
      <c r="B60" t="s">
        <v>44</v>
      </c>
      <c r="C60" s="21" t="str">
        <f t="shared" si="1"/>
        <v>A</v>
      </c>
      <c r="D60">
        <v>106.5</v>
      </c>
      <c r="E60">
        <v>112.087881249121</v>
      </c>
      <c r="F60"/>
      <c r="G60"/>
      <c r="Q60" s="21"/>
      <c r="R60" s="21"/>
    </row>
    <row r="61" spans="1:18" x14ac:dyDescent="0.25">
      <c r="A61" s="21">
        <f t="shared" si="0"/>
        <v>0.11827499026019805</v>
      </c>
      <c r="B61" t="s">
        <v>44</v>
      </c>
      <c r="C61" s="21" t="str">
        <f t="shared" si="1"/>
        <v>A</v>
      </c>
      <c r="D61">
        <v>101</v>
      </c>
      <c r="E61">
        <v>112.94577401628</v>
      </c>
      <c r="F61"/>
      <c r="G61"/>
      <c r="Q61" s="21"/>
      <c r="R61" s="21"/>
    </row>
    <row r="62" spans="1:18" ht="17.25" x14ac:dyDescent="0.25">
      <c r="A62" s="21">
        <f t="shared" si="0"/>
        <v>-0.25642664584880182</v>
      </c>
      <c r="B62" t="s">
        <v>45</v>
      </c>
      <c r="C62" s="21" t="str">
        <f t="shared" si="1"/>
        <v>B</v>
      </c>
      <c r="D62">
        <v>212</v>
      </c>
      <c r="E62">
        <v>157.63755108005401</v>
      </c>
      <c r="F62"/>
      <c r="G62" s="5"/>
      <c r="H62"/>
      <c r="Q62" s="21"/>
      <c r="R62" s="21"/>
    </row>
    <row r="63" spans="1:18" ht="17.25" x14ac:dyDescent="0.25">
      <c r="A63" s="21">
        <f t="shared" si="0"/>
        <v>-4.334778981450782E-2</v>
      </c>
      <c r="B63" t="s">
        <v>45</v>
      </c>
      <c r="C63" s="21" t="str">
        <f t="shared" si="1"/>
        <v>A</v>
      </c>
      <c r="D63">
        <v>258</v>
      </c>
      <c r="E63">
        <v>246.81627022785699</v>
      </c>
      <c r="F63"/>
      <c r="G63" s="5"/>
      <c r="H63"/>
      <c r="Q63" s="21"/>
      <c r="R63" s="21"/>
    </row>
    <row r="64" spans="1:18" ht="17.25" x14ac:dyDescent="0.25">
      <c r="A64" s="21">
        <f t="shared" si="0"/>
        <v>-3.3777386762236961E-2</v>
      </c>
      <c r="B64" t="s">
        <v>45</v>
      </c>
      <c r="C64" s="21" t="str">
        <f t="shared" si="1"/>
        <v>A</v>
      </c>
      <c r="D64">
        <v>257.5</v>
      </c>
      <c r="E64">
        <v>248.80232290872399</v>
      </c>
      <c r="F64"/>
      <c r="G64" s="5"/>
      <c r="H64"/>
      <c r="Q64" s="21"/>
      <c r="R64" s="21"/>
    </row>
    <row r="65" spans="1:18" ht="17.25" x14ac:dyDescent="0.25">
      <c r="A65" s="21">
        <f t="shared" si="0"/>
        <v>-4.7829635734391251E-2</v>
      </c>
      <c r="B65" t="s">
        <v>45</v>
      </c>
      <c r="C65" s="21" t="str">
        <f t="shared" si="1"/>
        <v>A</v>
      </c>
      <c r="D65">
        <v>204.5</v>
      </c>
      <c r="E65">
        <v>194.71883949231699</v>
      </c>
      <c r="F65"/>
      <c r="G65" s="5"/>
      <c r="H65"/>
      <c r="Q65" s="21"/>
      <c r="R65" s="21"/>
    </row>
    <row r="66" spans="1:18" ht="17.25" x14ac:dyDescent="0.25">
      <c r="A66" s="21">
        <f t="shared" si="0"/>
        <v>-0.15596753568818278</v>
      </c>
      <c r="B66" t="s">
        <v>45</v>
      </c>
      <c r="C66" s="21" t="str">
        <f t="shared" si="1"/>
        <v>A</v>
      </c>
      <c r="D66">
        <v>383</v>
      </c>
      <c r="E66">
        <v>323.264433831426</v>
      </c>
      <c r="F66"/>
      <c r="G66" s="5"/>
      <c r="H66"/>
      <c r="Q66" s="21"/>
      <c r="R66" s="21"/>
    </row>
    <row r="67" spans="1:18" ht="17.25" x14ac:dyDescent="0.25">
      <c r="A67" s="21">
        <f t="shared" si="0"/>
        <v>0.25593212870240412</v>
      </c>
      <c r="B67" t="s">
        <v>46</v>
      </c>
      <c r="C67" s="21" t="str">
        <f t="shared" si="1"/>
        <v>B</v>
      </c>
      <c r="D67">
        <v>96.5</v>
      </c>
      <c r="E67">
        <v>121.197450419782</v>
      </c>
      <c r="F67"/>
      <c r="G67" s="5"/>
      <c r="I67"/>
      <c r="Q67" s="21"/>
      <c r="R67" s="21"/>
    </row>
    <row r="68" spans="1:18" ht="17.25" x14ac:dyDescent="0.25">
      <c r="A68" s="21">
        <f t="shared" si="0"/>
        <v>-8.6755716016651441E-2</v>
      </c>
      <c r="B68" t="s">
        <v>46</v>
      </c>
      <c r="C68" s="21" t="str">
        <f t="shared" si="1"/>
        <v>A</v>
      </c>
      <c r="D68">
        <v>153.5</v>
      </c>
      <c r="E68">
        <v>140.18299759144401</v>
      </c>
      <c r="F68"/>
      <c r="G68" s="5"/>
      <c r="I68"/>
      <c r="Q68" s="21"/>
      <c r="R68" s="21"/>
    </row>
    <row r="69" spans="1:18" ht="17.25" x14ac:dyDescent="0.25">
      <c r="A69" s="21">
        <f t="shared" si="0"/>
        <v>-7.0403524961992758E-3</v>
      </c>
      <c r="B69" t="s">
        <v>46</v>
      </c>
      <c r="C69" s="21" t="str">
        <f t="shared" si="1"/>
        <v>A</v>
      </c>
      <c r="D69">
        <v>130.5</v>
      </c>
      <c r="E69">
        <v>129.581233999246</v>
      </c>
      <c r="F69"/>
      <c r="G69" s="5"/>
      <c r="I69"/>
      <c r="Q69" s="21"/>
      <c r="R69" s="21"/>
    </row>
    <row r="70" spans="1:18" ht="17.25" x14ac:dyDescent="0.25">
      <c r="A70" s="21">
        <f t="shared" si="0"/>
        <v>-0.14508912601910295</v>
      </c>
      <c r="B70" t="s">
        <v>46</v>
      </c>
      <c r="C70" s="21" t="str">
        <f t="shared" si="1"/>
        <v>A</v>
      </c>
      <c r="D70">
        <v>136</v>
      </c>
      <c r="E70">
        <v>116.267878861402</v>
      </c>
      <c r="F70"/>
      <c r="G70" s="5"/>
      <c r="I70"/>
      <c r="Q70" s="21"/>
      <c r="R70" s="21"/>
    </row>
    <row r="71" spans="1:18" ht="17.25" x14ac:dyDescent="0.25">
      <c r="A71" s="21">
        <f t="shared" si="0"/>
        <v>7.4911170860846754E-2</v>
      </c>
      <c r="B71" t="s">
        <v>46</v>
      </c>
      <c r="C71" s="21" t="str">
        <f t="shared" si="1"/>
        <v>A</v>
      </c>
      <c r="D71">
        <v>111</v>
      </c>
      <c r="E71">
        <v>119.315139965554</v>
      </c>
      <c r="F71"/>
      <c r="G71" s="5"/>
      <c r="I71"/>
      <c r="Q71" s="21"/>
      <c r="R71" s="21"/>
    </row>
    <row r="72" spans="1:18" ht="17.25" x14ac:dyDescent="0.25">
      <c r="A72" s="21">
        <f t="shared" si="0"/>
        <v>0.10026146236290745</v>
      </c>
      <c r="B72" t="s">
        <v>46</v>
      </c>
      <c r="C72" s="21" t="str">
        <f t="shared" si="1"/>
        <v>A</v>
      </c>
      <c r="D72">
        <v>156.5</v>
      </c>
      <c r="E72">
        <v>172.190918859795</v>
      </c>
      <c r="F72"/>
      <c r="G72" s="5"/>
      <c r="I72"/>
      <c r="Q72" s="21"/>
      <c r="R72" s="21"/>
    </row>
    <row r="73" spans="1:18" ht="17.25" x14ac:dyDescent="0.25">
      <c r="A73" s="21">
        <f t="shared" si="0"/>
        <v>0.72974270980845879</v>
      </c>
      <c r="B73" t="s">
        <v>46</v>
      </c>
      <c r="C73" s="21" t="str">
        <f t="shared" si="1"/>
        <v>B</v>
      </c>
      <c r="D73">
        <v>109</v>
      </c>
      <c r="E73">
        <v>188.54195536912201</v>
      </c>
      <c r="F73"/>
      <c r="G73" s="5"/>
      <c r="I73"/>
      <c r="Q73" s="21"/>
      <c r="R73" s="21"/>
    </row>
    <row r="74" spans="1:18" ht="17.25" x14ac:dyDescent="0.25">
      <c r="A74" s="21">
        <f t="shared" si="0"/>
        <v>6.5435050349892832E-2</v>
      </c>
      <c r="B74" t="s">
        <v>46</v>
      </c>
      <c r="C74" s="21" t="str">
        <f t="shared" si="1"/>
        <v>A</v>
      </c>
      <c r="D74">
        <v>112</v>
      </c>
      <c r="E74">
        <v>119.32872563918799</v>
      </c>
      <c r="F74"/>
      <c r="G74" s="5"/>
      <c r="I74"/>
      <c r="Q74" s="21"/>
      <c r="R74" s="21"/>
    </row>
    <row r="75" spans="1:18" ht="17.25" x14ac:dyDescent="0.25">
      <c r="A75" s="21">
        <f t="shared" si="0"/>
        <v>0.25955576640692457</v>
      </c>
      <c r="B75" t="s">
        <v>46</v>
      </c>
      <c r="C75" s="21" t="str">
        <f t="shared" si="1"/>
        <v>B</v>
      </c>
      <c r="D75">
        <v>93</v>
      </c>
      <c r="E75">
        <v>117.13868627584399</v>
      </c>
      <c r="F75"/>
      <c r="G75" s="5"/>
      <c r="I75"/>
      <c r="Q75" s="21"/>
      <c r="R75" s="21"/>
    </row>
    <row r="76" spans="1:18" ht="17.25" x14ac:dyDescent="0.25">
      <c r="A76" s="21">
        <f t="shared" si="0"/>
        <v>-0.20165105801018957</v>
      </c>
      <c r="B76" t="s">
        <v>46</v>
      </c>
      <c r="C76" s="21" t="str">
        <f t="shared" si="1"/>
        <v>B</v>
      </c>
      <c r="D76">
        <v>163.5</v>
      </c>
      <c r="E76">
        <v>130.53005201533401</v>
      </c>
      <c r="F76"/>
      <c r="G76" s="5"/>
      <c r="I76"/>
      <c r="Q76" s="21"/>
      <c r="R76" s="21"/>
    </row>
    <row r="77" spans="1:18" ht="17.25" x14ac:dyDescent="0.25">
      <c r="A77" s="21">
        <f t="shared" si="0"/>
        <v>0.18590434177510295</v>
      </c>
      <c r="B77" t="s">
        <v>46</v>
      </c>
      <c r="C77" s="21" t="str">
        <f t="shared" si="1"/>
        <v>A</v>
      </c>
      <c r="D77">
        <v>136</v>
      </c>
      <c r="E77">
        <v>161.282990481414</v>
      </c>
      <c r="F77"/>
      <c r="G77" s="5"/>
      <c r="I77"/>
      <c r="Q77" s="21"/>
      <c r="R77" s="21"/>
    </row>
    <row r="78" spans="1:18" ht="17.25" x14ac:dyDescent="0.25">
      <c r="A78" s="21">
        <f t="shared" si="0"/>
        <v>4.9977050296475145E-2</v>
      </c>
      <c r="B78" t="s">
        <v>46</v>
      </c>
      <c r="C78" s="21" t="str">
        <f t="shared" si="1"/>
        <v>A</v>
      </c>
      <c r="D78">
        <v>120</v>
      </c>
      <c r="E78">
        <v>125.99724603557701</v>
      </c>
      <c r="F78"/>
      <c r="G78" s="5"/>
      <c r="I78"/>
      <c r="Q78" s="21"/>
      <c r="R78" s="21"/>
    </row>
    <row r="79" spans="1:18" ht="17.25" x14ac:dyDescent="0.25">
      <c r="A79" s="21">
        <f t="shared" si="0"/>
        <v>0.22759740732159894</v>
      </c>
      <c r="B79" t="s">
        <v>47</v>
      </c>
      <c r="C79" s="21" t="str">
        <f t="shared" si="1"/>
        <v>B</v>
      </c>
      <c r="D79">
        <v>184.5</v>
      </c>
      <c r="E79">
        <v>226.49172165083499</v>
      </c>
      <c r="F79"/>
      <c r="G79" s="5"/>
      <c r="J79"/>
      <c r="Q79" s="21"/>
      <c r="R79" s="21"/>
    </row>
    <row r="80" spans="1:18" ht="17.25" x14ac:dyDescent="0.25">
      <c r="A80" s="21">
        <f t="shared" si="0"/>
        <v>0.16645794905790767</v>
      </c>
      <c r="B80" t="s">
        <v>47</v>
      </c>
      <c r="C80" s="21" t="str">
        <f t="shared" si="1"/>
        <v>A</v>
      </c>
      <c r="D80">
        <v>195</v>
      </c>
      <c r="E80">
        <v>227.459300066292</v>
      </c>
      <c r="F80"/>
      <c r="G80" s="5"/>
      <c r="J80"/>
      <c r="Q80" s="21"/>
      <c r="R80" s="21"/>
    </row>
    <row r="81" spans="1:18" ht="17.25" x14ac:dyDescent="0.25">
      <c r="A81" s="21">
        <f t="shared" si="0"/>
        <v>5.0049955449401828E-2</v>
      </c>
      <c r="B81" t="s">
        <v>47</v>
      </c>
      <c r="C81" s="21" t="str">
        <f t="shared" si="1"/>
        <v>A</v>
      </c>
      <c r="D81">
        <v>224</v>
      </c>
      <c r="E81">
        <v>235.21119002066601</v>
      </c>
      <c r="F81"/>
      <c r="G81" s="5"/>
      <c r="J81"/>
      <c r="Q81" s="21"/>
      <c r="R81" s="21"/>
    </row>
    <row r="82" spans="1:18" ht="17.25" x14ac:dyDescent="0.25">
      <c r="A82" s="21">
        <f t="shared" si="0"/>
        <v>-2.8854088593416982E-2</v>
      </c>
      <c r="B82" t="s">
        <v>47</v>
      </c>
      <c r="C82" s="21" t="str">
        <f t="shared" si="1"/>
        <v>A</v>
      </c>
      <c r="D82">
        <v>247</v>
      </c>
      <c r="E82">
        <v>239.873040117426</v>
      </c>
      <c r="F82"/>
      <c r="G82" s="5"/>
      <c r="J82"/>
      <c r="Q82" s="21"/>
      <c r="R82" s="21"/>
    </row>
    <row r="83" spans="1:18" ht="17.25" x14ac:dyDescent="0.25">
      <c r="A83" s="21">
        <f t="shared" si="0"/>
        <v>-1</v>
      </c>
      <c r="B83" t="s">
        <v>47</v>
      </c>
      <c r="C83" s="21" t="s">
        <v>69</v>
      </c>
      <c r="D83">
        <v>146</v>
      </c>
      <c r="E83"/>
      <c r="F83">
        <v>271.48480493426001</v>
      </c>
      <c r="G83" s="5"/>
      <c r="J83"/>
      <c r="Q83" s="21"/>
      <c r="R83" s="21"/>
    </row>
    <row r="84" spans="1:18" ht="17.25" x14ac:dyDescent="0.25">
      <c r="A84" s="21">
        <f t="shared" si="0"/>
        <v>2.7336815863896247E-2</v>
      </c>
      <c r="B84" t="s">
        <v>47</v>
      </c>
      <c r="C84" s="21" t="str">
        <f t="shared" si="1"/>
        <v>A</v>
      </c>
      <c r="D84">
        <v>183</v>
      </c>
      <c r="E84">
        <v>188.002637303093</v>
      </c>
      <c r="F84"/>
      <c r="G84" s="5"/>
      <c r="J84"/>
      <c r="Q84" s="21"/>
      <c r="R84" s="21"/>
    </row>
    <row r="85" spans="1:18" ht="17.25" x14ac:dyDescent="0.25">
      <c r="A85" s="21">
        <f t="shared" si="0"/>
        <v>0.37117017967212562</v>
      </c>
      <c r="B85" t="s">
        <v>47</v>
      </c>
      <c r="C85" s="21" t="str">
        <f t="shared" si="1"/>
        <v>B</v>
      </c>
      <c r="D85">
        <v>159</v>
      </c>
      <c r="E85">
        <v>218.01605856786799</v>
      </c>
      <c r="F85"/>
      <c r="G85" s="5"/>
      <c r="J85"/>
      <c r="Q85" s="21"/>
      <c r="R85" s="21"/>
    </row>
    <row r="86" spans="1:18" ht="17.25" x14ac:dyDescent="0.25">
      <c r="A86" s="21">
        <f t="shared" si="0"/>
        <v>0.15824641881088897</v>
      </c>
      <c r="B86" t="s">
        <v>50</v>
      </c>
      <c r="C86" s="21" t="str">
        <f t="shared" si="1"/>
        <v>A</v>
      </c>
      <c r="D86">
        <v>99</v>
      </c>
      <c r="E86">
        <v>114.666395462278</v>
      </c>
      <c r="F86"/>
      <c r="G86" s="5"/>
      <c r="K86"/>
      <c r="Q86" s="21"/>
      <c r="R86" s="21"/>
    </row>
    <row r="87" spans="1:18" ht="17.25" x14ac:dyDescent="0.25">
      <c r="A87" s="21">
        <f t="shared" si="0"/>
        <v>-1.9722962780885589E-2</v>
      </c>
      <c r="B87" t="s">
        <v>50</v>
      </c>
      <c r="C87" s="21" t="str">
        <f t="shared" si="1"/>
        <v>A</v>
      </c>
      <c r="D87">
        <v>140</v>
      </c>
      <c r="E87">
        <v>137.23878521067601</v>
      </c>
      <c r="F87"/>
      <c r="G87" s="5"/>
      <c r="K87"/>
      <c r="Q87" s="21"/>
      <c r="R87" s="21"/>
    </row>
    <row r="88" spans="1:18" ht="17.25" x14ac:dyDescent="0.25">
      <c r="A88" s="21">
        <f t="shared" si="0"/>
        <v>7.0409298957540889E-2</v>
      </c>
      <c r="B88" t="s">
        <v>50</v>
      </c>
      <c r="C88" s="21" t="str">
        <f t="shared" si="1"/>
        <v>A</v>
      </c>
      <c r="D88">
        <v>135</v>
      </c>
      <c r="E88">
        <v>144.50525535926801</v>
      </c>
      <c r="F88"/>
      <c r="G88" s="5"/>
      <c r="K88"/>
      <c r="Q88" s="21"/>
      <c r="R88" s="21"/>
    </row>
    <row r="89" spans="1:18" ht="17.25" x14ac:dyDescent="0.25">
      <c r="A89" s="21">
        <f t="shared" si="0"/>
        <v>0.32797808706271425</v>
      </c>
      <c r="B89" t="s">
        <v>50</v>
      </c>
      <c r="C89" s="21" t="str">
        <f t="shared" si="1"/>
        <v>B</v>
      </c>
      <c r="D89">
        <v>98</v>
      </c>
      <c r="E89">
        <v>130.141852532146</v>
      </c>
      <c r="F89"/>
      <c r="G89" s="5"/>
      <c r="K89"/>
      <c r="Q89" s="21"/>
      <c r="R89" s="21"/>
    </row>
    <row r="90" spans="1:18" ht="17.25" x14ac:dyDescent="0.25">
      <c r="A90" s="21">
        <f t="shared" si="0"/>
        <v>0.2599287631526559</v>
      </c>
      <c r="B90" t="s">
        <v>50</v>
      </c>
      <c r="C90" s="21" t="str">
        <f t="shared" si="1"/>
        <v>B</v>
      </c>
      <c r="D90">
        <v>93</v>
      </c>
      <c r="E90">
        <v>117.173374973197</v>
      </c>
      <c r="F90"/>
      <c r="G90" s="5"/>
      <c r="K90"/>
      <c r="Q90" s="21"/>
      <c r="R90" s="21"/>
    </row>
    <row r="91" spans="1:18" ht="17.25" x14ac:dyDescent="0.25">
      <c r="A91" s="21">
        <f t="shared" si="0"/>
        <v>0.25788124795537759</v>
      </c>
      <c r="B91" t="s">
        <v>50</v>
      </c>
      <c r="C91" s="21" t="str">
        <f t="shared" si="1"/>
        <v>B</v>
      </c>
      <c r="D91">
        <v>151</v>
      </c>
      <c r="E91">
        <v>189.94006844126201</v>
      </c>
      <c r="F91"/>
      <c r="G91" s="5"/>
      <c r="K91"/>
      <c r="Q91" s="21"/>
      <c r="R91" s="21"/>
    </row>
    <row r="92" spans="1:18" ht="17.25" x14ac:dyDescent="0.25">
      <c r="A92" s="21">
        <f t="shared" si="0"/>
        <v>0.30248702222671953</v>
      </c>
      <c r="B92" t="s">
        <v>50</v>
      </c>
      <c r="C92" s="21" t="str">
        <f t="shared" si="1"/>
        <v>B</v>
      </c>
      <c r="D92">
        <v>164</v>
      </c>
      <c r="E92">
        <v>213.607871645182</v>
      </c>
      <c r="F92"/>
      <c r="G92" s="5"/>
      <c r="K92"/>
      <c r="Q92" s="21"/>
      <c r="R92" s="21"/>
    </row>
    <row r="93" spans="1:18" ht="17.25" x14ac:dyDescent="0.25">
      <c r="A93" s="21">
        <f t="shared" si="0"/>
        <v>-3.3654356093296922E-2</v>
      </c>
      <c r="B93" t="s">
        <v>50</v>
      </c>
      <c r="C93" s="21" t="str">
        <f t="shared" si="1"/>
        <v>A</v>
      </c>
      <c r="D93">
        <v>128</v>
      </c>
      <c r="E93">
        <v>123.69224242005799</v>
      </c>
      <c r="F93"/>
      <c r="G93" s="5"/>
      <c r="K93"/>
      <c r="Q93" s="21"/>
      <c r="R93" s="21"/>
    </row>
    <row r="94" spans="1:18" ht="17.25" x14ac:dyDescent="0.25">
      <c r="A94" s="21">
        <f t="shared" si="0"/>
        <v>-1</v>
      </c>
      <c r="B94" t="s">
        <v>51</v>
      </c>
      <c r="C94" s="21" t="s">
        <v>69</v>
      </c>
      <c r="D94">
        <v>77</v>
      </c>
      <c r="E94"/>
      <c r="F94">
        <v>123.910311502181</v>
      </c>
      <c r="G94" s="5"/>
      <c r="L94"/>
      <c r="Q94" s="21"/>
      <c r="R94" s="21"/>
    </row>
    <row r="95" spans="1:18" ht="17.25" x14ac:dyDescent="0.25">
      <c r="A95" s="21">
        <f t="shared" si="0"/>
        <v>-3.6734821480879698E-2</v>
      </c>
      <c r="B95" t="s">
        <v>51</v>
      </c>
      <c r="C95" s="21" t="str">
        <f t="shared" si="1"/>
        <v>A</v>
      </c>
      <c r="D95">
        <v>133</v>
      </c>
      <c r="E95">
        <v>128.114268743043</v>
      </c>
      <c r="F95"/>
      <c r="G95" s="5"/>
      <c r="L95"/>
      <c r="Q95" s="21"/>
      <c r="R95" s="21"/>
    </row>
    <row r="96" spans="1:18" ht="17.25" x14ac:dyDescent="0.25">
      <c r="A96" s="21">
        <f t="shared" si="0"/>
        <v>0.17273299061477276</v>
      </c>
      <c r="B96" t="s">
        <v>51</v>
      </c>
      <c r="C96" s="21" t="str">
        <f t="shared" si="1"/>
        <v>A</v>
      </c>
      <c r="D96">
        <v>110</v>
      </c>
      <c r="E96">
        <v>129.000628967625</v>
      </c>
      <c r="F96"/>
      <c r="G96" s="5"/>
      <c r="L96"/>
      <c r="Q96" s="21"/>
      <c r="R96" s="21"/>
    </row>
    <row r="97" spans="1:18" ht="17.25" x14ac:dyDescent="0.25">
      <c r="A97" s="21">
        <f t="shared" si="0"/>
        <v>0.23644623189551961</v>
      </c>
      <c r="B97" t="s">
        <v>51</v>
      </c>
      <c r="C97" s="21" t="str">
        <f t="shared" si="1"/>
        <v>B</v>
      </c>
      <c r="D97">
        <v>102</v>
      </c>
      <c r="E97">
        <v>126.11751565334301</v>
      </c>
      <c r="F97"/>
      <c r="G97" s="5"/>
      <c r="L97"/>
      <c r="Q97" s="21"/>
      <c r="R97" s="21"/>
    </row>
    <row r="98" spans="1:18" ht="17.25" x14ac:dyDescent="0.25">
      <c r="A98" s="21">
        <f t="shared" si="0"/>
        <v>0.53436734307332912</v>
      </c>
      <c r="B98" t="s">
        <v>51</v>
      </c>
      <c r="C98" s="21" t="str">
        <f t="shared" si="1"/>
        <v>B</v>
      </c>
      <c r="D98">
        <v>79</v>
      </c>
      <c r="E98">
        <v>121.21502010279301</v>
      </c>
      <c r="F98"/>
      <c r="G98" s="5"/>
      <c r="L98"/>
      <c r="Q98" s="21"/>
      <c r="R98" s="21"/>
    </row>
    <row r="99" spans="1:18" ht="17.25" x14ac:dyDescent="0.25">
      <c r="A99" s="21">
        <f t="shared" si="0"/>
        <v>-0.19915956125178058</v>
      </c>
      <c r="B99" t="s">
        <v>51</v>
      </c>
      <c r="C99" s="21" t="str">
        <f t="shared" si="1"/>
        <v>A</v>
      </c>
      <c r="D99">
        <v>155</v>
      </c>
      <c r="E99">
        <v>124.130268005974</v>
      </c>
      <c r="F99"/>
      <c r="G99" s="5"/>
      <c r="L99"/>
      <c r="Q99" s="21"/>
      <c r="R99" s="21"/>
    </row>
    <row r="100" spans="1:18" ht="17.25" x14ac:dyDescent="0.25">
      <c r="A100" s="21">
        <f t="shared" si="0"/>
        <v>-0.18527568501886804</v>
      </c>
      <c r="B100" t="s">
        <v>51</v>
      </c>
      <c r="C100" s="21" t="str">
        <f t="shared" si="1"/>
        <v>A</v>
      </c>
      <c r="D100">
        <v>159</v>
      </c>
      <c r="E100">
        <v>129.54116608199999</v>
      </c>
      <c r="F100"/>
      <c r="G100" s="5"/>
      <c r="L100"/>
      <c r="Q100" s="21"/>
      <c r="R100" s="21"/>
    </row>
    <row r="101" spans="1:18" ht="17.25" x14ac:dyDescent="0.25">
      <c r="A101" s="21">
        <f t="shared" si="0"/>
        <v>0.12446749582162298</v>
      </c>
      <c r="B101" t="s">
        <v>51</v>
      </c>
      <c r="C101" s="21" t="str">
        <f t="shared" si="1"/>
        <v>A</v>
      </c>
      <c r="D101">
        <v>114</v>
      </c>
      <c r="E101">
        <v>128.18929452366501</v>
      </c>
      <c r="F101"/>
      <c r="G101" s="5"/>
      <c r="L101"/>
      <c r="Q101" s="21"/>
      <c r="R101" s="21"/>
    </row>
    <row r="102" spans="1:18" ht="17.25" x14ac:dyDescent="0.25">
      <c r="A102" s="21">
        <f t="shared" si="0"/>
        <v>3.7750791311845555E-2</v>
      </c>
      <c r="B102" t="s">
        <v>52</v>
      </c>
      <c r="C102" s="21" t="str">
        <f t="shared" si="1"/>
        <v>A</v>
      </c>
      <c r="D102">
        <v>136</v>
      </c>
      <c r="E102">
        <v>141.13410761841101</v>
      </c>
      <c r="F102"/>
      <c r="G102" s="5"/>
      <c r="L102"/>
      <c r="Q102" s="21"/>
      <c r="R102" s="21"/>
    </row>
    <row r="103" spans="1:18" ht="17.25" x14ac:dyDescent="0.25">
      <c r="A103" s="21">
        <f t="shared" ref="A103:A166" si="2">E103/D103-1</f>
        <v>0.23834714948938407</v>
      </c>
      <c r="B103" t="s">
        <v>52</v>
      </c>
      <c r="C103" s="21" t="str">
        <f t="shared" ref="C103:C166" si="3">IF(OR(A103&gt;=20%,A103&lt;=-20%),"B","A")</f>
        <v>B</v>
      </c>
      <c r="D103">
        <v>125</v>
      </c>
      <c r="E103">
        <v>154.793393686173</v>
      </c>
      <c r="F103"/>
      <c r="G103" s="5"/>
      <c r="L103"/>
      <c r="Q103" s="21"/>
      <c r="R103" s="21"/>
    </row>
    <row r="104" spans="1:18" ht="17.25" x14ac:dyDescent="0.25">
      <c r="A104" s="21">
        <f t="shared" si="2"/>
        <v>-0.11871693029578567</v>
      </c>
      <c r="B104" t="s">
        <v>52</v>
      </c>
      <c r="C104" s="21" t="str">
        <f t="shared" si="3"/>
        <v>A</v>
      </c>
      <c r="D104">
        <v>168</v>
      </c>
      <c r="E104">
        <v>148.055555710308</v>
      </c>
      <c r="F104"/>
      <c r="G104" s="5"/>
      <c r="L104"/>
      <c r="Q104" s="21"/>
      <c r="R104" s="21"/>
    </row>
    <row r="105" spans="1:18" ht="17.25" x14ac:dyDescent="0.25">
      <c r="A105" s="21">
        <f t="shared" si="2"/>
        <v>0.34047705584767574</v>
      </c>
      <c r="B105" t="s">
        <v>52</v>
      </c>
      <c r="C105" s="21" t="str">
        <f t="shared" si="3"/>
        <v>B</v>
      </c>
      <c r="D105">
        <v>148</v>
      </c>
      <c r="E105">
        <v>198.39060426545601</v>
      </c>
      <c r="F105"/>
      <c r="G105" s="5"/>
      <c r="L105"/>
      <c r="Q105" s="21"/>
      <c r="R105" s="21"/>
    </row>
    <row r="106" spans="1:18" ht="17.25" x14ac:dyDescent="0.25">
      <c r="A106" s="21">
        <f t="shared" si="2"/>
        <v>-0.35255984851673827</v>
      </c>
      <c r="B106" t="s">
        <v>52</v>
      </c>
      <c r="C106" s="21" t="str">
        <f t="shared" si="3"/>
        <v>B</v>
      </c>
      <c r="D106">
        <v>214</v>
      </c>
      <c r="E106">
        <v>138.55219241741801</v>
      </c>
      <c r="F106"/>
      <c r="G106" s="5"/>
      <c r="L106"/>
      <c r="Q106" s="21"/>
      <c r="R106" s="21"/>
    </row>
    <row r="107" spans="1:18" ht="17.25" x14ac:dyDescent="0.25">
      <c r="A107" s="21">
        <f t="shared" si="2"/>
        <v>-0.16847815472789296</v>
      </c>
      <c r="B107" t="s">
        <v>53</v>
      </c>
      <c r="C107" s="21" t="str">
        <f t="shared" si="3"/>
        <v>A</v>
      </c>
      <c r="D107">
        <v>196</v>
      </c>
      <c r="E107">
        <v>162.97828167333299</v>
      </c>
      <c r="F107"/>
      <c r="G107" s="5"/>
      <c r="L107"/>
      <c r="Q107" s="21"/>
      <c r="R107" s="21"/>
    </row>
    <row r="108" spans="1:18" ht="17.25" x14ac:dyDescent="0.25">
      <c r="A108" s="21">
        <f t="shared" si="2"/>
        <v>-3.9347660931103534E-2</v>
      </c>
      <c r="B108" t="s">
        <v>53</v>
      </c>
      <c r="C108" s="21" t="str">
        <f t="shared" si="3"/>
        <v>A</v>
      </c>
      <c r="D108">
        <v>203</v>
      </c>
      <c r="E108">
        <v>195.01242483098599</v>
      </c>
      <c r="F108"/>
      <c r="G108" s="5"/>
      <c r="L108"/>
      <c r="Q108" s="21"/>
      <c r="R108" s="21"/>
    </row>
    <row r="109" spans="1:18" ht="17.25" x14ac:dyDescent="0.25">
      <c r="A109" s="21">
        <f t="shared" si="2"/>
        <v>7.2295499400737429E-2</v>
      </c>
      <c r="B109" t="s">
        <v>53</v>
      </c>
      <c r="C109" s="21" t="str">
        <f t="shared" si="3"/>
        <v>A</v>
      </c>
      <c r="D109">
        <v>278</v>
      </c>
      <c r="E109">
        <v>298.09814883340499</v>
      </c>
      <c r="F109"/>
      <c r="G109" s="5"/>
      <c r="L109"/>
      <c r="Q109" s="21"/>
      <c r="R109" s="21"/>
    </row>
    <row r="110" spans="1:18" ht="17.25" x14ac:dyDescent="0.25">
      <c r="A110" s="21">
        <f t="shared" si="2"/>
        <v>-3.5806353657570122E-2</v>
      </c>
      <c r="B110" t="s">
        <v>53</v>
      </c>
      <c r="C110" s="21" t="str">
        <f t="shared" si="3"/>
        <v>A</v>
      </c>
      <c r="D110">
        <v>228</v>
      </c>
      <c r="E110">
        <v>219.83615136607401</v>
      </c>
      <c r="F110"/>
      <c r="G110" s="5"/>
      <c r="L110"/>
      <c r="Q110" s="21"/>
      <c r="R110" s="21"/>
    </row>
    <row r="111" spans="1:18" ht="17.25" x14ac:dyDescent="0.25">
      <c r="A111" s="21">
        <f t="shared" si="2"/>
        <v>-8.6591033023984632E-2</v>
      </c>
      <c r="B111" t="s">
        <v>53</v>
      </c>
      <c r="C111" s="21" t="str">
        <f t="shared" si="3"/>
        <v>A</v>
      </c>
      <c r="D111">
        <v>195</v>
      </c>
      <c r="E111">
        <v>178.11474856032299</v>
      </c>
      <c r="F111"/>
      <c r="G111" s="5"/>
      <c r="L111"/>
      <c r="Q111" s="21"/>
      <c r="R111" s="21"/>
    </row>
    <row r="112" spans="1:18" ht="17.25" x14ac:dyDescent="0.25">
      <c r="A112" s="21">
        <f t="shared" si="2"/>
        <v>8.3715869959976263E-2</v>
      </c>
      <c r="B112" t="s">
        <v>45</v>
      </c>
      <c r="C112" s="21" t="str">
        <f t="shared" si="3"/>
        <v>A</v>
      </c>
      <c r="D112">
        <v>253.5</v>
      </c>
      <c r="E112">
        <v>274.72197303485399</v>
      </c>
      <c r="F112"/>
      <c r="G112" s="5"/>
      <c r="L112"/>
      <c r="Q112" s="21"/>
      <c r="R112" s="21"/>
    </row>
    <row r="113" spans="1:18" ht="17.25" x14ac:dyDescent="0.25">
      <c r="A113" s="21">
        <f t="shared" si="2"/>
        <v>0.20543078411019811</v>
      </c>
      <c r="B113" t="s">
        <v>45</v>
      </c>
      <c r="C113" s="21" t="str">
        <f t="shared" si="3"/>
        <v>B</v>
      </c>
      <c r="D113">
        <v>242.5</v>
      </c>
      <c r="E113">
        <v>292.31696514672302</v>
      </c>
      <c r="F113"/>
      <c r="G113" s="5"/>
      <c r="L113"/>
      <c r="Q113" s="21"/>
      <c r="R113" s="21"/>
    </row>
    <row r="114" spans="1:18" ht="17.25" x14ac:dyDescent="0.25">
      <c r="A114" s="21">
        <f t="shared" si="2"/>
        <v>5.2874571872605358E-2</v>
      </c>
      <c r="B114" t="s">
        <v>45</v>
      </c>
      <c r="C114" s="21" t="str">
        <f t="shared" si="3"/>
        <v>A</v>
      </c>
      <c r="D114">
        <v>266</v>
      </c>
      <c r="E114">
        <v>280.06463611811301</v>
      </c>
      <c r="F114"/>
      <c r="G114" s="5"/>
      <c r="L114"/>
      <c r="Q114" s="21"/>
      <c r="R114" s="21"/>
    </row>
    <row r="115" spans="1:18" ht="17.25" x14ac:dyDescent="0.25">
      <c r="A115" s="21">
        <f t="shared" si="2"/>
        <v>-0.27634306601847436</v>
      </c>
      <c r="B115" t="s">
        <v>45</v>
      </c>
      <c r="C115" s="21" t="str">
        <f t="shared" si="3"/>
        <v>B</v>
      </c>
      <c r="D115">
        <v>215</v>
      </c>
      <c r="E115">
        <v>155.586240806028</v>
      </c>
      <c r="F115"/>
      <c r="G115" s="5"/>
      <c r="L115"/>
      <c r="Q115" s="21"/>
      <c r="R115" s="21"/>
    </row>
    <row r="116" spans="1:18" ht="17.25" x14ac:dyDescent="0.25">
      <c r="A116" s="21">
        <f t="shared" si="2"/>
        <v>0.52209248402458797</v>
      </c>
      <c r="B116" t="s">
        <v>45</v>
      </c>
      <c r="C116" s="21" t="str">
        <f t="shared" si="3"/>
        <v>B</v>
      </c>
      <c r="D116">
        <v>139.5</v>
      </c>
      <c r="E116">
        <v>212.33190152143001</v>
      </c>
      <c r="F116"/>
      <c r="G116" s="5"/>
      <c r="L116"/>
      <c r="Q116" s="21"/>
      <c r="R116" s="21"/>
    </row>
    <row r="117" spans="1:18" ht="17.25" x14ac:dyDescent="0.25">
      <c r="A117" s="21">
        <f t="shared" si="2"/>
        <v>0.31666393597356679</v>
      </c>
      <c r="B117" t="s">
        <v>47</v>
      </c>
      <c r="C117" s="21" t="str">
        <f t="shared" si="3"/>
        <v>B</v>
      </c>
      <c r="D117">
        <v>187</v>
      </c>
      <c r="E117">
        <v>246.216156027057</v>
      </c>
      <c r="F117"/>
      <c r="G117" s="5"/>
      <c r="L117"/>
      <c r="Q117" s="21"/>
      <c r="R117" s="21"/>
    </row>
    <row r="118" spans="1:18" ht="17.25" x14ac:dyDescent="0.25">
      <c r="A118" s="21">
        <f t="shared" si="2"/>
        <v>-7.7466477822583535E-2</v>
      </c>
      <c r="B118" t="s">
        <v>47</v>
      </c>
      <c r="C118" s="21" t="str">
        <f t="shared" si="3"/>
        <v>A</v>
      </c>
      <c r="D118">
        <v>281</v>
      </c>
      <c r="E118">
        <v>259.23191973185402</v>
      </c>
      <c r="F118"/>
      <c r="G118" s="5"/>
      <c r="L118"/>
      <c r="Q118" s="21"/>
      <c r="R118" s="21"/>
    </row>
    <row r="119" spans="1:18" ht="17.25" x14ac:dyDescent="0.25">
      <c r="A119" s="21">
        <f t="shared" si="2"/>
        <v>-0.22929138902663071</v>
      </c>
      <c r="B119" t="s">
        <v>47</v>
      </c>
      <c r="C119" s="21" t="str">
        <f t="shared" si="3"/>
        <v>B</v>
      </c>
      <c r="D119">
        <v>306</v>
      </c>
      <c r="E119">
        <v>235.83683495785101</v>
      </c>
      <c r="F119"/>
      <c r="G119" s="5"/>
      <c r="L119"/>
      <c r="Q119" s="21"/>
      <c r="R119" s="21"/>
    </row>
    <row r="120" spans="1:18" ht="17.25" x14ac:dyDescent="0.25">
      <c r="A120" s="21">
        <f t="shared" si="2"/>
        <v>-7.9968452808732549E-2</v>
      </c>
      <c r="B120" t="s">
        <v>47</v>
      </c>
      <c r="C120" s="21" t="str">
        <f t="shared" si="3"/>
        <v>A</v>
      </c>
      <c r="D120">
        <v>258</v>
      </c>
      <c r="E120">
        <v>237.36813917534701</v>
      </c>
      <c r="F120"/>
      <c r="G120" s="5"/>
      <c r="L120"/>
      <c r="Q120" s="21"/>
      <c r="R120" s="21"/>
    </row>
    <row r="121" spans="1:18" ht="17.25" x14ac:dyDescent="0.25">
      <c r="A121" s="21">
        <f t="shared" si="2"/>
        <v>3.3220596727198126E-2</v>
      </c>
      <c r="B121" t="s">
        <v>47</v>
      </c>
      <c r="C121" s="21" t="str">
        <f t="shared" si="3"/>
        <v>A</v>
      </c>
      <c r="D121">
        <v>212</v>
      </c>
      <c r="E121">
        <v>219.042766506166</v>
      </c>
      <c r="F121"/>
      <c r="G121" s="5"/>
      <c r="L121"/>
      <c r="Q121" s="21"/>
      <c r="R121" s="21"/>
    </row>
    <row r="122" spans="1:18" ht="17.25" x14ac:dyDescent="0.25">
      <c r="A122" s="21">
        <f t="shared" si="2"/>
        <v>0.26424886985491924</v>
      </c>
      <c r="B122" t="s">
        <v>47</v>
      </c>
      <c r="C122" s="21" t="str">
        <f t="shared" si="3"/>
        <v>B</v>
      </c>
      <c r="D122">
        <v>186</v>
      </c>
      <c r="E122">
        <v>235.15028979301499</v>
      </c>
      <c r="F122"/>
      <c r="G122" s="5"/>
      <c r="L122"/>
      <c r="Q122" s="21"/>
      <c r="R122" s="21"/>
    </row>
    <row r="123" spans="1:18" ht="17.25" x14ac:dyDescent="0.25">
      <c r="A123" s="21">
        <f t="shared" si="2"/>
        <v>-1</v>
      </c>
      <c r="B123" t="s">
        <v>71</v>
      </c>
      <c r="C123" s="21" t="s">
        <v>69</v>
      </c>
      <c r="D123">
        <v>76</v>
      </c>
      <c r="E123"/>
      <c r="F123">
        <v>136.50272954691599</v>
      </c>
      <c r="G123" s="5"/>
      <c r="L123"/>
      <c r="Q123" s="21"/>
      <c r="R123" s="21"/>
    </row>
    <row r="124" spans="1:18" ht="17.25" x14ac:dyDescent="0.25">
      <c r="A124" s="21">
        <f t="shared" si="2"/>
        <v>9.626741156480545E-2</v>
      </c>
      <c r="B124" t="s">
        <v>71</v>
      </c>
      <c r="C124" s="21" t="str">
        <f t="shared" si="3"/>
        <v>A</v>
      </c>
      <c r="D124">
        <v>113</v>
      </c>
      <c r="E124">
        <v>123.87821750682301</v>
      </c>
      <c r="F124"/>
      <c r="G124" s="5"/>
      <c r="L124"/>
      <c r="Q124" s="21"/>
      <c r="R124" s="21"/>
    </row>
    <row r="125" spans="1:18" ht="17.25" x14ac:dyDescent="0.25">
      <c r="A125" s="21">
        <f t="shared" si="2"/>
        <v>0.32662840418358607</v>
      </c>
      <c r="B125" t="s">
        <v>71</v>
      </c>
      <c r="C125" s="21" t="str">
        <f t="shared" si="3"/>
        <v>B</v>
      </c>
      <c r="D125">
        <v>87</v>
      </c>
      <c r="E125">
        <v>115.416671163972</v>
      </c>
      <c r="F125"/>
      <c r="G125" s="5"/>
      <c r="L125"/>
      <c r="Q125" s="21"/>
      <c r="R125" s="21"/>
    </row>
    <row r="126" spans="1:18" ht="17.25" x14ac:dyDescent="0.25">
      <c r="A126" s="21">
        <f t="shared" si="2"/>
        <v>0.27580252254501225</v>
      </c>
      <c r="B126" t="s">
        <v>71</v>
      </c>
      <c r="C126" s="21" t="str">
        <f t="shared" si="3"/>
        <v>B</v>
      </c>
      <c r="D126">
        <v>81</v>
      </c>
      <c r="E126">
        <v>103.340004326146</v>
      </c>
      <c r="F126"/>
      <c r="G126" s="5"/>
      <c r="M126"/>
      <c r="Q126" s="21"/>
      <c r="R126" s="21"/>
    </row>
    <row r="127" spans="1:18" x14ac:dyDescent="0.25">
      <c r="A127" s="21">
        <f t="shared" si="2"/>
        <v>0.3767286613062546</v>
      </c>
      <c r="B127" t="s">
        <v>71</v>
      </c>
      <c r="C127" s="21" t="str">
        <f t="shared" si="3"/>
        <v>B</v>
      </c>
      <c r="D127">
        <v>110</v>
      </c>
      <c r="E127">
        <v>151.440152743688</v>
      </c>
      <c r="F127"/>
      <c r="M127"/>
      <c r="Q127" s="21"/>
      <c r="R127" s="21"/>
    </row>
    <row r="128" spans="1:18" x14ac:dyDescent="0.25">
      <c r="A128" s="21">
        <f t="shared" si="2"/>
        <v>0.13814376017551355</v>
      </c>
      <c r="B128" t="s">
        <v>71</v>
      </c>
      <c r="C128" s="21" t="str">
        <f t="shared" si="3"/>
        <v>A</v>
      </c>
      <c r="D128">
        <v>111</v>
      </c>
      <c r="E128">
        <v>126.333957379482</v>
      </c>
      <c r="F128"/>
      <c r="M128"/>
      <c r="Q128" s="21"/>
      <c r="R128" s="21"/>
    </row>
    <row r="129" spans="1:18" x14ac:dyDescent="0.25">
      <c r="A129" s="21">
        <f t="shared" si="2"/>
        <v>0.40347031135859135</v>
      </c>
      <c r="B129" t="s">
        <v>71</v>
      </c>
      <c r="C129" s="21" t="str">
        <f t="shared" si="3"/>
        <v>B</v>
      </c>
      <c r="D129">
        <v>93</v>
      </c>
      <c r="E129">
        <v>130.522738956349</v>
      </c>
      <c r="F129"/>
      <c r="M129"/>
      <c r="Q129" s="21"/>
      <c r="R129" s="21"/>
    </row>
    <row r="130" spans="1:18" x14ac:dyDescent="0.25">
      <c r="A130" s="21">
        <f t="shared" si="2"/>
        <v>0.3083991468057059</v>
      </c>
      <c r="B130" t="s">
        <v>47</v>
      </c>
      <c r="C130" s="21" t="str">
        <f t="shared" si="3"/>
        <v>B</v>
      </c>
      <c r="D130">
        <v>221</v>
      </c>
      <c r="E130">
        <v>289.156211444061</v>
      </c>
      <c r="F130"/>
      <c r="M130"/>
      <c r="Q130" s="21"/>
      <c r="R130" s="21"/>
    </row>
    <row r="131" spans="1:18" x14ac:dyDescent="0.25">
      <c r="A131" s="21">
        <f t="shared" si="2"/>
        <v>-0.1415299895544484</v>
      </c>
      <c r="B131" t="s">
        <v>47</v>
      </c>
      <c r="C131" s="21" t="str">
        <f t="shared" si="3"/>
        <v>A</v>
      </c>
      <c r="D131">
        <v>281</v>
      </c>
      <c r="E131">
        <v>241.23007293520001</v>
      </c>
      <c r="F131"/>
      <c r="M131"/>
      <c r="Q131" s="21"/>
      <c r="R131" s="21"/>
    </row>
    <row r="132" spans="1:18" x14ac:dyDescent="0.25">
      <c r="A132" s="21">
        <f t="shared" si="2"/>
        <v>-3.8814613253526198E-2</v>
      </c>
      <c r="B132" t="s">
        <v>47</v>
      </c>
      <c r="C132" s="21" t="str">
        <f t="shared" si="3"/>
        <v>A</v>
      </c>
      <c r="D132">
        <v>287</v>
      </c>
      <c r="E132">
        <v>275.86020599623799</v>
      </c>
      <c r="F132"/>
      <c r="M132"/>
      <c r="Q132" s="21"/>
      <c r="R132" s="21"/>
    </row>
    <row r="133" spans="1:18" x14ac:dyDescent="0.25">
      <c r="A133" s="21">
        <f t="shared" si="2"/>
        <v>0.2178509568226501</v>
      </c>
      <c r="B133" t="s">
        <v>47</v>
      </c>
      <c r="C133" s="21" t="str">
        <f t="shared" si="3"/>
        <v>B</v>
      </c>
      <c r="D133">
        <v>260</v>
      </c>
      <c r="E133">
        <v>316.641248773889</v>
      </c>
      <c r="F133"/>
      <c r="M133"/>
      <c r="Q133" s="21"/>
      <c r="R133" s="21"/>
    </row>
    <row r="134" spans="1:18" x14ac:dyDescent="0.25">
      <c r="A134" s="21">
        <f t="shared" si="2"/>
        <v>4.6137370230912023E-3</v>
      </c>
      <c r="B134" t="s">
        <v>47</v>
      </c>
      <c r="C134" s="21" t="str">
        <f t="shared" si="3"/>
        <v>A</v>
      </c>
      <c r="D134">
        <v>263</v>
      </c>
      <c r="E134">
        <v>264.21341283707301</v>
      </c>
      <c r="F134"/>
      <c r="N134"/>
      <c r="Q134" s="21"/>
      <c r="R134" s="21"/>
    </row>
    <row r="135" spans="1:18" x14ac:dyDescent="0.25">
      <c r="A135" s="21">
        <f t="shared" si="2"/>
        <v>-8.5236252866693452E-2</v>
      </c>
      <c r="B135" t="s">
        <v>47</v>
      </c>
      <c r="C135" s="21" t="str">
        <f t="shared" si="3"/>
        <v>A</v>
      </c>
      <c r="D135">
        <v>323</v>
      </c>
      <c r="E135">
        <v>295.468690324058</v>
      </c>
      <c r="F135"/>
      <c r="N135"/>
      <c r="Q135" s="21"/>
      <c r="R135" s="21"/>
    </row>
    <row r="136" spans="1:18" x14ac:dyDescent="0.25">
      <c r="A136" s="21">
        <f t="shared" si="2"/>
        <v>-0.11309311585847337</v>
      </c>
      <c r="B136" t="s">
        <v>72</v>
      </c>
      <c r="C136" s="21" t="str">
        <f t="shared" si="3"/>
        <v>A</v>
      </c>
      <c r="D136">
        <v>150</v>
      </c>
      <c r="E136">
        <v>133.036032621229</v>
      </c>
      <c r="F136"/>
      <c r="N136"/>
      <c r="Q136" s="21"/>
      <c r="R136" s="21"/>
    </row>
    <row r="137" spans="1:18" x14ac:dyDescent="0.25">
      <c r="A137" s="21">
        <f t="shared" si="2"/>
        <v>0.68418187834288546</v>
      </c>
      <c r="B137" t="s">
        <v>72</v>
      </c>
      <c r="C137" s="21" t="str">
        <f t="shared" si="3"/>
        <v>B</v>
      </c>
      <c r="D137">
        <v>131</v>
      </c>
      <c r="E137">
        <v>220.62782606291799</v>
      </c>
      <c r="F137"/>
      <c r="N137"/>
      <c r="Q137" s="21"/>
      <c r="R137" s="21"/>
    </row>
    <row r="138" spans="1:18" x14ac:dyDescent="0.25">
      <c r="A138" s="21">
        <f t="shared" si="2"/>
        <v>0.33017044042665145</v>
      </c>
      <c r="B138" t="s">
        <v>72</v>
      </c>
      <c r="C138" s="21" t="str">
        <f t="shared" si="3"/>
        <v>B</v>
      </c>
      <c r="D138">
        <v>152</v>
      </c>
      <c r="E138">
        <v>202.18590694485101</v>
      </c>
      <c r="F138"/>
      <c r="N138"/>
      <c r="Q138" s="21"/>
      <c r="R138" s="21"/>
    </row>
    <row r="139" spans="1:18" x14ac:dyDescent="0.25">
      <c r="A139" s="21">
        <f t="shared" si="2"/>
        <v>0.33928488547873714</v>
      </c>
      <c r="B139" t="s">
        <v>72</v>
      </c>
      <c r="C139" s="21" t="str">
        <f t="shared" si="3"/>
        <v>B</v>
      </c>
      <c r="D139">
        <v>156</v>
      </c>
      <c r="E139">
        <v>208.928442134683</v>
      </c>
      <c r="F139"/>
      <c r="N139"/>
      <c r="Q139" s="21"/>
      <c r="R139" s="21"/>
    </row>
    <row r="140" spans="1:18" x14ac:dyDescent="0.25">
      <c r="A140" s="21">
        <f t="shared" si="2"/>
        <v>0.39216614160894614</v>
      </c>
      <c r="B140" t="s">
        <v>72</v>
      </c>
      <c r="C140" s="21" t="str">
        <f t="shared" si="3"/>
        <v>B</v>
      </c>
      <c r="D140">
        <v>93</v>
      </c>
      <c r="E140">
        <v>129.47145116963199</v>
      </c>
      <c r="F140"/>
      <c r="N140"/>
      <c r="Q140" s="21"/>
      <c r="R140" s="21"/>
    </row>
    <row r="141" spans="1:18" x14ac:dyDescent="0.25">
      <c r="A141" s="21">
        <f t="shared" si="2"/>
        <v>-0.1321937672081096</v>
      </c>
      <c r="B141" t="s">
        <v>72</v>
      </c>
      <c r="C141" s="21" t="str">
        <f t="shared" si="3"/>
        <v>A</v>
      </c>
      <c r="D141">
        <v>155</v>
      </c>
      <c r="E141">
        <v>134.50996608274301</v>
      </c>
      <c r="F141"/>
      <c r="N141"/>
      <c r="Q141" s="21"/>
      <c r="R141" s="21"/>
    </row>
    <row r="142" spans="1:18" x14ac:dyDescent="0.25">
      <c r="A142" s="21">
        <f t="shared" si="2"/>
        <v>-7.0966201563374187E-2</v>
      </c>
      <c r="B142" t="s">
        <v>72</v>
      </c>
      <c r="C142" s="21" t="str">
        <f t="shared" si="3"/>
        <v>A</v>
      </c>
      <c r="D142">
        <v>147</v>
      </c>
      <c r="E142">
        <v>136.56796837018399</v>
      </c>
      <c r="F142"/>
      <c r="O142"/>
      <c r="Q142" s="21"/>
      <c r="R142" s="21"/>
    </row>
    <row r="143" spans="1:18" x14ac:dyDescent="0.25">
      <c r="A143" s="21">
        <f t="shared" si="2"/>
        <v>0.16465503620707134</v>
      </c>
      <c r="B143" t="s">
        <v>72</v>
      </c>
      <c r="C143" s="21" t="str">
        <f t="shared" si="3"/>
        <v>A</v>
      </c>
      <c r="D143">
        <v>112</v>
      </c>
      <c r="E143">
        <v>130.441364055192</v>
      </c>
      <c r="F143"/>
      <c r="O143"/>
      <c r="Q143" s="21"/>
      <c r="R143" s="21"/>
    </row>
    <row r="144" spans="1:18" x14ac:dyDescent="0.25">
      <c r="A144" s="21">
        <f t="shared" si="2"/>
        <v>0.28770149819580193</v>
      </c>
      <c r="B144" t="s">
        <v>46</v>
      </c>
      <c r="C144" s="21" t="str">
        <f t="shared" si="3"/>
        <v>B</v>
      </c>
      <c r="D144">
        <v>101</v>
      </c>
      <c r="E144">
        <v>130.057851317776</v>
      </c>
      <c r="F144"/>
      <c r="O144"/>
      <c r="Q144" s="21"/>
      <c r="R144" s="21"/>
    </row>
    <row r="145" spans="1:18" x14ac:dyDescent="0.25">
      <c r="A145" s="21">
        <f t="shared" si="2"/>
        <v>-0.21880275538080118</v>
      </c>
      <c r="B145" t="s">
        <v>46</v>
      </c>
      <c r="C145" s="21" t="str">
        <f t="shared" si="3"/>
        <v>B</v>
      </c>
      <c r="D145">
        <v>173.5</v>
      </c>
      <c r="E145">
        <v>135.53772194143099</v>
      </c>
      <c r="F145"/>
      <c r="O145"/>
      <c r="Q145" s="21"/>
      <c r="R145" s="21"/>
    </row>
    <row r="146" spans="1:18" x14ac:dyDescent="0.25">
      <c r="A146" s="21">
        <f t="shared" si="2"/>
        <v>-1.344334367958866E-2</v>
      </c>
      <c r="B146" t="s">
        <v>46</v>
      </c>
      <c r="C146" s="21" t="str">
        <f t="shared" si="3"/>
        <v>A</v>
      </c>
      <c r="D146">
        <v>141</v>
      </c>
      <c r="E146">
        <v>139.104488541178</v>
      </c>
      <c r="F146"/>
      <c r="O146"/>
      <c r="Q146" s="21"/>
      <c r="R146" s="21"/>
    </row>
    <row r="147" spans="1:18" x14ac:dyDescent="0.25">
      <c r="A147" s="21">
        <f t="shared" si="2"/>
        <v>-9.9172135268636885E-2</v>
      </c>
      <c r="B147" t="s">
        <v>46</v>
      </c>
      <c r="C147" s="21" t="str">
        <f t="shared" si="3"/>
        <v>A</v>
      </c>
      <c r="D147">
        <v>157</v>
      </c>
      <c r="E147">
        <v>141.429974762824</v>
      </c>
      <c r="F147"/>
      <c r="O147"/>
      <c r="Q147" s="21"/>
      <c r="R147" s="21"/>
    </row>
    <row r="148" spans="1:18" x14ac:dyDescent="0.25">
      <c r="A148" s="21">
        <f t="shared" si="2"/>
        <v>8.2294001649786619E-2</v>
      </c>
      <c r="B148" t="s">
        <v>46</v>
      </c>
      <c r="C148" s="21" t="str">
        <f t="shared" si="3"/>
        <v>A</v>
      </c>
      <c r="D148">
        <v>138.25</v>
      </c>
      <c r="E148">
        <v>149.62714572808301</v>
      </c>
      <c r="F148"/>
      <c r="O148"/>
      <c r="Q148" s="21"/>
      <c r="R148" s="21"/>
    </row>
    <row r="149" spans="1:18" x14ac:dyDescent="0.25">
      <c r="A149" s="21">
        <f t="shared" si="2"/>
        <v>0.41322459000606293</v>
      </c>
      <c r="B149" t="s">
        <v>46</v>
      </c>
      <c r="C149" s="21" t="str">
        <f t="shared" si="3"/>
        <v>B</v>
      </c>
      <c r="D149">
        <v>111</v>
      </c>
      <c r="E149">
        <v>156.86792949067299</v>
      </c>
      <c r="F149"/>
      <c r="O149"/>
      <c r="Q149" s="21"/>
      <c r="R149" s="21"/>
    </row>
    <row r="150" spans="1:18" x14ac:dyDescent="0.25">
      <c r="A150" s="21">
        <f t="shared" si="2"/>
        <v>0.19638111965945959</v>
      </c>
      <c r="B150" t="s">
        <v>46</v>
      </c>
      <c r="C150" s="21" t="str">
        <f t="shared" si="3"/>
        <v>A</v>
      </c>
      <c r="D150">
        <v>111</v>
      </c>
      <c r="E150">
        <v>132.79830428220001</v>
      </c>
      <c r="F150"/>
      <c r="O150"/>
      <c r="Q150" s="21"/>
      <c r="R150" s="21"/>
    </row>
    <row r="151" spans="1:18" x14ac:dyDescent="0.25">
      <c r="A151" s="21">
        <f t="shared" si="2"/>
        <v>0.39600377068233694</v>
      </c>
      <c r="B151" t="s">
        <v>46</v>
      </c>
      <c r="C151" s="21" t="str">
        <f t="shared" si="3"/>
        <v>B</v>
      </c>
      <c r="D151">
        <v>95</v>
      </c>
      <c r="E151">
        <v>132.62035821482201</v>
      </c>
      <c r="F151"/>
      <c r="O151"/>
      <c r="Q151" s="21"/>
      <c r="R151" s="21"/>
    </row>
    <row r="152" spans="1:18" x14ac:dyDescent="0.25">
      <c r="A152" s="21">
        <f t="shared" si="2"/>
        <v>-0.15428983958472209</v>
      </c>
      <c r="B152" t="s">
        <v>46</v>
      </c>
      <c r="C152" s="21" t="str">
        <f t="shared" si="3"/>
        <v>A</v>
      </c>
      <c r="D152">
        <v>156.5</v>
      </c>
      <c r="E152">
        <v>132.353640104991</v>
      </c>
      <c r="F152"/>
      <c r="Q152" s="21"/>
      <c r="R152" s="21"/>
    </row>
    <row r="153" spans="1:18" x14ac:dyDescent="0.25">
      <c r="A153" s="21">
        <f t="shared" si="2"/>
        <v>0.20172728574074994</v>
      </c>
      <c r="B153" t="s">
        <v>46</v>
      </c>
      <c r="C153" s="21" t="str">
        <f t="shared" si="3"/>
        <v>B</v>
      </c>
      <c r="D153">
        <v>116</v>
      </c>
      <c r="E153">
        <v>139.400365145927</v>
      </c>
      <c r="F153"/>
      <c r="Q153" s="21"/>
      <c r="R153" s="21"/>
    </row>
    <row r="154" spans="1:18" x14ac:dyDescent="0.25">
      <c r="A154" s="21">
        <f t="shared" si="2"/>
        <v>0.10968788965040499</v>
      </c>
      <c r="B154" t="s">
        <v>46</v>
      </c>
      <c r="C154" s="21" t="str">
        <f t="shared" si="3"/>
        <v>A</v>
      </c>
      <c r="D154">
        <v>121</v>
      </c>
      <c r="E154">
        <v>134.27223464769901</v>
      </c>
      <c r="F154"/>
      <c r="Q154" s="21"/>
      <c r="R154" s="21"/>
    </row>
    <row r="155" spans="1:18" x14ac:dyDescent="0.25">
      <c r="A155" s="21">
        <f t="shared" si="2"/>
        <v>0.18185163551546535</v>
      </c>
      <c r="B155" t="s">
        <v>73</v>
      </c>
      <c r="C155" s="21" t="str">
        <f t="shared" si="3"/>
        <v>A</v>
      </c>
      <c r="D155">
        <v>108.5</v>
      </c>
      <c r="E155">
        <v>128.230902453428</v>
      </c>
      <c r="F155"/>
      <c r="Q155" s="21"/>
      <c r="R155" s="21"/>
    </row>
    <row r="156" spans="1:18" x14ac:dyDescent="0.25">
      <c r="A156" s="21">
        <f t="shared" si="2"/>
        <v>-0.32712573137553314</v>
      </c>
      <c r="B156" t="s">
        <v>73</v>
      </c>
      <c r="C156" s="21" t="str">
        <f t="shared" si="3"/>
        <v>B</v>
      </c>
      <c r="D156">
        <v>203.5</v>
      </c>
      <c r="E156">
        <v>136.929913665079</v>
      </c>
      <c r="F156"/>
      <c r="Q156" s="21"/>
      <c r="R156" s="21"/>
    </row>
    <row r="157" spans="1:18" x14ac:dyDescent="0.25">
      <c r="A157" s="21">
        <f t="shared" si="2"/>
        <v>-0.21521326941466046</v>
      </c>
      <c r="B157" t="s">
        <v>73</v>
      </c>
      <c r="C157" s="21" t="str">
        <f t="shared" si="3"/>
        <v>B</v>
      </c>
      <c r="D157">
        <v>159</v>
      </c>
      <c r="E157">
        <v>124.781090163069</v>
      </c>
      <c r="F157"/>
      <c r="Q157" s="21"/>
      <c r="R157" s="21"/>
    </row>
    <row r="158" spans="1:18" x14ac:dyDescent="0.25">
      <c r="A158" s="21">
        <f t="shared" si="2"/>
        <v>0.32013701581745058</v>
      </c>
      <c r="B158" t="s">
        <v>73</v>
      </c>
      <c r="C158" s="21" t="str">
        <f t="shared" si="3"/>
        <v>B</v>
      </c>
      <c r="D158">
        <v>91</v>
      </c>
      <c r="E158">
        <v>120.13246843938801</v>
      </c>
      <c r="F158"/>
      <c r="Q158" s="21"/>
      <c r="R158" s="21"/>
    </row>
    <row r="159" spans="1:18" x14ac:dyDescent="0.25">
      <c r="A159" s="21">
        <f t="shared" si="2"/>
        <v>0.43692472590438869</v>
      </c>
      <c r="B159" t="s">
        <v>73</v>
      </c>
      <c r="C159" s="21" t="str">
        <f t="shared" si="3"/>
        <v>B</v>
      </c>
      <c r="D159">
        <v>87.5</v>
      </c>
      <c r="E159">
        <v>125.730913516634</v>
      </c>
      <c r="F159"/>
      <c r="Q159" s="21"/>
      <c r="R159" s="21"/>
    </row>
    <row r="160" spans="1:18" x14ac:dyDescent="0.25">
      <c r="A160" s="21">
        <f t="shared" si="2"/>
        <v>-3.5475983246977094E-2</v>
      </c>
      <c r="B160" t="s">
        <v>73</v>
      </c>
      <c r="C160" s="21" t="str">
        <f t="shared" si="3"/>
        <v>A</v>
      </c>
      <c r="D160">
        <v>131</v>
      </c>
      <c r="E160">
        <v>126.352646194646</v>
      </c>
      <c r="F160"/>
      <c r="Q160" s="21"/>
      <c r="R160" s="21"/>
    </row>
    <row r="161" spans="1:18" x14ac:dyDescent="0.25">
      <c r="A161" s="21">
        <f t="shared" si="2"/>
        <v>8.6957585107370283E-2</v>
      </c>
      <c r="B161" t="s">
        <v>73</v>
      </c>
      <c r="C161" s="21" t="str">
        <f t="shared" si="3"/>
        <v>A</v>
      </c>
      <c r="D161">
        <v>117.5</v>
      </c>
      <c r="E161">
        <v>127.71751625011601</v>
      </c>
      <c r="F161"/>
      <c r="Q161" s="21"/>
      <c r="R161" s="21"/>
    </row>
    <row r="162" spans="1:18" x14ac:dyDescent="0.25">
      <c r="A162" s="21">
        <f t="shared" si="2"/>
        <v>0.22622912835608577</v>
      </c>
      <c r="B162" t="s">
        <v>73</v>
      </c>
      <c r="C162" s="21" t="str">
        <f t="shared" si="3"/>
        <v>B</v>
      </c>
      <c r="D162">
        <v>105</v>
      </c>
      <c r="E162">
        <v>128.75405847738901</v>
      </c>
      <c r="F162"/>
      <c r="Q162" s="21"/>
      <c r="R162" s="21"/>
    </row>
    <row r="163" spans="1:18" x14ac:dyDescent="0.25">
      <c r="A163" s="21">
        <f t="shared" si="2"/>
        <v>0.29678498602275383</v>
      </c>
      <c r="B163" t="s">
        <v>73</v>
      </c>
      <c r="C163" s="21" t="str">
        <f t="shared" si="3"/>
        <v>B</v>
      </c>
      <c r="D163">
        <v>95.5</v>
      </c>
      <c r="E163">
        <v>123.842966165173</v>
      </c>
      <c r="F163"/>
      <c r="Q163" s="21"/>
      <c r="R163" s="21"/>
    </row>
    <row r="164" spans="1:18" x14ac:dyDescent="0.25">
      <c r="A164" s="21">
        <f t="shared" si="2"/>
        <v>-0.36216849171167587</v>
      </c>
      <c r="B164" t="s">
        <v>73</v>
      </c>
      <c r="C164" s="21" t="str">
        <f t="shared" si="3"/>
        <v>B</v>
      </c>
      <c r="D164">
        <v>219</v>
      </c>
      <c r="E164">
        <v>139.68510031514299</v>
      </c>
      <c r="F164"/>
      <c r="Q164" s="21"/>
      <c r="R164" s="21"/>
    </row>
    <row r="165" spans="1:18" x14ac:dyDescent="0.25">
      <c r="A165" s="21">
        <f t="shared" si="2"/>
        <v>-0.34062376648257353</v>
      </c>
      <c r="B165" t="s">
        <v>73</v>
      </c>
      <c r="C165" s="21" t="str">
        <f t="shared" si="3"/>
        <v>B</v>
      </c>
      <c r="D165">
        <v>197</v>
      </c>
      <c r="E165">
        <v>129.89711800293301</v>
      </c>
      <c r="F165"/>
      <c r="Q165" s="21"/>
      <c r="R165" s="21"/>
    </row>
    <row r="166" spans="1:18" x14ac:dyDescent="0.25">
      <c r="A166" s="21">
        <f t="shared" si="2"/>
        <v>-0.15410128063418171</v>
      </c>
      <c r="B166" t="s">
        <v>73</v>
      </c>
      <c r="C166" s="21" t="str">
        <f t="shared" si="3"/>
        <v>A</v>
      </c>
      <c r="D166">
        <v>154</v>
      </c>
      <c r="E166">
        <v>130.26840278233601</v>
      </c>
      <c r="F166"/>
      <c r="Q166" s="21"/>
      <c r="R166" s="21"/>
    </row>
    <row r="167" spans="1:18" x14ac:dyDescent="0.25">
      <c r="A167" s="21">
        <f t="shared" ref="A167:A230" si="4">E167/D167-1</f>
        <v>0.56527248835241362</v>
      </c>
      <c r="B167" t="s">
        <v>48</v>
      </c>
      <c r="C167" s="21" t="str">
        <f t="shared" ref="C167:C230" si="5">IF(OR(A167&gt;=20%,A167&lt;=-20%),"B","A")</f>
        <v>B</v>
      </c>
      <c r="D167">
        <v>87</v>
      </c>
      <c r="E167">
        <v>136.17870648665999</v>
      </c>
      <c r="F167"/>
    </row>
    <row r="168" spans="1:18" x14ac:dyDescent="0.25">
      <c r="A168" s="21">
        <f t="shared" si="4"/>
        <v>5.620058874992262E-2</v>
      </c>
      <c r="B168" t="s">
        <v>48</v>
      </c>
      <c r="C168" s="21" t="str">
        <f t="shared" si="5"/>
        <v>A</v>
      </c>
      <c r="D168">
        <v>155</v>
      </c>
      <c r="E168">
        <v>163.71109125623801</v>
      </c>
      <c r="F168"/>
    </row>
    <row r="169" spans="1:18" x14ac:dyDescent="0.25">
      <c r="A169" s="21">
        <f t="shared" si="4"/>
        <v>0.23716549809493648</v>
      </c>
      <c r="B169" t="s">
        <v>48</v>
      </c>
      <c r="C169" s="21" t="str">
        <f t="shared" si="5"/>
        <v>B</v>
      </c>
      <c r="D169">
        <v>110</v>
      </c>
      <c r="E169">
        <v>136.088204790443</v>
      </c>
      <c r="F169"/>
    </row>
    <row r="170" spans="1:18" x14ac:dyDescent="0.25">
      <c r="A170" s="21">
        <f t="shared" si="4"/>
        <v>0.56138519864444847</v>
      </c>
      <c r="B170" t="s">
        <v>48</v>
      </c>
      <c r="C170" s="21" t="str">
        <f t="shared" si="5"/>
        <v>B</v>
      </c>
      <c r="D170">
        <v>87</v>
      </c>
      <c r="E170">
        <v>135.84051228206701</v>
      </c>
    </row>
    <row r="171" spans="1:18" x14ac:dyDescent="0.25">
      <c r="A171" s="21">
        <f t="shared" si="4"/>
        <v>0.20755747206968178</v>
      </c>
      <c r="B171" t="s">
        <v>48</v>
      </c>
      <c r="C171" s="21" t="str">
        <f t="shared" si="5"/>
        <v>B</v>
      </c>
      <c r="D171">
        <v>110</v>
      </c>
      <c r="E171">
        <v>132.83132192766499</v>
      </c>
      <c r="F171"/>
    </row>
    <row r="172" spans="1:18" x14ac:dyDescent="0.25">
      <c r="A172" s="21">
        <f t="shared" si="4"/>
        <v>0.32931018198218265</v>
      </c>
      <c r="B172" t="s">
        <v>48</v>
      </c>
      <c r="C172" s="21" t="str">
        <f t="shared" si="5"/>
        <v>B</v>
      </c>
      <c r="D172">
        <v>104</v>
      </c>
      <c r="E172">
        <v>138.248258926147</v>
      </c>
      <c r="F172"/>
    </row>
    <row r="173" spans="1:18" x14ac:dyDescent="0.25">
      <c r="A173" s="21">
        <f t="shared" si="4"/>
        <v>0.21675945164311505</v>
      </c>
      <c r="B173" t="s">
        <v>49</v>
      </c>
      <c r="C173" s="21" t="str">
        <f t="shared" si="5"/>
        <v>B</v>
      </c>
      <c r="D173">
        <v>113</v>
      </c>
      <c r="E173">
        <v>137.49381803567201</v>
      </c>
      <c r="F173"/>
    </row>
    <row r="174" spans="1:18" x14ac:dyDescent="0.25">
      <c r="A174" s="21">
        <f t="shared" si="4"/>
        <v>-2.9123416636366639E-2</v>
      </c>
      <c r="B174" t="s">
        <v>49</v>
      </c>
      <c r="C174" s="21" t="str">
        <f t="shared" si="5"/>
        <v>A</v>
      </c>
      <c r="D174">
        <v>120</v>
      </c>
      <c r="E174">
        <v>116.505190003636</v>
      </c>
      <c r="F174"/>
    </row>
    <row r="175" spans="1:18" x14ac:dyDescent="0.25">
      <c r="A175" s="21">
        <f t="shared" si="4"/>
        <v>2.9624267407492688E-2</v>
      </c>
      <c r="B175" t="s">
        <v>49</v>
      </c>
      <c r="C175" s="21" t="str">
        <f t="shared" si="5"/>
        <v>A</v>
      </c>
      <c r="D175">
        <v>96</v>
      </c>
      <c r="E175">
        <v>98.843929671119298</v>
      </c>
      <c r="F175"/>
    </row>
    <row r="176" spans="1:18" x14ac:dyDescent="0.25">
      <c r="A176" s="21">
        <f t="shared" si="4"/>
        <v>0.18638291039254407</v>
      </c>
      <c r="B176" t="s">
        <v>49</v>
      </c>
      <c r="C176" s="21" t="str">
        <f t="shared" si="5"/>
        <v>A</v>
      </c>
      <c r="D176">
        <v>84</v>
      </c>
      <c r="E176">
        <v>99.6561644729737</v>
      </c>
      <c r="F176"/>
    </row>
    <row r="177" spans="1:6" x14ac:dyDescent="0.25">
      <c r="A177" s="21">
        <f t="shared" si="4"/>
        <v>0.17630197079052334</v>
      </c>
      <c r="B177" t="s">
        <v>49</v>
      </c>
      <c r="C177" s="21" t="str">
        <f t="shared" si="5"/>
        <v>A</v>
      </c>
      <c r="D177">
        <v>107</v>
      </c>
      <c r="E177">
        <v>125.864310874586</v>
      </c>
      <c r="F177"/>
    </row>
    <row r="178" spans="1:6" x14ac:dyDescent="0.25">
      <c r="A178" s="21">
        <f t="shared" si="4"/>
        <v>0.18299750800500947</v>
      </c>
      <c r="B178" t="s">
        <v>49</v>
      </c>
      <c r="C178" s="21" t="str">
        <f t="shared" si="5"/>
        <v>A</v>
      </c>
      <c r="D178">
        <v>105</v>
      </c>
      <c r="E178">
        <v>124.214738340526</v>
      </c>
      <c r="F178"/>
    </row>
    <row r="179" spans="1:6" x14ac:dyDescent="0.25">
      <c r="A179" s="21">
        <f t="shared" si="4"/>
        <v>0.31509501437189025</v>
      </c>
      <c r="B179" t="s">
        <v>49</v>
      </c>
      <c r="C179" s="21" t="str">
        <f t="shared" si="5"/>
        <v>B</v>
      </c>
      <c r="D179">
        <v>82</v>
      </c>
      <c r="E179">
        <v>107.837791178495</v>
      </c>
      <c r="F179"/>
    </row>
    <row r="180" spans="1:6" x14ac:dyDescent="0.25">
      <c r="A180" s="21">
        <f t="shared" si="4"/>
        <v>-0.23258309514298003</v>
      </c>
      <c r="B180" t="s">
        <v>49</v>
      </c>
      <c r="C180" s="21" t="str">
        <f t="shared" si="5"/>
        <v>B</v>
      </c>
      <c r="D180">
        <v>150</v>
      </c>
      <c r="E180">
        <v>115.112535728553</v>
      </c>
      <c r="F180"/>
    </row>
    <row r="181" spans="1:6" x14ac:dyDescent="0.25">
      <c r="A181" s="21">
        <f t="shared" si="4"/>
        <v>4.285975228715877E-2</v>
      </c>
      <c r="B181" t="s">
        <v>49</v>
      </c>
      <c r="C181" s="21" t="str">
        <f t="shared" si="5"/>
        <v>A</v>
      </c>
      <c r="D181">
        <v>126</v>
      </c>
      <c r="E181">
        <v>131.40032878818201</v>
      </c>
      <c r="F181"/>
    </row>
    <row r="182" spans="1:6" x14ac:dyDescent="0.25">
      <c r="A182" s="21">
        <f t="shared" si="4"/>
        <v>0.32150695671692553</v>
      </c>
      <c r="B182" t="s">
        <v>49</v>
      </c>
      <c r="C182" s="21" t="str">
        <f t="shared" si="5"/>
        <v>B</v>
      </c>
      <c r="D182">
        <v>94</v>
      </c>
      <c r="E182">
        <v>124.221653931391</v>
      </c>
      <c r="F182"/>
    </row>
    <row r="183" spans="1:6" x14ac:dyDescent="0.25">
      <c r="A183" s="21">
        <f t="shared" si="4"/>
        <v>0.21760790558833731</v>
      </c>
      <c r="B183" t="s">
        <v>49</v>
      </c>
      <c r="C183" s="21" t="str">
        <f t="shared" si="5"/>
        <v>B</v>
      </c>
      <c r="D183">
        <v>86</v>
      </c>
      <c r="E183">
        <v>104.714279880597</v>
      </c>
      <c r="F183"/>
    </row>
    <row r="184" spans="1:6" x14ac:dyDescent="0.25">
      <c r="A184" s="21">
        <f t="shared" si="4"/>
        <v>-9.5188207673722602E-2</v>
      </c>
      <c r="B184" t="s">
        <v>49</v>
      </c>
      <c r="C184" s="21" t="str">
        <f t="shared" si="5"/>
        <v>A</v>
      </c>
      <c r="D184">
        <v>137</v>
      </c>
      <c r="E184">
        <v>123.9592155487</v>
      </c>
      <c r="F184"/>
    </row>
    <row r="185" spans="1:6" x14ac:dyDescent="0.25">
      <c r="A185" s="21">
        <f t="shared" si="4"/>
        <v>8.4854623854296207E-2</v>
      </c>
      <c r="B185" t="s">
        <v>49</v>
      </c>
      <c r="C185" s="21" t="str">
        <f t="shared" si="5"/>
        <v>A</v>
      </c>
      <c r="D185">
        <v>108</v>
      </c>
      <c r="E185">
        <v>117.164299376264</v>
      </c>
      <c r="F185"/>
    </row>
    <row r="186" spans="1:6" x14ac:dyDescent="0.25">
      <c r="A186" s="21">
        <f t="shared" si="4"/>
        <v>0.10827139325800017</v>
      </c>
      <c r="B186" t="s">
        <v>49</v>
      </c>
      <c r="C186" s="21" t="str">
        <f t="shared" si="5"/>
        <v>A</v>
      </c>
      <c r="D186">
        <v>104</v>
      </c>
      <c r="E186">
        <v>115.26022489883201</v>
      </c>
      <c r="F186"/>
    </row>
    <row r="187" spans="1:6" x14ac:dyDescent="0.25">
      <c r="A187" s="21">
        <f t="shared" si="4"/>
        <v>0.36906739636829999</v>
      </c>
      <c r="B187" t="s">
        <v>49</v>
      </c>
      <c r="C187" s="21" t="str">
        <f t="shared" si="5"/>
        <v>B</v>
      </c>
      <c r="D187">
        <v>80</v>
      </c>
      <c r="E187">
        <v>109.525391709464</v>
      </c>
      <c r="F187"/>
    </row>
    <row r="188" spans="1:6" x14ac:dyDescent="0.25">
      <c r="A188" s="21">
        <f t="shared" si="4"/>
        <v>-0.27422638747773997</v>
      </c>
      <c r="B188" t="s">
        <v>49</v>
      </c>
      <c r="C188" s="21" t="str">
        <f t="shared" si="5"/>
        <v>B</v>
      </c>
      <c r="D188">
        <v>150</v>
      </c>
      <c r="E188">
        <v>108.866041878339</v>
      </c>
      <c r="F188"/>
    </row>
    <row r="189" spans="1:6" x14ac:dyDescent="0.25">
      <c r="A189" s="21">
        <f t="shared" si="4"/>
        <v>0.2412309875369909</v>
      </c>
      <c r="B189" t="s">
        <v>49</v>
      </c>
      <c r="C189" s="21" t="str">
        <f t="shared" si="5"/>
        <v>B</v>
      </c>
      <c r="D189">
        <v>110</v>
      </c>
      <c r="E189">
        <v>136.535408629069</v>
      </c>
      <c r="F189"/>
    </row>
    <row r="190" spans="1:6" x14ac:dyDescent="0.25">
      <c r="A190" s="21">
        <f t="shared" si="4"/>
        <v>0.32078888375773906</v>
      </c>
      <c r="B190" t="s">
        <v>49</v>
      </c>
      <c r="C190" s="21" t="str">
        <f t="shared" si="5"/>
        <v>B</v>
      </c>
      <c r="D190">
        <v>92</v>
      </c>
      <c r="E190">
        <v>121.512577305712</v>
      </c>
      <c r="F190"/>
    </row>
    <row r="191" spans="1:6" x14ac:dyDescent="0.25">
      <c r="A191" s="21">
        <f t="shared" si="4"/>
        <v>0.30212579029238107</v>
      </c>
      <c r="B191" t="s">
        <v>49</v>
      </c>
      <c r="C191" s="21" t="str">
        <f t="shared" si="5"/>
        <v>B</v>
      </c>
      <c r="D191">
        <v>84</v>
      </c>
      <c r="E191">
        <v>109.37856638456</v>
      </c>
      <c r="F191"/>
    </row>
    <row r="192" spans="1:6" x14ac:dyDescent="0.25">
      <c r="A192" s="21">
        <f t="shared" si="4"/>
        <v>-5.0871328928979387E-2</v>
      </c>
      <c r="B192" t="s">
        <v>49</v>
      </c>
      <c r="C192" s="21" t="str">
        <f t="shared" si="5"/>
        <v>A</v>
      </c>
      <c r="D192">
        <v>145</v>
      </c>
      <c r="E192">
        <v>137.623657305298</v>
      </c>
      <c r="F192"/>
    </row>
    <row r="193" spans="1:6" x14ac:dyDescent="0.25">
      <c r="A193" s="21">
        <f t="shared" si="4"/>
        <v>2.3326943738333217E-2</v>
      </c>
      <c r="B193" t="s">
        <v>49</v>
      </c>
      <c r="C193" s="21" t="str">
        <f t="shared" si="5"/>
        <v>A</v>
      </c>
      <c r="D193">
        <v>123</v>
      </c>
      <c r="E193">
        <v>125.86921407981499</v>
      </c>
      <c r="F193"/>
    </row>
    <row r="194" spans="1:6" x14ac:dyDescent="0.25">
      <c r="A194" s="21">
        <f t="shared" si="4"/>
        <v>-1.1072548568021978E-2</v>
      </c>
      <c r="B194" t="s">
        <v>49</v>
      </c>
      <c r="C194" s="21" t="str">
        <f t="shared" si="5"/>
        <v>A</v>
      </c>
      <c r="D194">
        <v>100</v>
      </c>
      <c r="E194">
        <v>98.8927451431978</v>
      </c>
      <c r="F194"/>
    </row>
    <row r="195" spans="1:6" x14ac:dyDescent="0.25">
      <c r="A195" s="21">
        <f t="shared" si="4"/>
        <v>0.24187676915135636</v>
      </c>
      <c r="B195" t="s">
        <v>49</v>
      </c>
      <c r="C195" s="21" t="str">
        <f t="shared" si="5"/>
        <v>B</v>
      </c>
      <c r="D195">
        <v>87</v>
      </c>
      <c r="E195">
        <v>108.04327891616801</v>
      </c>
      <c r="F195"/>
    </row>
    <row r="196" spans="1:6" x14ac:dyDescent="0.25">
      <c r="A196" s="21">
        <f t="shared" si="4"/>
        <v>0.10948413555472092</v>
      </c>
      <c r="B196" t="s">
        <v>49</v>
      </c>
      <c r="C196" s="21" t="str">
        <f t="shared" si="5"/>
        <v>A</v>
      </c>
      <c r="D196">
        <v>86</v>
      </c>
      <c r="E196">
        <v>95.415635657706005</v>
      </c>
      <c r="F196"/>
    </row>
    <row r="197" spans="1:6" x14ac:dyDescent="0.25">
      <c r="A197" s="21">
        <f t="shared" si="4"/>
        <v>-0.17324742550374606</v>
      </c>
      <c r="B197" t="s">
        <v>49</v>
      </c>
      <c r="C197" s="21" t="str">
        <f t="shared" si="5"/>
        <v>A</v>
      </c>
      <c r="D197">
        <v>126</v>
      </c>
      <c r="E197">
        <v>104.170824386528</v>
      </c>
      <c r="F197"/>
    </row>
    <row r="198" spans="1:6" x14ac:dyDescent="0.25">
      <c r="A198" s="21">
        <f t="shared" si="4"/>
        <v>-3.6998483845190888E-2</v>
      </c>
      <c r="B198" t="s">
        <v>49</v>
      </c>
      <c r="C198" s="21" t="str">
        <f t="shared" si="5"/>
        <v>A</v>
      </c>
      <c r="D198">
        <v>110</v>
      </c>
      <c r="E198">
        <v>105.930166777029</v>
      </c>
      <c r="F198"/>
    </row>
    <row r="199" spans="1:6" x14ac:dyDescent="0.25">
      <c r="A199" s="21">
        <f t="shared" si="4"/>
        <v>0.21936506542430534</v>
      </c>
      <c r="B199" t="s">
        <v>49</v>
      </c>
      <c r="C199" s="21" t="str">
        <f t="shared" si="5"/>
        <v>B</v>
      </c>
      <c r="D199">
        <v>95</v>
      </c>
      <c r="E199">
        <v>115.839681215309</v>
      </c>
      <c r="F199"/>
    </row>
    <row r="200" spans="1:6" x14ac:dyDescent="0.25">
      <c r="A200" s="21">
        <f t="shared" si="4"/>
        <v>0.18493336211811373</v>
      </c>
      <c r="B200" t="s">
        <v>49</v>
      </c>
      <c r="C200" s="21" t="str">
        <f t="shared" si="5"/>
        <v>A</v>
      </c>
      <c r="D200">
        <v>88</v>
      </c>
      <c r="E200">
        <v>104.274135866394</v>
      </c>
      <c r="F200"/>
    </row>
    <row r="201" spans="1:6" x14ac:dyDescent="0.25">
      <c r="A201" s="21">
        <f t="shared" si="4"/>
        <v>-0.18719299863581873</v>
      </c>
      <c r="B201" t="s">
        <v>49</v>
      </c>
      <c r="C201" s="21" t="str">
        <f t="shared" si="5"/>
        <v>A</v>
      </c>
      <c r="D201">
        <v>149</v>
      </c>
      <c r="E201">
        <v>121.108243203263</v>
      </c>
      <c r="F201"/>
    </row>
    <row r="202" spans="1:6" x14ac:dyDescent="0.25">
      <c r="A202" s="21">
        <f t="shared" si="4"/>
        <v>-0.15558671740228669</v>
      </c>
      <c r="B202" t="s">
        <v>49</v>
      </c>
      <c r="C202" s="21" t="str">
        <f t="shared" si="5"/>
        <v>A</v>
      </c>
      <c r="D202">
        <v>143</v>
      </c>
      <c r="E202">
        <v>120.75109941147301</v>
      </c>
      <c r="F202"/>
    </row>
    <row r="203" spans="1:6" x14ac:dyDescent="0.25">
      <c r="A203" s="21">
        <f t="shared" si="4"/>
        <v>-0.11679438110755636</v>
      </c>
      <c r="B203" t="s">
        <v>49</v>
      </c>
      <c r="C203" s="21" t="str">
        <f t="shared" si="5"/>
        <v>A</v>
      </c>
      <c r="D203">
        <v>133</v>
      </c>
      <c r="E203">
        <v>117.46634731269501</v>
      </c>
      <c r="F203"/>
    </row>
    <row r="204" spans="1:6" x14ac:dyDescent="0.25">
      <c r="A204" s="21">
        <f t="shared" si="4"/>
        <v>0.18847928840685224</v>
      </c>
      <c r="B204" t="s">
        <v>49</v>
      </c>
      <c r="C204" s="21" t="str">
        <f t="shared" si="5"/>
        <v>A</v>
      </c>
      <c r="D204">
        <v>88</v>
      </c>
      <c r="E204">
        <v>104.586177379803</v>
      </c>
      <c r="F204"/>
    </row>
    <row r="205" spans="1:6" x14ac:dyDescent="0.25">
      <c r="A205" s="21">
        <f t="shared" si="4"/>
        <v>0.24523164946613263</v>
      </c>
      <c r="B205" t="s">
        <v>49</v>
      </c>
      <c r="C205" s="21" t="str">
        <f t="shared" si="5"/>
        <v>B</v>
      </c>
      <c r="D205">
        <v>83</v>
      </c>
      <c r="E205">
        <v>103.354226905689</v>
      </c>
      <c r="F205"/>
    </row>
    <row r="206" spans="1:6" x14ac:dyDescent="0.25">
      <c r="A206" s="21">
        <f t="shared" si="4"/>
        <v>-0.19327749794723781</v>
      </c>
      <c r="B206" t="s">
        <v>49</v>
      </c>
      <c r="C206" s="21" t="str">
        <f t="shared" si="5"/>
        <v>A</v>
      </c>
      <c r="D206">
        <v>143</v>
      </c>
      <c r="E206">
        <v>115.361317793545</v>
      </c>
      <c r="F206"/>
    </row>
    <row r="207" spans="1:6" x14ac:dyDescent="0.25">
      <c r="A207" s="21">
        <f t="shared" si="4"/>
        <v>0.20317801442739469</v>
      </c>
      <c r="B207" t="s">
        <v>49</v>
      </c>
      <c r="C207" s="21" t="str">
        <f t="shared" si="5"/>
        <v>B</v>
      </c>
      <c r="D207">
        <v>114</v>
      </c>
      <c r="E207">
        <v>137.16229364472301</v>
      </c>
      <c r="F207"/>
    </row>
    <row r="208" spans="1:6" x14ac:dyDescent="0.25">
      <c r="A208" s="21">
        <f t="shared" si="4"/>
        <v>7.1164439178638794E-2</v>
      </c>
      <c r="B208" t="s">
        <v>49</v>
      </c>
      <c r="C208" s="21" t="str">
        <f t="shared" si="5"/>
        <v>A</v>
      </c>
      <c r="D208">
        <v>108</v>
      </c>
      <c r="E208">
        <v>115.68575943129299</v>
      </c>
      <c r="F208"/>
    </row>
    <row r="209" spans="1:6" x14ac:dyDescent="0.25">
      <c r="A209" s="21">
        <f t="shared" si="4"/>
        <v>0.19453720858876467</v>
      </c>
      <c r="B209" t="s">
        <v>49</v>
      </c>
      <c r="C209" s="21" t="str">
        <f t="shared" si="5"/>
        <v>A</v>
      </c>
      <c r="D209">
        <v>79</v>
      </c>
      <c r="E209">
        <v>94.3684394785124</v>
      </c>
      <c r="F209"/>
    </row>
    <row r="210" spans="1:6" x14ac:dyDescent="0.25">
      <c r="A210" s="21">
        <f t="shared" si="4"/>
        <v>1.166613381175563E-2</v>
      </c>
      <c r="B210" t="s">
        <v>49</v>
      </c>
      <c r="C210" s="21" t="str">
        <f t="shared" si="5"/>
        <v>A</v>
      </c>
      <c r="D210">
        <v>135</v>
      </c>
      <c r="E210">
        <v>136.574928064587</v>
      </c>
      <c r="F210"/>
    </row>
    <row r="211" spans="1:6" x14ac:dyDescent="0.25">
      <c r="A211" s="21">
        <f t="shared" si="4"/>
        <v>0.10931387827497474</v>
      </c>
      <c r="B211" t="s">
        <v>49</v>
      </c>
      <c r="C211" s="21" t="str">
        <f t="shared" si="5"/>
        <v>A</v>
      </c>
      <c r="D211">
        <v>119</v>
      </c>
      <c r="E211">
        <v>132.00835151472199</v>
      </c>
      <c r="F211"/>
    </row>
    <row r="212" spans="1:6" x14ac:dyDescent="0.25">
      <c r="A212" s="21">
        <f t="shared" si="4"/>
        <v>0.12969539708359812</v>
      </c>
      <c r="B212" t="s">
        <v>49</v>
      </c>
      <c r="C212" s="21" t="str">
        <f t="shared" si="5"/>
        <v>A</v>
      </c>
      <c r="D212">
        <v>107</v>
      </c>
      <c r="E212">
        <v>120.87740748794501</v>
      </c>
      <c r="F212"/>
    </row>
    <row r="213" spans="1:6" x14ac:dyDescent="0.25">
      <c r="A213" s="21">
        <f t="shared" si="4"/>
        <v>-6.2088296496486284E-2</v>
      </c>
      <c r="B213" t="s">
        <v>49</v>
      </c>
      <c r="C213" s="21" t="str">
        <f t="shared" si="5"/>
        <v>A</v>
      </c>
      <c r="D213">
        <v>146</v>
      </c>
      <c r="E213">
        <v>136.93510871151301</v>
      </c>
      <c r="F213"/>
    </row>
    <row r="214" spans="1:6" x14ac:dyDescent="0.25">
      <c r="A214" s="21">
        <f t="shared" si="4"/>
        <v>5.2838837952793538E-2</v>
      </c>
      <c r="B214" t="s">
        <v>49</v>
      </c>
      <c r="C214" s="21" t="str">
        <f t="shared" si="5"/>
        <v>A</v>
      </c>
      <c r="D214">
        <v>121</v>
      </c>
      <c r="E214">
        <v>127.39349939228801</v>
      </c>
      <c r="F214"/>
    </row>
    <row r="215" spans="1:6" x14ac:dyDescent="0.25">
      <c r="A215" s="21">
        <f t="shared" si="4"/>
        <v>6.2118558241568866E-2</v>
      </c>
      <c r="B215" t="s">
        <v>49</v>
      </c>
      <c r="C215" s="21" t="str">
        <f t="shared" si="5"/>
        <v>A</v>
      </c>
      <c r="D215">
        <v>90</v>
      </c>
      <c r="E215">
        <v>95.590670241741194</v>
      </c>
      <c r="F215"/>
    </row>
    <row r="216" spans="1:6" x14ac:dyDescent="0.25">
      <c r="A216" s="21">
        <f t="shared" si="4"/>
        <v>0.31767229820961629</v>
      </c>
      <c r="B216" t="s">
        <v>49</v>
      </c>
      <c r="C216" s="21" t="str">
        <f t="shared" si="5"/>
        <v>B</v>
      </c>
      <c r="D216">
        <v>86</v>
      </c>
      <c r="E216">
        <v>113.319817646027</v>
      </c>
      <c r="F216"/>
    </row>
    <row r="217" spans="1:6" x14ac:dyDescent="0.25">
      <c r="A217" s="21">
        <f t="shared" si="4"/>
        <v>-0.18795119951145445</v>
      </c>
      <c r="B217" t="s">
        <v>49</v>
      </c>
      <c r="C217" s="21" t="str">
        <f t="shared" si="5"/>
        <v>A</v>
      </c>
      <c r="D217">
        <v>132</v>
      </c>
      <c r="E217">
        <v>107.19044166448801</v>
      </c>
      <c r="F217"/>
    </row>
    <row r="218" spans="1:6" x14ac:dyDescent="0.25">
      <c r="A218" s="21">
        <f t="shared" si="4"/>
        <v>0.17012112781172473</v>
      </c>
      <c r="B218" t="s">
        <v>49</v>
      </c>
      <c r="C218" s="21" t="str">
        <f t="shared" si="5"/>
        <v>A</v>
      </c>
      <c r="D218">
        <v>109</v>
      </c>
      <c r="E218">
        <v>127.54320293147801</v>
      </c>
      <c r="F218"/>
    </row>
    <row r="219" spans="1:6" x14ac:dyDescent="0.25">
      <c r="A219" s="21">
        <f t="shared" si="4"/>
        <v>0.26393494905029469</v>
      </c>
      <c r="B219" t="s">
        <v>49</v>
      </c>
      <c r="C219" s="21" t="str">
        <f t="shared" si="5"/>
        <v>B</v>
      </c>
      <c r="D219">
        <v>95</v>
      </c>
      <c r="E219">
        <v>120.07382015977799</v>
      </c>
      <c r="F219"/>
    </row>
    <row r="220" spans="1:6" x14ac:dyDescent="0.25">
      <c r="A220" s="21">
        <f t="shared" si="4"/>
        <v>0.3716909018720449</v>
      </c>
      <c r="B220" t="s">
        <v>49</v>
      </c>
      <c r="C220" s="21" t="str">
        <f t="shared" si="5"/>
        <v>B</v>
      </c>
      <c r="D220">
        <v>89</v>
      </c>
      <c r="E220">
        <v>122.080490266612</v>
      </c>
      <c r="F220"/>
    </row>
    <row r="221" spans="1:6" x14ac:dyDescent="0.25">
      <c r="A221" s="21">
        <f t="shared" si="4"/>
        <v>6.2647796567515845E-2</v>
      </c>
      <c r="B221" t="s">
        <v>49</v>
      </c>
      <c r="C221" s="21" t="str">
        <f t="shared" si="5"/>
        <v>A</v>
      </c>
      <c r="D221">
        <v>126</v>
      </c>
      <c r="E221">
        <v>133.89362236750699</v>
      </c>
      <c r="F221"/>
    </row>
    <row r="222" spans="1:6" x14ac:dyDescent="0.25">
      <c r="A222" s="21">
        <f t="shared" si="4"/>
        <v>0.11984059573927586</v>
      </c>
      <c r="B222" t="s">
        <v>49</v>
      </c>
      <c r="C222" s="21" t="str">
        <f t="shared" si="5"/>
        <v>A</v>
      </c>
      <c r="D222">
        <v>116</v>
      </c>
      <c r="E222">
        <v>129.90150910575599</v>
      </c>
      <c r="F222"/>
    </row>
    <row r="223" spans="1:6" x14ac:dyDescent="0.25">
      <c r="A223" s="21">
        <f t="shared" si="4"/>
        <v>-0.13406737164269267</v>
      </c>
      <c r="B223" t="s">
        <v>49</v>
      </c>
      <c r="C223" s="21" t="str">
        <f t="shared" si="5"/>
        <v>A</v>
      </c>
      <c r="D223">
        <v>108</v>
      </c>
      <c r="E223">
        <v>93.520723862589193</v>
      </c>
      <c r="F223"/>
    </row>
    <row r="224" spans="1:6" x14ac:dyDescent="0.25">
      <c r="A224" s="21">
        <f t="shared" si="4"/>
        <v>0.34690304612932144</v>
      </c>
      <c r="B224" t="s">
        <v>49</v>
      </c>
      <c r="C224" s="21" t="str">
        <f t="shared" si="5"/>
        <v>B</v>
      </c>
      <c r="D224">
        <v>112</v>
      </c>
      <c r="E224">
        <v>150.85314116648399</v>
      </c>
      <c r="F224"/>
    </row>
    <row r="225" spans="1:6" x14ac:dyDescent="0.25">
      <c r="A225" s="21">
        <f t="shared" si="4"/>
        <v>0.32837174419510529</v>
      </c>
      <c r="B225" t="s">
        <v>49</v>
      </c>
      <c r="C225" s="21" t="str">
        <f t="shared" si="5"/>
        <v>B</v>
      </c>
      <c r="D225">
        <v>95</v>
      </c>
      <c r="E225">
        <v>126.195315698535</v>
      </c>
      <c r="F225"/>
    </row>
    <row r="226" spans="1:6" x14ac:dyDescent="0.25">
      <c r="A226" s="21">
        <f t="shared" si="4"/>
        <v>0.18281370262582963</v>
      </c>
      <c r="B226" t="s">
        <v>49</v>
      </c>
      <c r="C226" s="21" t="str">
        <f t="shared" si="5"/>
        <v>A</v>
      </c>
      <c r="D226">
        <v>94</v>
      </c>
      <c r="E226">
        <v>111.18448804682799</v>
      </c>
      <c r="F226"/>
    </row>
    <row r="227" spans="1:6" x14ac:dyDescent="0.25">
      <c r="A227" s="21">
        <f t="shared" si="4"/>
        <v>0.20769963173565209</v>
      </c>
      <c r="B227" t="s">
        <v>49</v>
      </c>
      <c r="C227" s="21" t="str">
        <f t="shared" si="5"/>
        <v>B</v>
      </c>
      <c r="D227">
        <v>92</v>
      </c>
      <c r="E227">
        <v>111.10836611968</v>
      </c>
      <c r="F227"/>
    </row>
    <row r="228" spans="1:6" x14ac:dyDescent="0.25">
      <c r="A228" s="21">
        <f t="shared" si="4"/>
        <v>-4.9086826322580213E-2</v>
      </c>
      <c r="B228" t="s">
        <v>49</v>
      </c>
      <c r="C228" s="21" t="str">
        <f t="shared" si="5"/>
        <v>A</v>
      </c>
      <c r="D228">
        <v>131</v>
      </c>
      <c r="E228">
        <v>124.569625751742</v>
      </c>
      <c r="F228"/>
    </row>
    <row r="229" spans="1:6" x14ac:dyDescent="0.25">
      <c r="A229" s="21">
        <f t="shared" si="4"/>
        <v>6.6145408724919807E-2</v>
      </c>
      <c r="B229" t="s">
        <v>49</v>
      </c>
      <c r="C229" s="21" t="str">
        <f t="shared" si="5"/>
        <v>A</v>
      </c>
      <c r="D229">
        <v>125</v>
      </c>
      <c r="E229">
        <v>133.26817609061499</v>
      </c>
      <c r="F229"/>
    </row>
    <row r="230" spans="1:6" x14ac:dyDescent="0.25">
      <c r="A230" s="21">
        <f t="shared" si="4"/>
        <v>0.26470927117455245</v>
      </c>
      <c r="B230" t="s">
        <v>49</v>
      </c>
      <c r="C230" s="21" t="str">
        <f t="shared" si="5"/>
        <v>B</v>
      </c>
      <c r="D230">
        <v>105</v>
      </c>
      <c r="E230">
        <v>132.794473473328</v>
      </c>
      <c r="F230"/>
    </row>
    <row r="231" spans="1:6" x14ac:dyDescent="0.25">
      <c r="A231" s="21">
        <f t="shared" ref="A231:A294" si="6">E231/D231-1</f>
        <v>0.16573900691830246</v>
      </c>
      <c r="B231" t="s">
        <v>49</v>
      </c>
      <c r="C231" s="21" t="str">
        <f t="shared" ref="C231:C294" si="7">IF(OR(A231&gt;=20%,A231&lt;=-20%),"B","A")</f>
        <v>A</v>
      </c>
      <c r="D231">
        <v>86</v>
      </c>
      <c r="E231">
        <v>100.25355459497401</v>
      </c>
      <c r="F231"/>
    </row>
    <row r="232" spans="1:6" x14ac:dyDescent="0.25">
      <c r="A232" s="21">
        <f t="shared" si="6"/>
        <v>0.23115129728273032</v>
      </c>
      <c r="B232" t="s">
        <v>49</v>
      </c>
      <c r="C232" s="21" t="str">
        <f t="shared" si="7"/>
        <v>B</v>
      </c>
      <c r="D232">
        <v>126</v>
      </c>
      <c r="E232">
        <v>155.12506345762401</v>
      </c>
      <c r="F232"/>
    </row>
    <row r="233" spans="1:6" x14ac:dyDescent="0.25">
      <c r="A233" s="21">
        <f t="shared" si="6"/>
        <v>0.31707563120342241</v>
      </c>
      <c r="B233" t="s">
        <v>49</v>
      </c>
      <c r="C233" s="21" t="str">
        <f t="shared" si="7"/>
        <v>B</v>
      </c>
      <c r="D233">
        <v>116</v>
      </c>
      <c r="E233">
        <v>152.78077321959699</v>
      </c>
      <c r="F233"/>
    </row>
    <row r="234" spans="1:6" x14ac:dyDescent="0.25">
      <c r="A234" s="21">
        <f t="shared" si="6"/>
        <v>0.39318483796592796</v>
      </c>
      <c r="B234" t="s">
        <v>49</v>
      </c>
      <c r="C234" s="21" t="str">
        <f t="shared" si="7"/>
        <v>B</v>
      </c>
      <c r="D234">
        <v>111</v>
      </c>
      <c r="E234">
        <v>154.64351701421799</v>
      </c>
      <c r="F234"/>
    </row>
    <row r="235" spans="1:6" x14ac:dyDescent="0.25">
      <c r="A235" s="21">
        <f t="shared" si="6"/>
        <v>0.31855443399021111</v>
      </c>
      <c r="B235" t="s">
        <v>49</v>
      </c>
      <c r="C235" s="21" t="str">
        <f t="shared" si="7"/>
        <v>B</v>
      </c>
      <c r="D235">
        <v>90</v>
      </c>
      <c r="E235">
        <v>118.669899059119</v>
      </c>
      <c r="F235"/>
    </row>
    <row r="236" spans="1:6" x14ac:dyDescent="0.25">
      <c r="A236" s="21">
        <f t="shared" si="6"/>
        <v>9.4057897358879927E-2</v>
      </c>
      <c r="B236" t="s">
        <v>49</v>
      </c>
      <c r="C236" s="21" t="str">
        <f t="shared" si="7"/>
        <v>A</v>
      </c>
      <c r="D236">
        <v>125</v>
      </c>
      <c r="E236">
        <v>136.75723716985999</v>
      </c>
      <c r="F236"/>
    </row>
    <row r="237" spans="1:6" x14ac:dyDescent="0.25">
      <c r="A237" s="21">
        <f t="shared" si="6"/>
        <v>0.1681290297401894</v>
      </c>
      <c r="B237" t="s">
        <v>49</v>
      </c>
      <c r="C237" s="21" t="str">
        <f t="shared" si="7"/>
        <v>A</v>
      </c>
      <c r="D237">
        <v>95</v>
      </c>
      <c r="E237">
        <v>110.972257825318</v>
      </c>
      <c r="F237"/>
    </row>
    <row r="238" spans="1:6" x14ac:dyDescent="0.25">
      <c r="A238" s="21">
        <f t="shared" si="6"/>
        <v>0.21607861099946235</v>
      </c>
      <c r="B238" t="s">
        <v>49</v>
      </c>
      <c r="C238" s="21" t="str">
        <f t="shared" si="7"/>
        <v>B</v>
      </c>
      <c r="D238">
        <v>93</v>
      </c>
      <c r="E238">
        <v>113.09531082295</v>
      </c>
      <c r="F238"/>
    </row>
    <row r="239" spans="1:6" x14ac:dyDescent="0.25">
      <c r="A239" s="21">
        <f t="shared" si="6"/>
        <v>0.12887356346549628</v>
      </c>
      <c r="B239" t="s">
        <v>49</v>
      </c>
      <c r="C239" s="21" t="str">
        <f t="shared" si="7"/>
        <v>A</v>
      </c>
      <c r="D239">
        <v>81</v>
      </c>
      <c r="E239">
        <v>91.438758640705203</v>
      </c>
      <c r="F239"/>
    </row>
    <row r="240" spans="1:6" x14ac:dyDescent="0.25">
      <c r="A240" s="21">
        <f t="shared" si="6"/>
        <v>0.14981783800799997</v>
      </c>
      <c r="B240" t="s">
        <v>49</v>
      </c>
      <c r="C240" s="21" t="str">
        <f t="shared" si="7"/>
        <v>A</v>
      </c>
      <c r="D240">
        <v>92</v>
      </c>
      <c r="E240">
        <v>105.78324109673601</v>
      </c>
      <c r="F240"/>
    </row>
    <row r="241" spans="1:6" x14ac:dyDescent="0.25">
      <c r="A241" s="21">
        <f t="shared" si="6"/>
        <v>0.31071226251818596</v>
      </c>
      <c r="B241" t="s">
        <v>49</v>
      </c>
      <c r="C241" s="21" t="str">
        <f t="shared" si="7"/>
        <v>B</v>
      </c>
      <c r="D241">
        <v>86</v>
      </c>
      <c r="E241">
        <v>112.72125457656399</v>
      </c>
      <c r="F241"/>
    </row>
    <row r="242" spans="1:6" x14ac:dyDescent="0.25">
      <c r="A242" s="21">
        <f t="shared" si="6"/>
        <v>0.38634006969068291</v>
      </c>
      <c r="B242" t="s">
        <v>49</v>
      </c>
      <c r="C242" s="21" t="str">
        <f t="shared" si="7"/>
        <v>B</v>
      </c>
      <c r="D242">
        <v>82</v>
      </c>
      <c r="E242">
        <v>113.679885714636</v>
      </c>
      <c r="F242"/>
    </row>
    <row r="243" spans="1:6" x14ac:dyDescent="0.25">
      <c r="A243" s="21">
        <f t="shared" si="6"/>
        <v>-0.12450199891262992</v>
      </c>
      <c r="B243" t="s">
        <v>49</v>
      </c>
      <c r="C243" s="21" t="str">
        <f t="shared" si="7"/>
        <v>A</v>
      </c>
      <c r="D243">
        <v>127</v>
      </c>
      <c r="E243">
        <v>111.18824613809601</v>
      </c>
      <c r="F243"/>
    </row>
    <row r="244" spans="1:6" x14ac:dyDescent="0.25">
      <c r="A244" s="21">
        <f t="shared" si="6"/>
        <v>7.4099927732116599E-2</v>
      </c>
      <c r="B244" t="s">
        <v>49</v>
      </c>
      <c r="C244" s="21" t="str">
        <f t="shared" si="7"/>
        <v>A</v>
      </c>
      <c r="D244">
        <v>103</v>
      </c>
      <c r="E244">
        <v>110.632292556408</v>
      </c>
      <c r="F244"/>
    </row>
    <row r="245" spans="1:6" x14ac:dyDescent="0.25">
      <c r="A245" s="21">
        <f t="shared" si="6"/>
        <v>0.1923657270293837</v>
      </c>
      <c r="B245" t="s">
        <v>49</v>
      </c>
      <c r="C245" s="21" t="str">
        <f t="shared" si="7"/>
        <v>A</v>
      </c>
      <c r="D245">
        <v>86</v>
      </c>
      <c r="E245">
        <v>102.543452524527</v>
      </c>
      <c r="F245"/>
    </row>
    <row r="246" spans="1:6" x14ac:dyDescent="0.25">
      <c r="A246" s="21">
        <f t="shared" si="6"/>
        <v>0.35734485716870901</v>
      </c>
      <c r="B246" t="s">
        <v>49</v>
      </c>
      <c r="C246" s="21" t="str">
        <f t="shared" si="7"/>
        <v>B</v>
      </c>
      <c r="D246">
        <v>79</v>
      </c>
      <c r="E246">
        <v>107.230243716328</v>
      </c>
      <c r="F246"/>
    </row>
    <row r="247" spans="1:6" x14ac:dyDescent="0.25">
      <c r="A247" s="21">
        <f t="shared" si="6"/>
        <v>-0.18940005644482505</v>
      </c>
      <c r="B247" t="s">
        <v>49</v>
      </c>
      <c r="C247" s="21" t="str">
        <f t="shared" si="7"/>
        <v>A</v>
      </c>
      <c r="D247">
        <v>160</v>
      </c>
      <c r="E247">
        <v>129.695990968828</v>
      </c>
      <c r="F247"/>
    </row>
    <row r="248" spans="1:6" x14ac:dyDescent="0.25">
      <c r="A248" s="21">
        <f t="shared" si="6"/>
        <v>-9.8207948568392545E-2</v>
      </c>
      <c r="B248" t="s">
        <v>49</v>
      </c>
      <c r="C248" s="21" t="str">
        <f t="shared" si="7"/>
        <v>A</v>
      </c>
      <c r="D248">
        <v>135</v>
      </c>
      <c r="E248">
        <v>121.741926943267</v>
      </c>
      <c r="F248"/>
    </row>
    <row r="249" spans="1:6" x14ac:dyDescent="0.25">
      <c r="A249" s="21">
        <f t="shared" si="6"/>
        <v>6.6820461947952881E-2</v>
      </c>
      <c r="B249" t="s">
        <v>49</v>
      </c>
      <c r="C249" s="21" t="str">
        <f t="shared" si="7"/>
        <v>A</v>
      </c>
      <c r="D249">
        <v>106</v>
      </c>
      <c r="E249">
        <v>113.08296896648299</v>
      </c>
      <c r="F249"/>
    </row>
    <row r="250" spans="1:6" x14ac:dyDescent="0.25">
      <c r="A250" s="21">
        <f t="shared" si="6"/>
        <v>0.39213487210722509</v>
      </c>
      <c r="B250" t="s">
        <v>49</v>
      </c>
      <c r="C250" s="21" t="str">
        <f t="shared" si="7"/>
        <v>B</v>
      </c>
      <c r="D250">
        <v>80</v>
      </c>
      <c r="E250">
        <v>111.37078976857801</v>
      </c>
    </row>
    <row r="251" spans="1:6" x14ac:dyDescent="0.25">
      <c r="A251" s="21">
        <f t="shared" si="6"/>
        <v>0.10819613895574198</v>
      </c>
      <c r="B251" t="s">
        <v>49</v>
      </c>
      <c r="C251" s="21" t="str">
        <f t="shared" si="7"/>
        <v>A</v>
      </c>
      <c r="D251">
        <v>124</v>
      </c>
      <c r="E251">
        <v>137.41632123051201</v>
      </c>
      <c r="F251"/>
    </row>
    <row r="252" spans="1:6" x14ac:dyDescent="0.25">
      <c r="A252" s="21">
        <f t="shared" si="6"/>
        <v>0.20428461420558919</v>
      </c>
      <c r="B252" t="s">
        <v>49</v>
      </c>
      <c r="C252" s="21" t="str">
        <f t="shared" si="7"/>
        <v>B</v>
      </c>
      <c r="D252">
        <v>112</v>
      </c>
      <c r="E252">
        <v>134.87987679102599</v>
      </c>
      <c r="F252"/>
    </row>
    <row r="253" spans="1:6" x14ac:dyDescent="0.25">
      <c r="A253" s="21">
        <f t="shared" si="6"/>
        <v>-7.1048280239718764E-2</v>
      </c>
      <c r="B253" t="s">
        <v>49</v>
      </c>
      <c r="C253" s="21" t="str">
        <f t="shared" si="7"/>
        <v>A</v>
      </c>
      <c r="D253">
        <v>96</v>
      </c>
      <c r="E253">
        <v>89.179365096986999</v>
      </c>
      <c r="F253"/>
    </row>
    <row r="254" spans="1:6" x14ac:dyDescent="0.25">
      <c r="A254" s="21">
        <f t="shared" si="6"/>
        <v>0.38216336109414284</v>
      </c>
      <c r="B254" t="s">
        <v>49</v>
      </c>
      <c r="C254" s="21" t="str">
        <f t="shared" si="7"/>
        <v>B</v>
      </c>
      <c r="D254">
        <v>77</v>
      </c>
      <c r="E254">
        <v>106.426578804249</v>
      </c>
      <c r="F254"/>
    </row>
    <row r="255" spans="1:6" x14ac:dyDescent="0.25">
      <c r="A255" s="21">
        <f t="shared" si="6"/>
        <v>-0.24088738859297076</v>
      </c>
      <c r="B255" t="s">
        <v>49</v>
      </c>
      <c r="C255" s="21" t="str">
        <f t="shared" si="7"/>
        <v>B</v>
      </c>
      <c r="D255">
        <v>137</v>
      </c>
      <c r="E255">
        <v>103.998427762763</v>
      </c>
      <c r="F255"/>
    </row>
    <row r="256" spans="1:6" x14ac:dyDescent="0.25">
      <c r="A256" s="21">
        <f t="shared" si="6"/>
        <v>-4.9070099274607704E-2</v>
      </c>
      <c r="B256" t="s">
        <v>49</v>
      </c>
      <c r="C256" s="21" t="str">
        <f t="shared" si="7"/>
        <v>A</v>
      </c>
      <c r="D256">
        <v>130</v>
      </c>
      <c r="E256">
        <v>123.620887094301</v>
      </c>
      <c r="F256"/>
    </row>
    <row r="257" spans="1:6" x14ac:dyDescent="0.25">
      <c r="A257" s="21">
        <f t="shared" si="6"/>
        <v>-0.14290671015022305</v>
      </c>
      <c r="B257" t="s">
        <v>49</v>
      </c>
      <c r="C257" s="21" t="str">
        <f t="shared" si="7"/>
        <v>A</v>
      </c>
      <c r="D257">
        <v>121</v>
      </c>
      <c r="E257">
        <v>103.70828807182301</v>
      </c>
      <c r="F257"/>
    </row>
    <row r="258" spans="1:6" x14ac:dyDescent="0.25">
      <c r="A258" s="21">
        <f t="shared" si="6"/>
        <v>0.12896748717314299</v>
      </c>
      <c r="B258" t="s">
        <v>49</v>
      </c>
      <c r="C258" s="21" t="str">
        <f t="shared" si="7"/>
        <v>A</v>
      </c>
      <c r="D258">
        <v>91</v>
      </c>
      <c r="E258">
        <v>102.736041332756</v>
      </c>
      <c r="F258"/>
    </row>
    <row r="259" spans="1:6" x14ac:dyDescent="0.25">
      <c r="A259" s="21">
        <f t="shared" si="6"/>
        <v>-3.5205834192211571E-2</v>
      </c>
      <c r="B259" t="s">
        <v>49</v>
      </c>
      <c r="C259" s="21" t="str">
        <f t="shared" si="7"/>
        <v>A</v>
      </c>
      <c r="D259">
        <v>137</v>
      </c>
      <c r="E259">
        <v>132.17680071566701</v>
      </c>
      <c r="F259"/>
    </row>
    <row r="260" spans="1:6" x14ac:dyDescent="0.25">
      <c r="A260" s="21">
        <f t="shared" si="6"/>
        <v>8.1055727672521005E-2</v>
      </c>
      <c r="B260" t="s">
        <v>49</v>
      </c>
      <c r="C260" s="21" t="str">
        <f t="shared" si="7"/>
        <v>A</v>
      </c>
      <c r="D260">
        <v>119</v>
      </c>
      <c r="E260">
        <v>128.64563159303</v>
      </c>
      <c r="F260"/>
    </row>
    <row r="261" spans="1:6" x14ac:dyDescent="0.25">
      <c r="A261" s="21">
        <f t="shared" si="6"/>
        <v>3.7357137564030252E-2</v>
      </c>
      <c r="B261" t="s">
        <v>49</v>
      </c>
      <c r="C261" s="21" t="str">
        <f t="shared" si="7"/>
        <v>A</v>
      </c>
      <c r="D261">
        <v>99</v>
      </c>
      <c r="E261">
        <v>102.698356618839</v>
      </c>
      <c r="F261"/>
    </row>
    <row r="262" spans="1:6" x14ac:dyDescent="0.25">
      <c r="A262" s="21">
        <f t="shared" si="6"/>
        <v>0.63646243710948447</v>
      </c>
      <c r="B262" t="s">
        <v>74</v>
      </c>
      <c r="C262" s="21" t="str">
        <f t="shared" si="7"/>
        <v>B</v>
      </c>
      <c r="D262">
        <v>97</v>
      </c>
      <c r="E262">
        <v>158.73685639962</v>
      </c>
    </row>
    <row r="263" spans="1:6" x14ac:dyDescent="0.25">
      <c r="A263" s="21">
        <f t="shared" si="6"/>
        <v>0.31432487242689944</v>
      </c>
      <c r="B263" t="s">
        <v>74</v>
      </c>
      <c r="C263" s="21" t="str">
        <f t="shared" si="7"/>
        <v>B</v>
      </c>
      <c r="D263">
        <v>169</v>
      </c>
      <c r="E263">
        <v>222.12090344014601</v>
      </c>
      <c r="F263"/>
    </row>
    <row r="264" spans="1:6" x14ac:dyDescent="0.25">
      <c r="A264" s="21">
        <f t="shared" si="6"/>
        <v>0.22280538782263171</v>
      </c>
      <c r="B264" t="s">
        <v>74</v>
      </c>
      <c r="C264" s="21" t="str">
        <f t="shared" si="7"/>
        <v>B</v>
      </c>
      <c r="D264">
        <v>114</v>
      </c>
      <c r="E264">
        <v>139.39981421178001</v>
      </c>
    </row>
    <row r="265" spans="1:6" x14ac:dyDescent="0.25">
      <c r="A265" s="21">
        <f t="shared" si="6"/>
        <v>0.21210325148313869</v>
      </c>
      <c r="B265" t="s">
        <v>74</v>
      </c>
      <c r="C265" s="21" t="str">
        <f t="shared" si="7"/>
        <v>B</v>
      </c>
      <c r="D265">
        <v>137</v>
      </c>
      <c r="E265">
        <v>166.05814545319001</v>
      </c>
    </row>
    <row r="266" spans="1:6" x14ac:dyDescent="0.25">
      <c r="A266" s="21">
        <f t="shared" si="6"/>
        <v>0.17512776164406718</v>
      </c>
      <c r="B266" t="s">
        <v>74</v>
      </c>
      <c r="C266" s="21" t="str">
        <f t="shared" si="7"/>
        <v>A</v>
      </c>
      <c r="D266">
        <v>119</v>
      </c>
      <c r="E266">
        <v>139.840203635644</v>
      </c>
    </row>
    <row r="267" spans="1:6" x14ac:dyDescent="0.25">
      <c r="A267" s="21">
        <f t="shared" si="6"/>
        <v>0.21189285986526163</v>
      </c>
      <c r="B267" t="s">
        <v>74</v>
      </c>
      <c r="C267" s="21" t="str">
        <f t="shared" si="7"/>
        <v>B</v>
      </c>
      <c r="D267">
        <v>107</v>
      </c>
      <c r="E267">
        <v>129.672536005583</v>
      </c>
    </row>
    <row r="268" spans="1:6" x14ac:dyDescent="0.25">
      <c r="A268" s="21">
        <f t="shared" si="6"/>
        <v>9.0748969383106504E-2</v>
      </c>
      <c r="B268" t="s">
        <v>74</v>
      </c>
      <c r="C268" s="21" t="str">
        <f t="shared" si="7"/>
        <v>A</v>
      </c>
      <c r="D268">
        <v>94</v>
      </c>
      <c r="E268">
        <v>102.530403122012</v>
      </c>
    </row>
    <row r="269" spans="1:6" x14ac:dyDescent="0.25">
      <c r="A269" s="21">
        <f t="shared" si="6"/>
        <v>0.5606089574748685</v>
      </c>
      <c r="B269" t="s">
        <v>74</v>
      </c>
      <c r="C269" s="21" t="str">
        <f t="shared" si="7"/>
        <v>B</v>
      </c>
      <c r="D269">
        <v>114</v>
      </c>
      <c r="E269">
        <v>177.909421152135</v>
      </c>
    </row>
    <row r="270" spans="1:6" x14ac:dyDescent="0.25">
      <c r="A270" s="21">
        <f t="shared" si="6"/>
        <v>0.29762698424741862</v>
      </c>
      <c r="B270" t="s">
        <v>74</v>
      </c>
      <c r="C270" s="21" t="str">
        <f t="shared" si="7"/>
        <v>B</v>
      </c>
      <c r="D270">
        <v>117</v>
      </c>
      <c r="E270">
        <v>151.82235715694799</v>
      </c>
    </row>
    <row r="271" spans="1:6" x14ac:dyDescent="0.25">
      <c r="A271" s="21">
        <f t="shared" si="6"/>
        <v>0.19173332937170895</v>
      </c>
      <c r="B271" t="s">
        <v>74</v>
      </c>
      <c r="C271" s="21" t="str">
        <f t="shared" si="7"/>
        <v>A</v>
      </c>
      <c r="D271">
        <v>110</v>
      </c>
      <c r="E271">
        <v>131.09066623088799</v>
      </c>
    </row>
    <row r="272" spans="1:6" x14ac:dyDescent="0.25">
      <c r="A272" s="21">
        <f t="shared" si="6"/>
        <v>0.55653006351215373</v>
      </c>
      <c r="B272" t="s">
        <v>75</v>
      </c>
      <c r="C272" s="21" t="str">
        <f t="shared" si="7"/>
        <v>B</v>
      </c>
      <c r="D272">
        <v>78</v>
      </c>
      <c r="E272">
        <v>121.40934495394799</v>
      </c>
    </row>
    <row r="273" spans="1:5" x14ac:dyDescent="0.25">
      <c r="A273" s="21">
        <f t="shared" si="6"/>
        <v>0.19864235799724783</v>
      </c>
      <c r="B273" t="s">
        <v>75</v>
      </c>
      <c r="C273" s="21" t="str">
        <f t="shared" si="7"/>
        <v>A</v>
      </c>
      <c r="D273">
        <v>125</v>
      </c>
      <c r="E273">
        <v>149.83029474965599</v>
      </c>
    </row>
    <row r="274" spans="1:5" x14ac:dyDescent="0.25">
      <c r="A274" s="21">
        <f t="shared" si="6"/>
        <v>2.6648483905020948E-2</v>
      </c>
      <c r="B274" t="s">
        <v>75</v>
      </c>
      <c r="C274" s="21" t="str">
        <f t="shared" si="7"/>
        <v>A</v>
      </c>
      <c r="D274">
        <v>143</v>
      </c>
      <c r="E274">
        <v>146.81073319841801</v>
      </c>
    </row>
    <row r="275" spans="1:5" x14ac:dyDescent="0.25">
      <c r="A275" s="21">
        <f t="shared" si="6"/>
        <v>4.9867807660622931E-2</v>
      </c>
      <c r="B275" t="s">
        <v>75</v>
      </c>
      <c r="C275" s="21" t="str">
        <f t="shared" si="7"/>
        <v>A</v>
      </c>
      <c r="D275">
        <v>122</v>
      </c>
      <c r="E275">
        <v>128.083872534596</v>
      </c>
    </row>
    <row r="276" spans="1:5" x14ac:dyDescent="0.25">
      <c r="A276" s="21">
        <f t="shared" si="6"/>
        <v>0.23921279883139834</v>
      </c>
      <c r="B276" t="s">
        <v>75</v>
      </c>
      <c r="C276" s="21" t="str">
        <f t="shared" si="7"/>
        <v>B</v>
      </c>
      <c r="D276">
        <v>108</v>
      </c>
      <c r="E276">
        <v>133.83498227379101</v>
      </c>
    </row>
    <row r="277" spans="1:5" x14ac:dyDescent="0.25">
      <c r="A277" s="21">
        <f t="shared" si="6"/>
        <v>0.46000022331927792</v>
      </c>
      <c r="B277" t="s">
        <v>75</v>
      </c>
      <c r="C277" s="21" t="str">
        <f t="shared" si="7"/>
        <v>B</v>
      </c>
      <c r="D277">
        <v>90</v>
      </c>
      <c r="E277">
        <v>131.40002009873501</v>
      </c>
    </row>
    <row r="278" spans="1:5" x14ac:dyDescent="0.25">
      <c r="A278" s="21">
        <f t="shared" si="6"/>
        <v>0.17590883209835773</v>
      </c>
      <c r="B278" t="s">
        <v>76</v>
      </c>
      <c r="C278" s="21" t="str">
        <f t="shared" si="7"/>
        <v>A</v>
      </c>
      <c r="D278">
        <v>109</v>
      </c>
      <c r="E278">
        <v>128.174062698721</v>
      </c>
    </row>
    <row r="279" spans="1:5" x14ac:dyDescent="0.25">
      <c r="A279" s="21">
        <f t="shared" si="6"/>
        <v>-0.13460226881273152</v>
      </c>
      <c r="B279" t="s">
        <v>76</v>
      </c>
      <c r="C279" s="21" t="str">
        <f t="shared" si="7"/>
        <v>A</v>
      </c>
      <c r="D279">
        <v>149</v>
      </c>
      <c r="E279">
        <v>128.944261946903</v>
      </c>
    </row>
    <row r="280" spans="1:5" x14ac:dyDescent="0.25">
      <c r="A280" s="21">
        <f t="shared" si="6"/>
        <v>-0.15957854956681694</v>
      </c>
      <c r="B280" t="s">
        <v>76</v>
      </c>
      <c r="C280" s="21" t="str">
        <f t="shared" si="7"/>
        <v>A</v>
      </c>
      <c r="D280">
        <v>153</v>
      </c>
      <c r="E280">
        <v>128.58448191627701</v>
      </c>
    </row>
    <row r="281" spans="1:5" x14ac:dyDescent="0.25">
      <c r="A281" s="21">
        <f t="shared" si="6"/>
        <v>0.46642036095924144</v>
      </c>
      <c r="B281" t="s">
        <v>76</v>
      </c>
      <c r="C281" s="21" t="str">
        <f t="shared" si="7"/>
        <v>B</v>
      </c>
      <c r="D281">
        <v>87</v>
      </c>
      <c r="E281">
        <v>127.57857140345401</v>
      </c>
    </row>
    <row r="282" spans="1:5" x14ac:dyDescent="0.25">
      <c r="A282" s="21">
        <f t="shared" si="6"/>
        <v>0.17341422483990421</v>
      </c>
      <c r="B282" t="s">
        <v>76</v>
      </c>
      <c r="C282" s="21" t="str">
        <f t="shared" si="7"/>
        <v>A</v>
      </c>
      <c r="D282">
        <v>115</v>
      </c>
      <c r="E282">
        <v>134.94263585658899</v>
      </c>
    </row>
    <row r="283" spans="1:5" x14ac:dyDescent="0.25">
      <c r="A283" s="21">
        <f t="shared" si="6"/>
        <v>0.36543206764730352</v>
      </c>
      <c r="B283" t="s">
        <v>76</v>
      </c>
      <c r="C283" s="21" t="str">
        <f t="shared" si="7"/>
        <v>B</v>
      </c>
      <c r="D283">
        <v>112</v>
      </c>
      <c r="E283">
        <v>152.928391576498</v>
      </c>
    </row>
    <row r="284" spans="1:5" x14ac:dyDescent="0.25">
      <c r="A284" s="21">
        <f t="shared" si="6"/>
        <v>0.20711575591711506</v>
      </c>
      <c r="B284" t="s">
        <v>76</v>
      </c>
      <c r="C284" s="21" t="str">
        <f t="shared" si="7"/>
        <v>B</v>
      </c>
      <c r="D284">
        <v>113</v>
      </c>
      <c r="E284">
        <v>136.40408041863401</v>
      </c>
    </row>
    <row r="285" spans="1:5" x14ac:dyDescent="0.25">
      <c r="A285" s="21">
        <f t="shared" si="6"/>
        <v>7.7547206501417998E-2</v>
      </c>
      <c r="B285" t="s">
        <v>76</v>
      </c>
      <c r="C285" s="21" t="str">
        <f t="shared" si="7"/>
        <v>A</v>
      </c>
      <c r="D285">
        <v>122</v>
      </c>
      <c r="E285">
        <v>131.460759193173</v>
      </c>
    </row>
    <row r="286" spans="1:5" x14ac:dyDescent="0.25">
      <c r="A286" s="21">
        <f t="shared" si="6"/>
        <v>0.17838961441572398</v>
      </c>
      <c r="B286" t="s">
        <v>76</v>
      </c>
      <c r="C286" s="21" t="str">
        <f t="shared" si="7"/>
        <v>A</v>
      </c>
      <c r="D286">
        <v>116</v>
      </c>
      <c r="E286">
        <v>136.69319527222399</v>
      </c>
    </row>
    <row r="287" spans="1:5" x14ac:dyDescent="0.25">
      <c r="A287" s="21">
        <f t="shared" si="6"/>
        <v>0.19820898012740362</v>
      </c>
      <c r="B287" t="s">
        <v>76</v>
      </c>
      <c r="C287" s="21" t="str">
        <f t="shared" si="7"/>
        <v>A</v>
      </c>
      <c r="D287">
        <v>109</v>
      </c>
      <c r="E287">
        <v>130.604778833887</v>
      </c>
    </row>
    <row r="288" spans="1:5" x14ac:dyDescent="0.25">
      <c r="A288" s="21">
        <f t="shared" si="6"/>
        <v>0.14789072724454022</v>
      </c>
      <c r="B288" t="s">
        <v>77</v>
      </c>
      <c r="C288" s="21" t="str">
        <f t="shared" si="7"/>
        <v>A</v>
      </c>
      <c r="D288">
        <v>124</v>
      </c>
      <c r="E288">
        <v>142.338450178323</v>
      </c>
    </row>
    <row r="289" spans="1:6" x14ac:dyDescent="0.25">
      <c r="A289" s="21">
        <f t="shared" si="6"/>
        <v>0.4139721640316345</v>
      </c>
      <c r="B289" t="s">
        <v>77</v>
      </c>
      <c r="C289" s="21" t="str">
        <f t="shared" si="7"/>
        <v>B</v>
      </c>
      <c r="D289">
        <v>93</v>
      </c>
      <c r="E289">
        <v>131.499411254942</v>
      </c>
    </row>
    <row r="290" spans="1:6" x14ac:dyDescent="0.25">
      <c r="A290" s="21">
        <f t="shared" si="6"/>
        <v>-1</v>
      </c>
      <c r="B290" t="s">
        <v>77</v>
      </c>
      <c r="C290" s="21" t="s">
        <v>69</v>
      </c>
      <c r="D290">
        <v>72</v>
      </c>
      <c r="E290"/>
      <c r="F290">
        <v>118.510166147872</v>
      </c>
    </row>
    <row r="291" spans="1:6" x14ac:dyDescent="0.25">
      <c r="A291" s="21">
        <f t="shared" si="6"/>
        <v>0.26021851890517289</v>
      </c>
      <c r="B291" t="s">
        <v>77</v>
      </c>
      <c r="C291" s="21" t="str">
        <f t="shared" si="7"/>
        <v>B</v>
      </c>
      <c r="D291">
        <v>81</v>
      </c>
      <c r="E291">
        <v>102.077700031319</v>
      </c>
    </row>
    <row r="292" spans="1:6" x14ac:dyDescent="0.25">
      <c r="A292" s="21">
        <f t="shared" si="6"/>
        <v>0.20839063216902409</v>
      </c>
      <c r="B292" t="s">
        <v>77</v>
      </c>
      <c r="C292" s="21" t="str">
        <f t="shared" si="7"/>
        <v>B</v>
      </c>
      <c r="D292">
        <v>124</v>
      </c>
      <c r="E292">
        <v>149.840438388959</v>
      </c>
    </row>
    <row r="293" spans="1:6" x14ac:dyDescent="0.25">
      <c r="A293" s="21">
        <f t="shared" si="6"/>
        <v>0.23878598707179988</v>
      </c>
      <c r="B293" t="s">
        <v>77</v>
      </c>
      <c r="C293" s="21" t="str">
        <f t="shared" si="7"/>
        <v>B</v>
      </c>
      <c r="D293">
        <v>115</v>
      </c>
      <c r="E293">
        <v>142.46038851325699</v>
      </c>
    </row>
    <row r="294" spans="1:6" x14ac:dyDescent="0.25">
      <c r="A294" s="21">
        <f t="shared" si="6"/>
        <v>0.30460673906373148</v>
      </c>
      <c r="B294" t="s">
        <v>77</v>
      </c>
      <c r="C294" s="21" t="str">
        <f t="shared" si="7"/>
        <v>B</v>
      </c>
      <c r="D294">
        <v>108</v>
      </c>
      <c r="E294">
        <v>140.89752781888299</v>
      </c>
    </row>
  </sheetData>
  <phoneticPr fontId="1" type="noConversion"/>
  <conditionalFormatting sqref="A38:A29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255"/>
  <sheetViews>
    <sheetView topLeftCell="A37" zoomScale="70" zoomScaleNormal="70" workbookViewId="0">
      <selection activeCell="E38" sqref="E38"/>
    </sheetView>
  </sheetViews>
  <sheetFormatPr defaultRowHeight="16.5" x14ac:dyDescent="0.25"/>
  <cols>
    <col min="1" max="3" width="9" style="1"/>
    <col min="4" max="7" width="12.125" style="1" customWidth="1"/>
    <col min="8" max="8" width="13.125" style="1" customWidth="1"/>
    <col min="9" max="9" width="14.125" style="1" customWidth="1"/>
    <col min="10" max="11" width="13.25" style="1" customWidth="1"/>
    <col min="12" max="12" width="12.375" style="1" customWidth="1"/>
    <col min="13" max="13" width="12.125" style="1" customWidth="1"/>
    <col min="14" max="14" width="11.5" style="1" customWidth="1"/>
    <col min="15" max="16384" width="9" style="1"/>
  </cols>
  <sheetData>
    <row r="1" spans="3:23" x14ac:dyDescent="0.25">
      <c r="C1" s="1" t="s">
        <v>19</v>
      </c>
      <c r="G1" s="1" t="s">
        <v>20</v>
      </c>
    </row>
    <row r="2" spans="3:23" x14ac:dyDescent="0.25"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1</v>
      </c>
      <c r="M2" s="1" t="s">
        <v>30</v>
      </c>
      <c r="N2" s="1" t="s">
        <v>2</v>
      </c>
      <c r="O2" s="1" t="s">
        <v>0</v>
      </c>
    </row>
    <row r="3" spans="3:23" x14ac:dyDescent="0.25">
      <c r="C3" s="1">
        <f>P3/18</f>
        <v>0</v>
      </c>
      <c r="D3" s="1">
        <f>Q3/18</f>
        <v>0</v>
      </c>
      <c r="G3" s="1">
        <f>T3/18</f>
        <v>2.7777777777777777</v>
      </c>
      <c r="P3" s="1">
        <v>0</v>
      </c>
      <c r="Q3" s="1">
        <v>0</v>
      </c>
      <c r="T3" s="1">
        <v>50</v>
      </c>
    </row>
    <row r="4" spans="3:23" x14ac:dyDescent="0.25">
      <c r="C4" s="1">
        <f t="shared" ref="C4:D34" si="0">P4/18</f>
        <v>1.6666666666666667</v>
      </c>
      <c r="D4" s="1">
        <f t="shared" si="0"/>
        <v>1.6666666666666667</v>
      </c>
      <c r="G4" s="1">
        <f t="shared" ref="G4:G7" si="1">T4/18</f>
        <v>2.7777777777777777</v>
      </c>
      <c r="P4" s="1">
        <v>30</v>
      </c>
      <c r="Q4" s="1">
        <v>30</v>
      </c>
      <c r="T4" s="1">
        <v>50</v>
      </c>
    </row>
    <row r="5" spans="3:23" x14ac:dyDescent="0.25">
      <c r="C5" s="1">
        <f t="shared" si="0"/>
        <v>7.7777777777777777</v>
      </c>
      <c r="D5" s="1">
        <f t="shared" si="0"/>
        <v>7.7777777777777777</v>
      </c>
      <c r="G5" s="1">
        <f t="shared" si="1"/>
        <v>9.4444444444444446</v>
      </c>
      <c r="P5" s="1">
        <v>140</v>
      </c>
      <c r="Q5" s="1">
        <v>140</v>
      </c>
      <c r="T5" s="1">
        <v>170</v>
      </c>
    </row>
    <row r="6" spans="3:23" x14ac:dyDescent="0.25">
      <c r="C6" s="1">
        <f t="shared" si="0"/>
        <v>15.555555555555555</v>
      </c>
      <c r="D6" s="1">
        <f t="shared" si="0"/>
        <v>15.555555555555555</v>
      </c>
      <c r="G6" s="1">
        <f t="shared" si="1"/>
        <v>21.111111111111111</v>
      </c>
      <c r="P6" s="1">
        <v>280</v>
      </c>
      <c r="Q6" s="1">
        <v>280</v>
      </c>
      <c r="T6" s="1">
        <v>380</v>
      </c>
    </row>
    <row r="7" spans="3:23" x14ac:dyDescent="0.25">
      <c r="C7" s="1">
        <f t="shared" si="0"/>
        <v>106.66666666666667</v>
      </c>
      <c r="D7" s="1">
        <f t="shared" si="0"/>
        <v>23.888888888888889</v>
      </c>
      <c r="G7" s="1">
        <f t="shared" si="1"/>
        <v>122.22222222222223</v>
      </c>
      <c r="P7" s="1">
        <v>1920</v>
      </c>
      <c r="Q7" s="1">
        <v>430</v>
      </c>
      <c r="T7" s="1">
        <v>2200</v>
      </c>
    </row>
    <row r="8" spans="3:23" x14ac:dyDescent="0.25">
      <c r="C8" s="1">
        <f t="shared" si="0"/>
        <v>6.666666666666667</v>
      </c>
      <c r="D8" s="1">
        <f t="shared" si="0"/>
        <v>6.666666666666667</v>
      </c>
      <c r="J8" s="1">
        <f>W8/18</f>
        <v>0</v>
      </c>
      <c r="P8" s="1">
        <v>120</v>
      </c>
      <c r="Q8" s="1">
        <v>120</v>
      </c>
      <c r="W8" s="1">
        <v>0</v>
      </c>
    </row>
    <row r="9" spans="3:23" x14ac:dyDescent="0.25">
      <c r="C9" s="1">
        <f t="shared" si="0"/>
        <v>6.666666666666667</v>
      </c>
      <c r="D9" s="1">
        <f t="shared" si="0"/>
        <v>6.666666666666667</v>
      </c>
      <c r="J9" s="1">
        <f t="shared" ref="J9:J11" si="2">W9/18</f>
        <v>1.6666666666666667</v>
      </c>
      <c r="P9" s="1">
        <v>120</v>
      </c>
      <c r="Q9" s="1">
        <v>120</v>
      </c>
      <c r="W9" s="1">
        <v>30</v>
      </c>
    </row>
    <row r="10" spans="3:23" x14ac:dyDescent="0.25">
      <c r="C10" s="1">
        <f t="shared" si="0"/>
        <v>14.444444444444445</v>
      </c>
      <c r="D10" s="1">
        <f t="shared" si="0"/>
        <v>14.444444444444445</v>
      </c>
      <c r="J10" s="1">
        <f t="shared" si="2"/>
        <v>7.2222222222222223</v>
      </c>
      <c r="P10" s="1">
        <v>260</v>
      </c>
      <c r="Q10" s="1">
        <v>260</v>
      </c>
      <c r="W10" s="1">
        <v>130</v>
      </c>
    </row>
    <row r="11" spans="3:23" x14ac:dyDescent="0.25">
      <c r="C11" s="1">
        <f t="shared" si="0"/>
        <v>61.111111111111114</v>
      </c>
      <c r="D11" s="1">
        <f t="shared" si="0"/>
        <v>30.555555555555557</v>
      </c>
      <c r="J11" s="1">
        <f t="shared" si="2"/>
        <v>27.777777777777779</v>
      </c>
      <c r="P11" s="1">
        <v>1100</v>
      </c>
      <c r="Q11" s="1">
        <v>550</v>
      </c>
      <c r="W11" s="1">
        <v>500</v>
      </c>
    </row>
    <row r="12" spans="3:23" x14ac:dyDescent="0.25">
      <c r="C12" s="1">
        <f t="shared" si="0"/>
        <v>2.7777777777777777</v>
      </c>
      <c r="H12" s="1">
        <f>U12/18</f>
        <v>0</v>
      </c>
      <c r="P12" s="1">
        <v>50</v>
      </c>
      <c r="U12" s="1">
        <v>0</v>
      </c>
    </row>
    <row r="13" spans="3:23" x14ac:dyDescent="0.25">
      <c r="C13" s="1">
        <f t="shared" si="0"/>
        <v>2.7777777777777777</v>
      </c>
      <c r="H13" s="1">
        <f t="shared" ref="H13:H16" si="3">U13/18</f>
        <v>1.6666666666666667</v>
      </c>
      <c r="P13" s="1">
        <v>50</v>
      </c>
      <c r="U13" s="1">
        <v>30</v>
      </c>
    </row>
    <row r="14" spans="3:23" x14ac:dyDescent="0.25">
      <c r="C14" s="1">
        <f t="shared" si="0"/>
        <v>9.4444444444444446</v>
      </c>
      <c r="H14" s="1">
        <f t="shared" si="3"/>
        <v>8.0555555555555554</v>
      </c>
      <c r="P14" s="1">
        <v>170</v>
      </c>
      <c r="U14" s="1">
        <v>145</v>
      </c>
    </row>
    <row r="15" spans="3:23" x14ac:dyDescent="0.25">
      <c r="C15" s="1">
        <f t="shared" si="0"/>
        <v>21.388888888888889</v>
      </c>
      <c r="H15" s="1">
        <f t="shared" si="3"/>
        <v>16.666666666666668</v>
      </c>
      <c r="P15" s="1">
        <v>385</v>
      </c>
      <c r="U15" s="1">
        <v>300</v>
      </c>
    </row>
    <row r="16" spans="3:23" x14ac:dyDescent="0.25">
      <c r="C16" s="1">
        <f t="shared" si="0"/>
        <v>61.111111111111114</v>
      </c>
      <c r="H16" s="1">
        <f t="shared" si="3"/>
        <v>50</v>
      </c>
      <c r="P16" s="1">
        <v>1100</v>
      </c>
      <c r="U16" s="1">
        <v>900</v>
      </c>
    </row>
    <row r="17" spans="3:26" x14ac:dyDescent="0.25">
      <c r="C17" s="1">
        <f t="shared" si="0"/>
        <v>0</v>
      </c>
      <c r="I17" s="1">
        <f>V17/18</f>
        <v>3.3333333333333335</v>
      </c>
      <c r="P17" s="1">
        <v>0</v>
      </c>
      <c r="V17" s="1">
        <v>60</v>
      </c>
    </row>
    <row r="18" spans="3:26" x14ac:dyDescent="0.25">
      <c r="C18" s="1">
        <f t="shared" si="0"/>
        <v>1.6666666666666667</v>
      </c>
      <c r="I18" s="1">
        <f t="shared" ref="I18:I21" si="4">V18/18</f>
        <v>3.3333333333333335</v>
      </c>
      <c r="P18" s="1">
        <v>30</v>
      </c>
      <c r="V18" s="1">
        <v>60</v>
      </c>
    </row>
    <row r="19" spans="3:26" x14ac:dyDescent="0.25">
      <c r="C19" s="1">
        <f t="shared" si="0"/>
        <v>2.7777777777777777</v>
      </c>
      <c r="I19" s="1">
        <f t="shared" si="4"/>
        <v>4.4444444444444446</v>
      </c>
      <c r="P19" s="1">
        <v>50</v>
      </c>
      <c r="V19" s="1">
        <v>80</v>
      </c>
    </row>
    <row r="20" spans="3:26" x14ac:dyDescent="0.25">
      <c r="C20" s="1">
        <f t="shared" si="0"/>
        <v>3.8888888888888888</v>
      </c>
      <c r="I20" s="1">
        <f t="shared" si="4"/>
        <v>6.1111111111111107</v>
      </c>
      <c r="P20" s="1">
        <v>70</v>
      </c>
      <c r="V20" s="1">
        <v>110</v>
      </c>
    </row>
    <row r="21" spans="3:26" x14ac:dyDescent="0.25">
      <c r="C21" s="1">
        <f t="shared" si="0"/>
        <v>57.777777777777779</v>
      </c>
      <c r="I21" s="1">
        <f t="shared" si="4"/>
        <v>122.22222222222223</v>
      </c>
      <c r="P21" s="1">
        <v>1040</v>
      </c>
      <c r="V21" s="1">
        <v>2200</v>
      </c>
    </row>
    <row r="22" spans="3:26" x14ac:dyDescent="0.25">
      <c r="C22" s="1">
        <f t="shared" si="0"/>
        <v>13.888888888888889</v>
      </c>
      <c r="L22" s="1">
        <f>Y22/18</f>
        <v>0</v>
      </c>
      <c r="P22" s="1">
        <v>250</v>
      </c>
      <c r="Y22" s="1">
        <v>0</v>
      </c>
    </row>
    <row r="23" spans="3:26" x14ac:dyDescent="0.25">
      <c r="C23" s="1">
        <f t="shared" si="0"/>
        <v>13.888888888888889</v>
      </c>
      <c r="L23" s="1">
        <f t="shared" ref="L23:L24" si="5">Y23/18</f>
        <v>2.2222222222222223</v>
      </c>
      <c r="P23" s="1">
        <v>250</v>
      </c>
      <c r="Y23" s="1">
        <v>40</v>
      </c>
    </row>
    <row r="24" spans="3:26" x14ac:dyDescent="0.25">
      <c r="C24" s="1">
        <f t="shared" si="0"/>
        <v>61.111111111111114</v>
      </c>
      <c r="L24" s="1">
        <f t="shared" si="5"/>
        <v>16.666666666666668</v>
      </c>
      <c r="P24" s="1">
        <v>1100</v>
      </c>
      <c r="Y24" s="1">
        <v>300</v>
      </c>
    </row>
    <row r="25" spans="3:26" x14ac:dyDescent="0.25">
      <c r="C25" s="1">
        <f t="shared" si="0"/>
        <v>0</v>
      </c>
      <c r="K25" s="1">
        <f>X25/18</f>
        <v>5.5555555555555554</v>
      </c>
      <c r="P25" s="1">
        <v>0</v>
      </c>
      <c r="X25" s="1">
        <v>100</v>
      </c>
    </row>
    <row r="26" spans="3:26" x14ac:dyDescent="0.25">
      <c r="C26" s="1">
        <f t="shared" si="0"/>
        <v>1.3888888888888888</v>
      </c>
      <c r="K26" s="1">
        <f t="shared" ref="K26:K29" si="6">X26/18</f>
        <v>5.5555555555555554</v>
      </c>
      <c r="P26" s="1">
        <v>25</v>
      </c>
      <c r="X26" s="1">
        <v>100</v>
      </c>
    </row>
    <row r="27" spans="3:26" x14ac:dyDescent="0.25">
      <c r="C27" s="1">
        <f t="shared" si="0"/>
        <v>2.7777777777777777</v>
      </c>
      <c r="K27" s="1">
        <f t="shared" si="6"/>
        <v>6.9444444444444446</v>
      </c>
      <c r="P27" s="1">
        <v>50</v>
      </c>
      <c r="X27" s="1">
        <v>125</v>
      </c>
    </row>
    <row r="28" spans="3:26" x14ac:dyDescent="0.25">
      <c r="C28" s="1">
        <f t="shared" si="0"/>
        <v>4.4444444444444446</v>
      </c>
      <c r="K28" s="1">
        <f t="shared" si="6"/>
        <v>11.944444444444445</v>
      </c>
      <c r="P28" s="1">
        <v>80</v>
      </c>
      <c r="X28" s="1">
        <v>215</v>
      </c>
    </row>
    <row r="29" spans="3:26" x14ac:dyDescent="0.25">
      <c r="C29" s="1">
        <f t="shared" si="0"/>
        <v>27.777777777777779</v>
      </c>
      <c r="K29" s="1">
        <f t="shared" si="6"/>
        <v>122.22222222222223</v>
      </c>
      <c r="P29" s="1">
        <v>500</v>
      </c>
      <c r="X29" s="1">
        <v>2200</v>
      </c>
    </row>
    <row r="30" spans="3:26" x14ac:dyDescent="0.25">
      <c r="C30" s="1">
        <f t="shared" si="0"/>
        <v>0</v>
      </c>
      <c r="M30" s="1">
        <f>Z30/18</f>
        <v>8.3333333333333339</v>
      </c>
      <c r="P30" s="1">
        <v>0</v>
      </c>
      <c r="Z30" s="1">
        <v>150</v>
      </c>
    </row>
    <row r="31" spans="3:26" x14ac:dyDescent="0.25">
      <c r="C31" s="1">
        <f t="shared" si="0"/>
        <v>1.9444444444444444</v>
      </c>
      <c r="M31" s="1">
        <f t="shared" ref="M31:M32" si="7">Z31/18</f>
        <v>8.6111111111111107</v>
      </c>
      <c r="P31" s="1">
        <v>35</v>
      </c>
      <c r="Z31" s="1">
        <v>155</v>
      </c>
    </row>
    <row r="32" spans="3:26" x14ac:dyDescent="0.25">
      <c r="C32" s="1">
        <f t="shared" si="0"/>
        <v>11.111111111111111</v>
      </c>
      <c r="M32" s="1">
        <f t="shared" si="7"/>
        <v>122.22222222222223</v>
      </c>
      <c r="P32" s="1">
        <v>200</v>
      </c>
      <c r="Z32" s="1">
        <v>2200</v>
      </c>
    </row>
    <row r="33" spans="3:27" x14ac:dyDescent="0.25">
      <c r="C33" s="1">
        <f t="shared" si="0"/>
        <v>0</v>
      </c>
      <c r="N33" s="1">
        <f>AA33/18</f>
        <v>0</v>
      </c>
      <c r="P33" s="1">
        <v>0</v>
      </c>
      <c r="AA33" s="1">
        <v>0</v>
      </c>
    </row>
    <row r="34" spans="3:27" x14ac:dyDescent="0.25">
      <c r="C34" s="1">
        <f t="shared" si="0"/>
        <v>122.22222222222223</v>
      </c>
      <c r="N34" s="1">
        <f>AA34/18</f>
        <v>122.22222222222223</v>
      </c>
      <c r="P34" s="1">
        <v>2200</v>
      </c>
      <c r="AA34" s="1">
        <v>2200</v>
      </c>
    </row>
    <row r="37" spans="3:27" ht="17.25" x14ac:dyDescent="0.25">
      <c r="C37" s="2" t="s">
        <v>3</v>
      </c>
      <c r="D37" s="2" t="s">
        <v>32</v>
      </c>
      <c r="E37" s="2" t="s">
        <v>33</v>
      </c>
    </row>
    <row r="38" spans="3:27" ht="17.25" x14ac:dyDescent="0.25">
      <c r="C38" s="12">
        <v>2.165</v>
      </c>
      <c r="D38" s="14">
        <v>2.2000000000000002</v>
      </c>
      <c r="E38" s="14"/>
    </row>
    <row r="39" spans="3:27" ht="17.25" x14ac:dyDescent="0.25">
      <c r="C39" s="12">
        <v>2.165</v>
      </c>
      <c r="D39" s="14">
        <v>2.1</v>
      </c>
      <c r="E39" s="14"/>
    </row>
    <row r="40" spans="3:27" ht="17.25" x14ac:dyDescent="0.25">
      <c r="C40" s="12">
        <v>2.165</v>
      </c>
      <c r="D40" s="14">
        <v>2.1</v>
      </c>
      <c r="E40" s="14"/>
    </row>
    <row r="41" spans="3:27" ht="17.25" x14ac:dyDescent="0.25">
      <c r="C41" s="12">
        <v>2.165</v>
      </c>
      <c r="D41" s="14">
        <v>2.2999999999999998</v>
      </c>
      <c r="E41" s="14"/>
    </row>
    <row r="42" spans="3:27" ht="17.25" x14ac:dyDescent="0.25">
      <c r="C42" s="12">
        <v>2.165</v>
      </c>
      <c r="D42" s="14">
        <v>2.1</v>
      </c>
      <c r="E42" s="14"/>
    </row>
    <row r="43" spans="3:27" ht="17.25" x14ac:dyDescent="0.25">
      <c r="C43" s="12">
        <v>2.165</v>
      </c>
      <c r="D43" s="14">
        <v>2.2000000000000002</v>
      </c>
      <c r="E43" s="14"/>
    </row>
    <row r="44" spans="3:27" ht="17.25" x14ac:dyDescent="0.25">
      <c r="C44" s="12">
        <v>2.165</v>
      </c>
      <c r="D44" s="14">
        <v>2.2999999999999998</v>
      </c>
      <c r="E44" s="14"/>
    </row>
    <row r="45" spans="3:27" ht="17.25" x14ac:dyDescent="0.25">
      <c r="C45" s="12">
        <v>2.165</v>
      </c>
      <c r="D45" s="14">
        <v>2.2000000000000002</v>
      </c>
      <c r="E45" s="14"/>
    </row>
    <row r="46" spans="3:27" ht="17.25" x14ac:dyDescent="0.25">
      <c r="C46" s="12">
        <v>2.165</v>
      </c>
      <c r="D46" s="14">
        <v>2.2000000000000002</v>
      </c>
      <c r="E46" s="14"/>
    </row>
    <row r="47" spans="3:27" ht="17.25" x14ac:dyDescent="0.25">
      <c r="C47" s="12">
        <v>2.165</v>
      </c>
      <c r="D47" s="14">
        <v>2.2000000000000002</v>
      </c>
      <c r="E47" s="14"/>
    </row>
    <row r="48" spans="3:27" ht="17.25" x14ac:dyDescent="0.25">
      <c r="C48" s="12">
        <v>2.165</v>
      </c>
      <c r="D48" s="14">
        <v>2.1</v>
      </c>
      <c r="E48" s="14"/>
    </row>
    <row r="49" spans="2:5" ht="17.25" x14ac:dyDescent="0.25">
      <c r="C49" s="12">
        <v>2.165</v>
      </c>
      <c r="D49" s="14">
        <v>2.1</v>
      </c>
      <c r="E49" s="14"/>
    </row>
    <row r="50" spans="2:5" ht="17.25" x14ac:dyDescent="0.25">
      <c r="C50" s="12">
        <v>2.165</v>
      </c>
      <c r="D50" s="14">
        <v>2.1</v>
      </c>
      <c r="E50" s="14"/>
    </row>
    <row r="51" spans="2:5" ht="17.25" x14ac:dyDescent="0.25">
      <c r="C51" s="12">
        <v>2.165</v>
      </c>
      <c r="D51" s="14">
        <v>2.1</v>
      </c>
      <c r="E51" s="14"/>
    </row>
    <row r="52" spans="2:5" ht="17.25" x14ac:dyDescent="0.25">
      <c r="C52" s="12">
        <v>2.165</v>
      </c>
      <c r="D52" s="14">
        <v>2.2000000000000002</v>
      </c>
      <c r="E52" s="14"/>
    </row>
    <row r="53" spans="2:5" ht="17.25" x14ac:dyDescent="0.25">
      <c r="B53" s="1" t="s">
        <v>31</v>
      </c>
      <c r="C53" s="12">
        <v>2.165</v>
      </c>
      <c r="D53" s="14">
        <v>2.1</v>
      </c>
      <c r="E53" s="14"/>
    </row>
    <row r="54" spans="2:5" ht="17.25" x14ac:dyDescent="0.25">
      <c r="C54" s="12">
        <v>2.165</v>
      </c>
      <c r="D54" s="14">
        <v>2.2000000000000002</v>
      </c>
      <c r="E54" s="14"/>
    </row>
    <row r="55" spans="2:5" ht="17.25" x14ac:dyDescent="0.25">
      <c r="C55" s="12">
        <v>2.165</v>
      </c>
      <c r="D55" s="14">
        <v>2.1</v>
      </c>
      <c r="E55" s="14"/>
    </row>
    <row r="56" spans="2:5" ht="17.25" x14ac:dyDescent="0.25">
      <c r="C56" s="12">
        <v>2.165</v>
      </c>
      <c r="D56" s="14">
        <v>2.2000000000000002</v>
      </c>
      <c r="E56" s="14"/>
    </row>
    <row r="57" spans="2:5" ht="17.25" x14ac:dyDescent="0.25">
      <c r="C57" s="12">
        <v>2.165</v>
      </c>
      <c r="D57" s="14">
        <v>2.1</v>
      </c>
      <c r="E57" s="14"/>
    </row>
    <row r="58" spans="2:5" ht="17.25" x14ac:dyDescent="0.25">
      <c r="C58" s="12">
        <v>6.2200000000000006</v>
      </c>
      <c r="D58" s="14">
        <v>6.3</v>
      </c>
      <c r="E58" s="14"/>
    </row>
    <row r="59" spans="2:5" ht="17.25" x14ac:dyDescent="0.25">
      <c r="C59" s="12">
        <v>6.2200000000000006</v>
      </c>
      <c r="D59" s="14">
        <v>6.3</v>
      </c>
      <c r="E59" s="14"/>
    </row>
    <row r="60" spans="2:5" ht="17.25" x14ac:dyDescent="0.25">
      <c r="C60" s="12">
        <v>6.2200000000000006</v>
      </c>
      <c r="D60" s="14">
        <v>6.3</v>
      </c>
      <c r="E60" s="14"/>
    </row>
    <row r="61" spans="2:5" ht="17.25" x14ac:dyDescent="0.25">
      <c r="C61" s="12">
        <v>6.2200000000000006</v>
      </c>
      <c r="D61" s="14">
        <v>6.3</v>
      </c>
      <c r="E61" s="14"/>
    </row>
    <row r="62" spans="2:5" ht="17.25" x14ac:dyDescent="0.25">
      <c r="C62" s="12">
        <v>6.2200000000000006</v>
      </c>
      <c r="D62" s="14">
        <v>6.4</v>
      </c>
      <c r="E62" s="14"/>
    </row>
    <row r="63" spans="2:5" ht="17.25" x14ac:dyDescent="0.25">
      <c r="C63" s="12">
        <v>6.2200000000000006</v>
      </c>
      <c r="D63" s="14">
        <v>6.4</v>
      </c>
      <c r="E63" s="14"/>
    </row>
    <row r="64" spans="2:5" ht="17.25" x14ac:dyDescent="0.25">
      <c r="C64" s="12">
        <v>6.2200000000000006</v>
      </c>
      <c r="D64" s="14">
        <v>6.3</v>
      </c>
      <c r="E64" s="14"/>
    </row>
    <row r="65" spans="3:5" ht="17.25" x14ac:dyDescent="0.25">
      <c r="C65" s="12">
        <v>6.2200000000000006</v>
      </c>
      <c r="D65" s="14">
        <v>6.4</v>
      </c>
      <c r="E65" s="14"/>
    </row>
    <row r="66" spans="3:5" ht="17.25" x14ac:dyDescent="0.25">
      <c r="C66" s="12">
        <v>6.2200000000000006</v>
      </c>
      <c r="D66" s="14">
        <v>6.3</v>
      </c>
      <c r="E66" s="14"/>
    </row>
    <row r="67" spans="3:5" ht="17.25" x14ac:dyDescent="0.25">
      <c r="C67" s="12">
        <v>6.2200000000000006</v>
      </c>
      <c r="D67" s="14">
        <v>6.3</v>
      </c>
      <c r="E67" s="14"/>
    </row>
    <row r="68" spans="3:5" ht="17.25" x14ac:dyDescent="0.25">
      <c r="C68" s="12">
        <v>6.2200000000000006</v>
      </c>
      <c r="D68" s="14">
        <v>6.3</v>
      </c>
      <c r="E68" s="14"/>
    </row>
    <row r="69" spans="3:5" ht="17.25" x14ac:dyDescent="0.25">
      <c r="C69" s="12">
        <v>6.2200000000000006</v>
      </c>
      <c r="D69" s="14">
        <v>6.4</v>
      </c>
      <c r="E69" s="14"/>
    </row>
    <row r="70" spans="3:5" ht="17.25" x14ac:dyDescent="0.25">
      <c r="C70" s="12">
        <v>6.2200000000000006</v>
      </c>
      <c r="D70" s="14">
        <v>6.3</v>
      </c>
      <c r="E70" s="14"/>
    </row>
    <row r="71" spans="3:5" ht="17.25" x14ac:dyDescent="0.25">
      <c r="C71" s="12">
        <v>6.2200000000000006</v>
      </c>
      <c r="D71" s="14">
        <v>6.4</v>
      </c>
      <c r="E71" s="14"/>
    </row>
    <row r="72" spans="3:5" ht="17.25" x14ac:dyDescent="0.25">
      <c r="C72" s="12">
        <v>6.2200000000000006</v>
      </c>
      <c r="D72" s="14">
        <v>6.4</v>
      </c>
      <c r="E72" s="14"/>
    </row>
    <row r="73" spans="3:5" ht="17.25" x14ac:dyDescent="0.25">
      <c r="C73" s="12">
        <v>6.2200000000000006</v>
      </c>
      <c r="D73" s="14">
        <v>6.4</v>
      </c>
      <c r="E73" s="14"/>
    </row>
    <row r="74" spans="3:5" ht="17.25" x14ac:dyDescent="0.25">
      <c r="C74" s="12">
        <v>6.2200000000000006</v>
      </c>
      <c r="D74" s="14">
        <v>6.5</v>
      </c>
      <c r="E74" s="14"/>
    </row>
    <row r="75" spans="3:5" ht="17.25" x14ac:dyDescent="0.25">
      <c r="C75" s="12">
        <v>6.2200000000000006</v>
      </c>
      <c r="D75" s="14">
        <v>6.3</v>
      </c>
      <c r="E75" s="14"/>
    </row>
    <row r="76" spans="3:5" ht="17.25" x14ac:dyDescent="0.25">
      <c r="C76" s="12">
        <v>6.2200000000000006</v>
      </c>
      <c r="D76" s="14">
        <v>6.3</v>
      </c>
      <c r="E76" s="14"/>
    </row>
    <row r="77" spans="3:5" ht="17.25" x14ac:dyDescent="0.25">
      <c r="C77" s="12">
        <v>6.2200000000000006</v>
      </c>
      <c r="D77" s="14">
        <v>6.3</v>
      </c>
      <c r="E77" s="14"/>
    </row>
    <row r="78" spans="3:5" ht="17.25" x14ac:dyDescent="0.25">
      <c r="C78" s="12">
        <v>17.7</v>
      </c>
      <c r="D78" s="14">
        <v>19.600000000000001</v>
      </c>
      <c r="E78" s="14"/>
    </row>
    <row r="79" spans="3:5" ht="17.25" x14ac:dyDescent="0.25">
      <c r="C79" s="12">
        <v>17.7</v>
      </c>
      <c r="D79" s="14">
        <v>19.5</v>
      </c>
      <c r="E79" s="14"/>
    </row>
    <row r="80" spans="3:5" ht="17.25" x14ac:dyDescent="0.25">
      <c r="C80" s="12">
        <v>17.7</v>
      </c>
      <c r="D80" s="14">
        <v>19.899999999999999</v>
      </c>
      <c r="E80" s="14"/>
    </row>
    <row r="81" spans="3:5" ht="17.25" x14ac:dyDescent="0.25">
      <c r="C81" s="12">
        <v>17.7</v>
      </c>
      <c r="D81" s="14">
        <v>19.600000000000001</v>
      </c>
      <c r="E81" s="14"/>
    </row>
    <row r="82" spans="3:5" ht="17.25" x14ac:dyDescent="0.25">
      <c r="C82" s="12">
        <v>17.7</v>
      </c>
      <c r="D82" s="14">
        <v>20.3</v>
      </c>
      <c r="E82" s="14"/>
    </row>
    <row r="83" spans="3:5" ht="17.25" x14ac:dyDescent="0.25">
      <c r="C83" s="12">
        <v>17.7</v>
      </c>
      <c r="D83" s="14">
        <v>20.8</v>
      </c>
      <c r="E83" s="14"/>
    </row>
    <row r="84" spans="3:5" ht="17.25" x14ac:dyDescent="0.25">
      <c r="C84" s="12">
        <v>17.7</v>
      </c>
      <c r="D84" s="14">
        <v>20.100000000000001</v>
      </c>
      <c r="E84" s="14"/>
    </row>
    <row r="85" spans="3:5" ht="17.25" x14ac:dyDescent="0.25">
      <c r="C85" s="12">
        <v>17.7</v>
      </c>
      <c r="D85" s="14">
        <v>19.899999999999999</v>
      </c>
      <c r="E85" s="14"/>
    </row>
    <row r="86" spans="3:5" ht="17.25" x14ac:dyDescent="0.25">
      <c r="C86" s="12">
        <v>17.7</v>
      </c>
      <c r="D86" s="14">
        <v>20</v>
      </c>
      <c r="E86" s="14"/>
    </row>
    <row r="87" spans="3:5" ht="17.25" x14ac:dyDescent="0.25">
      <c r="C87" s="12">
        <v>17.7</v>
      </c>
      <c r="D87" s="14">
        <v>19.899999999999999</v>
      </c>
      <c r="E87" s="14"/>
    </row>
    <row r="88" spans="3:5" ht="17.25" x14ac:dyDescent="0.25">
      <c r="C88" s="12">
        <v>17.7</v>
      </c>
      <c r="D88" s="14">
        <v>19.5</v>
      </c>
      <c r="E88" s="14"/>
    </row>
    <row r="89" spans="3:5" ht="17.25" x14ac:dyDescent="0.25">
      <c r="C89" s="12">
        <v>17.7</v>
      </c>
      <c r="D89" s="14">
        <v>20.3</v>
      </c>
      <c r="E89" s="14"/>
    </row>
    <row r="90" spans="3:5" ht="17.25" x14ac:dyDescent="0.25">
      <c r="C90" s="12">
        <v>17.7</v>
      </c>
      <c r="D90" s="14">
        <v>19.399999999999999</v>
      </c>
      <c r="E90" s="14"/>
    </row>
    <row r="91" spans="3:5" ht="17.25" x14ac:dyDescent="0.25">
      <c r="C91" s="12">
        <v>17.7</v>
      </c>
      <c r="D91" s="14">
        <v>19.7</v>
      </c>
      <c r="E91" s="14"/>
    </row>
    <row r="92" spans="3:5" ht="17.25" x14ac:dyDescent="0.25">
      <c r="C92" s="12">
        <v>17.7</v>
      </c>
      <c r="D92" s="14">
        <v>19.600000000000001</v>
      </c>
      <c r="E92" s="14"/>
    </row>
    <row r="93" spans="3:5" ht="17.25" x14ac:dyDescent="0.25">
      <c r="C93" s="12">
        <v>17.7</v>
      </c>
      <c r="D93" s="14">
        <v>19.8</v>
      </c>
      <c r="E93" s="14"/>
    </row>
    <row r="94" spans="3:5" ht="17.25" x14ac:dyDescent="0.25">
      <c r="C94" s="12">
        <v>17.7</v>
      </c>
      <c r="D94" s="14">
        <v>19.8</v>
      </c>
      <c r="E94" s="14"/>
    </row>
    <row r="95" spans="3:5" ht="17.25" x14ac:dyDescent="0.25">
      <c r="C95" s="12">
        <v>17.7</v>
      </c>
      <c r="D95" s="14">
        <v>19.899999999999999</v>
      </c>
      <c r="E95" s="14"/>
    </row>
    <row r="96" spans="3:5" ht="17.25" x14ac:dyDescent="0.25">
      <c r="C96" s="12">
        <v>17.7</v>
      </c>
      <c r="D96" s="14">
        <v>20</v>
      </c>
      <c r="E96" s="14"/>
    </row>
    <row r="97" spans="3:5" ht="17.25" x14ac:dyDescent="0.25">
      <c r="C97" s="12">
        <v>17.7</v>
      </c>
      <c r="D97" s="14">
        <v>19.5</v>
      </c>
      <c r="E97" s="14"/>
    </row>
    <row r="98" spans="3:5" ht="17.25" x14ac:dyDescent="0.25">
      <c r="C98" s="12">
        <v>2.7</v>
      </c>
      <c r="D98" s="13"/>
      <c r="E98" s="14">
        <v>3.4</v>
      </c>
    </row>
    <row r="99" spans="3:5" ht="17.25" x14ac:dyDescent="0.25">
      <c r="C99" s="12">
        <v>2.7</v>
      </c>
      <c r="D99" s="13"/>
      <c r="E99" s="14">
        <v>3.1</v>
      </c>
    </row>
    <row r="100" spans="3:5" ht="17.25" x14ac:dyDescent="0.25">
      <c r="C100" s="12">
        <v>2.7</v>
      </c>
      <c r="D100" s="13"/>
      <c r="E100" s="14">
        <v>3.1</v>
      </c>
    </row>
    <row r="101" spans="3:5" ht="17.25" x14ac:dyDescent="0.25">
      <c r="C101" s="12">
        <v>2.7</v>
      </c>
      <c r="D101" s="13"/>
      <c r="E101" s="14">
        <v>3</v>
      </c>
    </row>
    <row r="102" spans="3:5" ht="17.25" x14ac:dyDescent="0.25">
      <c r="C102" s="12">
        <v>2.7</v>
      </c>
      <c r="D102" s="13"/>
      <c r="E102" s="14">
        <v>3.1</v>
      </c>
    </row>
    <row r="103" spans="3:5" ht="17.25" x14ac:dyDescent="0.25">
      <c r="C103" s="12">
        <v>2.7</v>
      </c>
      <c r="D103" s="13"/>
      <c r="E103" s="14">
        <v>3.1</v>
      </c>
    </row>
    <row r="104" spans="3:5" ht="17.25" x14ac:dyDescent="0.25">
      <c r="C104" s="12">
        <v>2.7</v>
      </c>
      <c r="D104" s="13"/>
      <c r="E104" s="14">
        <v>3.1</v>
      </c>
    </row>
    <row r="105" spans="3:5" ht="17.25" x14ac:dyDescent="0.25">
      <c r="C105" s="12">
        <v>2.7</v>
      </c>
      <c r="D105" s="13"/>
      <c r="E105" s="14">
        <v>3.1</v>
      </c>
    </row>
    <row r="106" spans="3:5" ht="17.25" x14ac:dyDescent="0.25">
      <c r="C106" s="12">
        <v>2.7</v>
      </c>
      <c r="D106" s="13"/>
      <c r="E106" s="14">
        <v>3</v>
      </c>
    </row>
    <row r="107" spans="3:5" ht="17.25" x14ac:dyDescent="0.25">
      <c r="C107" s="12">
        <v>2.7</v>
      </c>
      <c r="D107" s="13"/>
      <c r="E107" s="14">
        <v>3</v>
      </c>
    </row>
    <row r="108" spans="3:5" ht="17.25" x14ac:dyDescent="0.25">
      <c r="C108" s="12">
        <v>2.7</v>
      </c>
      <c r="D108" s="13"/>
      <c r="E108" s="14">
        <v>3.4</v>
      </c>
    </row>
    <row r="109" spans="3:5" ht="17.25" x14ac:dyDescent="0.25">
      <c r="C109" s="12">
        <v>2.7</v>
      </c>
      <c r="D109" s="13"/>
      <c r="E109" s="14">
        <v>3.4</v>
      </c>
    </row>
    <row r="110" spans="3:5" ht="17.25" x14ac:dyDescent="0.25">
      <c r="C110" s="12">
        <v>2.7</v>
      </c>
      <c r="D110" s="13"/>
      <c r="E110" s="14">
        <v>3.4</v>
      </c>
    </row>
    <row r="111" spans="3:5" ht="17.25" x14ac:dyDescent="0.25">
      <c r="C111" s="12">
        <v>2.7</v>
      </c>
      <c r="D111" s="13"/>
      <c r="E111" s="14">
        <v>3.1</v>
      </c>
    </row>
    <row r="112" spans="3:5" ht="17.25" x14ac:dyDescent="0.25">
      <c r="C112" s="12">
        <v>2.7</v>
      </c>
      <c r="D112" s="13"/>
      <c r="E112" s="14">
        <v>3</v>
      </c>
    </row>
    <row r="113" spans="3:5" ht="17.25" x14ac:dyDescent="0.25">
      <c r="C113" s="12">
        <v>2.7</v>
      </c>
      <c r="D113" s="13"/>
      <c r="E113" s="14">
        <v>3.1</v>
      </c>
    </row>
    <row r="114" spans="3:5" ht="17.25" x14ac:dyDescent="0.25">
      <c r="C114" s="12">
        <v>2.7</v>
      </c>
      <c r="D114" s="13"/>
      <c r="E114" s="14">
        <v>3.1</v>
      </c>
    </row>
    <row r="115" spans="3:5" ht="17.25" x14ac:dyDescent="0.25">
      <c r="C115" s="12">
        <v>2.7</v>
      </c>
      <c r="D115" s="13"/>
      <c r="E115" s="14">
        <v>3.1</v>
      </c>
    </row>
    <row r="116" spans="3:5" ht="17.25" x14ac:dyDescent="0.25">
      <c r="C116" s="12">
        <v>2.7</v>
      </c>
      <c r="D116" s="13"/>
      <c r="E116" s="14">
        <v>3.1</v>
      </c>
    </row>
    <row r="117" spans="3:5" ht="17.25" x14ac:dyDescent="0.25">
      <c r="C117" s="12">
        <v>2.7</v>
      </c>
      <c r="D117" s="13"/>
      <c r="E117" s="14">
        <v>3.1</v>
      </c>
    </row>
    <row r="118" spans="3:5" ht="17.25" x14ac:dyDescent="0.25">
      <c r="C118" s="12">
        <v>2.7</v>
      </c>
      <c r="D118" s="13"/>
      <c r="E118" s="14">
        <v>3.1</v>
      </c>
    </row>
    <row r="119" spans="3:5" ht="17.25" x14ac:dyDescent="0.25">
      <c r="C119" s="12">
        <v>2.7</v>
      </c>
      <c r="D119" s="13"/>
      <c r="E119" s="14">
        <v>3.4</v>
      </c>
    </row>
    <row r="120" spans="3:5" ht="17.25" x14ac:dyDescent="0.25">
      <c r="C120" s="12">
        <v>2.7</v>
      </c>
      <c r="D120" s="13"/>
      <c r="E120" s="14">
        <v>3.1</v>
      </c>
    </row>
    <row r="121" spans="3:5" ht="17.25" x14ac:dyDescent="0.25">
      <c r="C121" s="12">
        <v>2.7</v>
      </c>
      <c r="D121" s="13"/>
      <c r="E121" s="14">
        <v>3.4</v>
      </c>
    </row>
    <row r="122" spans="3:5" ht="17.25" x14ac:dyDescent="0.25">
      <c r="C122" s="12">
        <v>2.7</v>
      </c>
      <c r="D122" s="13"/>
      <c r="E122" s="14">
        <v>3.1</v>
      </c>
    </row>
    <row r="123" spans="3:5" ht="17.25" x14ac:dyDescent="0.25">
      <c r="C123" s="12">
        <v>6.4</v>
      </c>
      <c r="D123" s="13"/>
      <c r="E123" s="14">
        <v>6.5</v>
      </c>
    </row>
    <row r="124" spans="3:5" ht="17.25" x14ac:dyDescent="0.25">
      <c r="C124" s="12">
        <v>6.4</v>
      </c>
      <c r="D124" s="13"/>
      <c r="E124" s="14">
        <v>6.5</v>
      </c>
    </row>
    <row r="125" spans="3:5" ht="17.25" x14ac:dyDescent="0.25">
      <c r="C125" s="12">
        <v>6.4</v>
      </c>
      <c r="D125" s="13"/>
      <c r="E125" s="14">
        <v>6.7</v>
      </c>
    </row>
    <row r="126" spans="3:5" ht="17.25" x14ac:dyDescent="0.25">
      <c r="C126" s="12">
        <v>6.4</v>
      </c>
      <c r="D126" s="13"/>
      <c r="E126" s="14">
        <v>6.9</v>
      </c>
    </row>
    <row r="127" spans="3:5" ht="17.25" x14ac:dyDescent="0.25">
      <c r="C127" s="12">
        <v>6.4</v>
      </c>
      <c r="D127" s="13"/>
      <c r="E127" s="14">
        <v>6.9</v>
      </c>
    </row>
    <row r="128" spans="3:5" ht="17.25" x14ac:dyDescent="0.25">
      <c r="C128" s="12">
        <v>6.4</v>
      </c>
      <c r="D128" s="13"/>
      <c r="E128" s="14">
        <v>6.7</v>
      </c>
    </row>
    <row r="129" spans="3:5" ht="17.25" x14ac:dyDescent="0.25">
      <c r="C129" s="12">
        <v>6.4</v>
      </c>
      <c r="D129" s="13"/>
      <c r="E129" s="14">
        <v>6.6</v>
      </c>
    </row>
    <row r="130" spans="3:5" ht="17.25" x14ac:dyDescent="0.25">
      <c r="C130" s="12">
        <v>6.4</v>
      </c>
      <c r="D130" s="13"/>
      <c r="E130" s="14">
        <v>6.7</v>
      </c>
    </row>
    <row r="131" spans="3:5" ht="17.25" x14ac:dyDescent="0.25">
      <c r="C131" s="12">
        <v>6.4</v>
      </c>
      <c r="D131" s="13"/>
      <c r="E131" s="14">
        <v>6.8</v>
      </c>
    </row>
    <row r="132" spans="3:5" ht="17.25" x14ac:dyDescent="0.25">
      <c r="C132" s="12">
        <v>6.4</v>
      </c>
      <c r="D132" s="13"/>
      <c r="E132" s="14">
        <v>6.9</v>
      </c>
    </row>
    <row r="133" spans="3:5" ht="17.25" x14ac:dyDescent="0.25">
      <c r="C133" s="12">
        <v>6.4</v>
      </c>
      <c r="D133" s="13"/>
      <c r="E133" s="14">
        <v>6.5</v>
      </c>
    </row>
    <row r="134" spans="3:5" ht="17.25" x14ac:dyDescent="0.25">
      <c r="C134" s="12">
        <v>6.4</v>
      </c>
      <c r="D134" s="13"/>
      <c r="E134" s="14">
        <v>6.5</v>
      </c>
    </row>
    <row r="135" spans="3:5" ht="17.25" x14ac:dyDescent="0.25">
      <c r="C135" s="12">
        <v>6.4</v>
      </c>
      <c r="D135" s="13"/>
      <c r="E135" s="14">
        <v>6.5</v>
      </c>
    </row>
    <row r="136" spans="3:5" ht="17.25" x14ac:dyDescent="0.25">
      <c r="C136" s="12">
        <v>6.4</v>
      </c>
      <c r="D136" s="13"/>
      <c r="E136" s="14">
        <v>6.7</v>
      </c>
    </row>
    <row r="137" spans="3:5" ht="17.25" x14ac:dyDescent="0.25">
      <c r="C137" s="12">
        <v>6.4</v>
      </c>
      <c r="D137" s="13"/>
      <c r="E137" s="14">
        <v>6.8</v>
      </c>
    </row>
    <row r="138" spans="3:5" ht="17.25" x14ac:dyDescent="0.25">
      <c r="C138" s="6">
        <v>6.4</v>
      </c>
      <c r="D138" s="7"/>
      <c r="E138" s="8">
        <v>6.7</v>
      </c>
    </row>
    <row r="139" spans="3:5" ht="17.25" x14ac:dyDescent="0.25">
      <c r="C139" s="6">
        <v>6.4</v>
      </c>
      <c r="D139" s="7"/>
      <c r="E139" s="8">
        <v>6.9</v>
      </c>
    </row>
    <row r="140" spans="3:5" ht="17.25" x14ac:dyDescent="0.25">
      <c r="C140" s="6">
        <v>6.4</v>
      </c>
      <c r="D140" s="7"/>
      <c r="E140" s="8">
        <v>6.7</v>
      </c>
    </row>
    <row r="141" spans="3:5" ht="17.25" x14ac:dyDescent="0.25">
      <c r="C141" s="6">
        <v>6.4</v>
      </c>
      <c r="D141" s="7"/>
      <c r="E141" s="8">
        <v>6.8</v>
      </c>
    </row>
    <row r="142" spans="3:5" ht="17.25" x14ac:dyDescent="0.25">
      <c r="C142" s="6">
        <v>6.4</v>
      </c>
      <c r="D142" s="7"/>
      <c r="E142" s="8">
        <v>6.7</v>
      </c>
    </row>
    <row r="143" spans="3:5" ht="17.25" x14ac:dyDescent="0.25">
      <c r="C143" s="6">
        <v>6.4</v>
      </c>
      <c r="D143" s="7"/>
      <c r="E143" s="8">
        <v>6.5</v>
      </c>
    </row>
    <row r="144" spans="3:5" ht="17.25" x14ac:dyDescent="0.25">
      <c r="C144" s="6">
        <v>6.4</v>
      </c>
      <c r="D144" s="7"/>
      <c r="E144" s="8">
        <v>6.6</v>
      </c>
    </row>
    <row r="145" spans="3:5" ht="17.25" x14ac:dyDescent="0.25">
      <c r="C145" s="6">
        <v>6.4</v>
      </c>
      <c r="D145" s="7"/>
      <c r="E145" s="8">
        <v>6.7</v>
      </c>
    </row>
    <row r="146" spans="3:5" ht="17.25" x14ac:dyDescent="0.25">
      <c r="C146" s="6">
        <v>6.4</v>
      </c>
      <c r="D146" s="7"/>
      <c r="E146" s="8">
        <v>6.6</v>
      </c>
    </row>
    <row r="147" spans="3:5" ht="17.25" x14ac:dyDescent="0.25">
      <c r="C147" s="6">
        <v>6.4</v>
      </c>
      <c r="D147" s="7"/>
      <c r="E147" s="8">
        <v>6.9</v>
      </c>
    </row>
    <row r="148" spans="3:5" ht="17.25" x14ac:dyDescent="0.25">
      <c r="C148" s="6">
        <v>19.7</v>
      </c>
      <c r="D148" s="7"/>
      <c r="E148" s="8">
        <v>21.5</v>
      </c>
    </row>
    <row r="149" spans="3:5" ht="17.25" x14ac:dyDescent="0.25">
      <c r="C149" s="6">
        <v>19.7</v>
      </c>
      <c r="D149" s="7"/>
      <c r="E149" s="8">
        <v>21</v>
      </c>
    </row>
    <row r="150" spans="3:5" ht="17.25" x14ac:dyDescent="0.25">
      <c r="C150" s="6">
        <v>19.7</v>
      </c>
      <c r="D150" s="7"/>
      <c r="E150" s="8">
        <v>21.9</v>
      </c>
    </row>
    <row r="151" spans="3:5" ht="17.25" x14ac:dyDescent="0.25">
      <c r="C151" s="6">
        <v>19.7</v>
      </c>
      <c r="D151" s="7"/>
      <c r="E151" s="8">
        <v>21.7</v>
      </c>
    </row>
    <row r="152" spans="3:5" ht="17.25" x14ac:dyDescent="0.25">
      <c r="C152" s="6">
        <v>19.7</v>
      </c>
      <c r="D152" s="7"/>
      <c r="E152" s="8">
        <v>20.399999999999999</v>
      </c>
    </row>
    <row r="153" spans="3:5" ht="17.25" x14ac:dyDescent="0.25">
      <c r="C153" s="6">
        <v>19.7</v>
      </c>
      <c r="D153" s="7"/>
      <c r="E153" s="8">
        <v>21.5</v>
      </c>
    </row>
    <row r="154" spans="3:5" ht="17.25" x14ac:dyDescent="0.25">
      <c r="C154" s="6">
        <v>19.7</v>
      </c>
      <c r="D154" s="7"/>
      <c r="E154" s="8">
        <v>20</v>
      </c>
    </row>
    <row r="155" spans="3:5" ht="17.25" x14ac:dyDescent="0.25">
      <c r="C155" s="6">
        <v>19.7</v>
      </c>
      <c r="D155" s="7"/>
      <c r="E155" s="8">
        <v>21.2</v>
      </c>
    </row>
    <row r="156" spans="3:5" ht="17.25" x14ac:dyDescent="0.25">
      <c r="C156" s="6">
        <v>19.7</v>
      </c>
      <c r="D156" s="7"/>
      <c r="E156" s="8">
        <v>20.3</v>
      </c>
    </row>
    <row r="157" spans="3:5" ht="17.25" x14ac:dyDescent="0.25">
      <c r="C157" s="6">
        <v>19.7</v>
      </c>
      <c r="D157" s="7"/>
      <c r="E157" s="8">
        <v>20.7</v>
      </c>
    </row>
    <row r="158" spans="3:5" ht="17.25" x14ac:dyDescent="0.25">
      <c r="C158" s="6">
        <v>19.7</v>
      </c>
      <c r="D158" s="7"/>
      <c r="E158" s="8">
        <v>21.5</v>
      </c>
    </row>
    <row r="159" spans="3:5" ht="17.25" x14ac:dyDescent="0.25">
      <c r="C159" s="6">
        <v>19.7</v>
      </c>
      <c r="D159" s="7"/>
      <c r="E159" s="8">
        <v>21.3</v>
      </c>
    </row>
    <row r="160" spans="3:5" ht="17.25" x14ac:dyDescent="0.25">
      <c r="C160" s="6">
        <v>19.7</v>
      </c>
      <c r="D160" s="7"/>
      <c r="E160" s="8">
        <v>20.399999999999999</v>
      </c>
    </row>
    <row r="161" spans="3:5" ht="17.25" x14ac:dyDescent="0.25">
      <c r="C161" s="6">
        <v>19.7</v>
      </c>
      <c r="D161" s="7"/>
      <c r="E161" s="8">
        <v>20.8</v>
      </c>
    </row>
    <row r="162" spans="3:5" ht="17.25" x14ac:dyDescent="0.25">
      <c r="C162" s="6">
        <v>19.7</v>
      </c>
      <c r="D162" s="7"/>
      <c r="E162" s="8">
        <v>20.5</v>
      </c>
    </row>
    <row r="163" spans="3:5" ht="17.25" x14ac:dyDescent="0.25">
      <c r="C163" s="6">
        <v>19.7</v>
      </c>
      <c r="D163" s="7"/>
      <c r="E163" s="8">
        <v>21.6</v>
      </c>
    </row>
    <row r="164" spans="3:5" ht="17.25" x14ac:dyDescent="0.25">
      <c r="C164" s="6">
        <v>19.7</v>
      </c>
      <c r="D164" s="7"/>
      <c r="E164" s="8">
        <v>21.5</v>
      </c>
    </row>
    <row r="165" spans="3:5" ht="17.25" x14ac:dyDescent="0.25">
      <c r="C165" s="6">
        <v>19.7</v>
      </c>
      <c r="D165" s="7"/>
      <c r="E165" s="8">
        <v>21</v>
      </c>
    </row>
    <row r="166" spans="3:5" ht="17.25" x14ac:dyDescent="0.25">
      <c r="C166" s="6">
        <v>19.7</v>
      </c>
      <c r="D166" s="7"/>
      <c r="E166" s="8">
        <v>22.3</v>
      </c>
    </row>
    <row r="167" spans="3:5" ht="17.25" x14ac:dyDescent="0.25">
      <c r="C167" s="6">
        <v>19.7</v>
      </c>
      <c r="D167" s="7"/>
      <c r="E167" s="8">
        <v>20.3</v>
      </c>
    </row>
    <row r="168" spans="3:5" ht="17.25" x14ac:dyDescent="0.25">
      <c r="C168" s="6">
        <v>19.7</v>
      </c>
      <c r="D168" s="7"/>
      <c r="E168" s="8">
        <v>21</v>
      </c>
    </row>
    <row r="169" spans="3:5" ht="17.25" x14ac:dyDescent="0.25">
      <c r="C169" s="6">
        <v>19.7</v>
      </c>
      <c r="D169" s="7"/>
      <c r="E169" s="8">
        <v>20.9</v>
      </c>
    </row>
    <row r="170" spans="3:5" ht="17.25" x14ac:dyDescent="0.25">
      <c r="C170" s="6">
        <v>19.7</v>
      </c>
      <c r="D170" s="7"/>
      <c r="E170" s="8">
        <v>21.8</v>
      </c>
    </row>
    <row r="171" spans="3:5" ht="17.25" x14ac:dyDescent="0.25">
      <c r="C171" s="6">
        <v>19.7</v>
      </c>
      <c r="D171" s="7"/>
      <c r="E171" s="8">
        <v>21</v>
      </c>
    </row>
    <row r="172" spans="3:5" ht="17.25" x14ac:dyDescent="0.25">
      <c r="C172" s="6">
        <v>19.7</v>
      </c>
      <c r="D172" s="7"/>
      <c r="E172" s="8">
        <v>20.6</v>
      </c>
    </row>
    <row r="173" spans="3:5" ht="17.25" x14ac:dyDescent="0.25">
      <c r="C173" s="6"/>
      <c r="D173" s="7"/>
      <c r="E173" s="8"/>
    </row>
    <row r="174" spans="3:5" ht="17.25" x14ac:dyDescent="0.25">
      <c r="C174" s="6"/>
      <c r="D174" s="7"/>
      <c r="E174" s="8"/>
    </row>
    <row r="175" spans="3:5" ht="17.25" x14ac:dyDescent="0.25">
      <c r="C175" s="6"/>
      <c r="D175" s="7"/>
      <c r="E175" s="8"/>
    </row>
    <row r="176" spans="3:5" ht="17.25" x14ac:dyDescent="0.25">
      <c r="C176" s="6"/>
      <c r="D176" s="7"/>
      <c r="E176" s="8"/>
    </row>
    <row r="177" spans="3:5" ht="17.25" x14ac:dyDescent="0.25">
      <c r="C177" s="6"/>
      <c r="D177" s="7"/>
      <c r="E177" s="8"/>
    </row>
    <row r="178" spans="3:5" ht="17.25" x14ac:dyDescent="0.25">
      <c r="C178" s="6"/>
      <c r="D178" s="7"/>
      <c r="E178" s="8"/>
    </row>
    <row r="179" spans="3:5" ht="17.25" x14ac:dyDescent="0.25">
      <c r="C179" s="6"/>
      <c r="D179" s="7"/>
      <c r="E179" s="8"/>
    </row>
    <row r="180" spans="3:5" ht="17.25" x14ac:dyDescent="0.25">
      <c r="C180" s="6"/>
      <c r="D180" s="7"/>
      <c r="E180" s="8"/>
    </row>
    <row r="181" spans="3:5" ht="17.25" x14ac:dyDescent="0.25">
      <c r="C181" s="6"/>
      <c r="D181" s="7"/>
      <c r="E181" s="8"/>
    </row>
    <row r="182" spans="3:5" ht="17.25" x14ac:dyDescent="0.25">
      <c r="C182" s="6"/>
      <c r="D182" s="7"/>
      <c r="E182" s="8"/>
    </row>
    <row r="183" spans="3:5" ht="17.25" x14ac:dyDescent="0.25">
      <c r="C183" s="6"/>
      <c r="D183" s="7"/>
      <c r="E183" s="8"/>
    </row>
    <row r="184" spans="3:5" ht="17.25" x14ac:dyDescent="0.25">
      <c r="C184" s="6"/>
      <c r="D184" s="7"/>
      <c r="E184" s="8"/>
    </row>
    <row r="185" spans="3:5" ht="17.25" x14ac:dyDescent="0.25">
      <c r="C185" s="6"/>
      <c r="D185" s="7"/>
      <c r="E185" s="8"/>
    </row>
    <row r="186" spans="3:5" ht="17.25" x14ac:dyDescent="0.25">
      <c r="C186" s="6"/>
      <c r="D186" s="7"/>
      <c r="E186" s="8"/>
    </row>
    <row r="187" spans="3:5" ht="17.25" x14ac:dyDescent="0.25">
      <c r="C187" s="6"/>
      <c r="D187" s="7"/>
      <c r="E187" s="8"/>
    </row>
    <row r="188" spans="3:5" ht="17.25" x14ac:dyDescent="0.25">
      <c r="C188" s="6"/>
      <c r="D188" s="7"/>
      <c r="E188" s="8"/>
    </row>
    <row r="189" spans="3:5" ht="17.25" x14ac:dyDescent="0.25">
      <c r="C189" s="6"/>
      <c r="D189" s="7"/>
      <c r="E189" s="8"/>
    </row>
    <row r="190" spans="3:5" ht="17.25" x14ac:dyDescent="0.25">
      <c r="C190" s="6"/>
      <c r="D190" s="7"/>
      <c r="E190" s="8"/>
    </row>
    <row r="191" spans="3:5" ht="17.25" x14ac:dyDescent="0.25">
      <c r="C191" s="6"/>
      <c r="D191" s="7"/>
      <c r="E191" s="8"/>
    </row>
    <row r="192" spans="3:5" ht="17.25" x14ac:dyDescent="0.25">
      <c r="C192" s="6"/>
      <c r="D192" s="7"/>
      <c r="E192" s="8"/>
    </row>
    <row r="193" spans="3:5" ht="17.25" x14ac:dyDescent="0.25">
      <c r="C193" s="6"/>
      <c r="D193" s="7"/>
      <c r="E193" s="8"/>
    </row>
    <row r="194" spans="3:5" ht="17.25" x14ac:dyDescent="0.25">
      <c r="C194" s="6"/>
      <c r="D194" s="7"/>
      <c r="E194" s="8"/>
    </row>
    <row r="195" spans="3:5" ht="17.25" x14ac:dyDescent="0.25">
      <c r="C195" s="6"/>
      <c r="D195" s="7"/>
      <c r="E195" s="8"/>
    </row>
    <row r="196" spans="3:5" ht="17.25" x14ac:dyDescent="0.25">
      <c r="C196" s="6"/>
      <c r="D196" s="7"/>
      <c r="E196" s="8"/>
    </row>
    <row r="197" spans="3:5" ht="17.25" x14ac:dyDescent="0.25">
      <c r="C197" s="6"/>
      <c r="D197" s="7"/>
      <c r="E197" s="8"/>
    </row>
    <row r="198" spans="3:5" ht="17.25" x14ac:dyDescent="0.25">
      <c r="C198" s="6"/>
      <c r="D198" s="7"/>
      <c r="E198" s="8"/>
    </row>
    <row r="199" spans="3:5" ht="17.25" x14ac:dyDescent="0.25">
      <c r="C199" s="6"/>
      <c r="D199" s="7"/>
      <c r="E199" s="8"/>
    </row>
    <row r="200" spans="3:5" ht="17.25" x14ac:dyDescent="0.25">
      <c r="C200" s="6"/>
      <c r="D200" s="7"/>
      <c r="E200" s="8"/>
    </row>
    <row r="201" spans="3:5" ht="17.25" x14ac:dyDescent="0.25">
      <c r="C201" s="6"/>
      <c r="D201" s="7"/>
      <c r="E201" s="8"/>
    </row>
    <row r="202" spans="3:5" ht="17.25" x14ac:dyDescent="0.25">
      <c r="C202" s="6"/>
      <c r="D202" s="7"/>
      <c r="E202" s="8"/>
    </row>
    <row r="203" spans="3:5" ht="17.25" x14ac:dyDescent="0.25">
      <c r="C203" s="6"/>
      <c r="D203" s="7"/>
      <c r="E203" s="8"/>
    </row>
    <row r="204" spans="3:5" ht="17.25" x14ac:dyDescent="0.25">
      <c r="C204" s="6"/>
      <c r="D204" s="7"/>
      <c r="E204" s="8"/>
    </row>
    <row r="205" spans="3:5" ht="17.25" x14ac:dyDescent="0.25">
      <c r="C205" s="6"/>
      <c r="D205" s="7"/>
      <c r="E205" s="8"/>
    </row>
    <row r="206" spans="3:5" ht="17.25" x14ac:dyDescent="0.25">
      <c r="C206" s="6"/>
      <c r="D206" s="7"/>
      <c r="E206" s="8"/>
    </row>
    <row r="207" spans="3:5" ht="17.25" x14ac:dyDescent="0.25">
      <c r="C207" s="6"/>
      <c r="D207" s="7"/>
      <c r="E207" s="8"/>
    </row>
    <row r="208" spans="3:5" ht="17.25" x14ac:dyDescent="0.25">
      <c r="C208" s="6"/>
      <c r="D208" s="7"/>
      <c r="E208" s="8"/>
    </row>
    <row r="209" spans="3:8" ht="17.25" x14ac:dyDescent="0.25">
      <c r="C209" s="6"/>
      <c r="D209" s="7"/>
      <c r="E209" s="8"/>
    </row>
    <row r="210" spans="3:8" ht="17.25" x14ac:dyDescent="0.25">
      <c r="C210" s="6"/>
      <c r="D210" s="7"/>
      <c r="E210" s="8"/>
    </row>
    <row r="211" spans="3:8" ht="17.25" x14ac:dyDescent="0.25">
      <c r="C211" s="6"/>
      <c r="D211" s="7"/>
      <c r="E211" s="8"/>
    </row>
    <row r="212" spans="3:8" ht="17.25" x14ac:dyDescent="0.25">
      <c r="C212" s="6"/>
      <c r="D212" s="7"/>
      <c r="E212" s="8"/>
    </row>
    <row r="213" spans="3:8" ht="17.25" x14ac:dyDescent="0.25">
      <c r="C213" s="6"/>
      <c r="D213" s="7"/>
      <c r="E213" s="8"/>
    </row>
    <row r="214" spans="3:8" ht="17.25" x14ac:dyDescent="0.25">
      <c r="C214" s="6"/>
      <c r="D214" s="7"/>
      <c r="E214" s="8"/>
    </row>
    <row r="215" spans="3:8" ht="17.25" x14ac:dyDescent="0.25">
      <c r="C215" s="6"/>
      <c r="D215" s="7"/>
      <c r="E215" s="8"/>
    </row>
    <row r="216" spans="3:8" ht="17.25" x14ac:dyDescent="0.25">
      <c r="C216" s="6"/>
      <c r="D216" s="7"/>
      <c r="E216" s="8"/>
    </row>
    <row r="217" spans="3:8" ht="17.25" x14ac:dyDescent="0.25">
      <c r="C217" s="6"/>
      <c r="D217" s="7"/>
      <c r="E217" s="8"/>
    </row>
    <row r="218" spans="3:8" ht="17.25" x14ac:dyDescent="0.25">
      <c r="C218" s="6"/>
      <c r="D218" s="7"/>
      <c r="E218" s="8"/>
    </row>
    <row r="219" spans="3:8" ht="17.25" x14ac:dyDescent="0.25">
      <c r="C219" s="6"/>
      <c r="D219" s="7"/>
      <c r="E219" s="8"/>
      <c r="H219" s="1">
        <f>600/18</f>
        <v>33.333333333333336</v>
      </c>
    </row>
    <row r="220" spans="3:8" ht="17.25" x14ac:dyDescent="0.25">
      <c r="C220" s="6"/>
      <c r="D220" s="7"/>
      <c r="E220" s="8"/>
    </row>
    <row r="221" spans="3:8" ht="17.25" x14ac:dyDescent="0.25">
      <c r="C221" s="6"/>
      <c r="D221" s="7"/>
      <c r="E221" s="8"/>
    </row>
    <row r="222" spans="3:8" ht="17.25" x14ac:dyDescent="0.25">
      <c r="C222" s="6"/>
      <c r="D222" s="7"/>
      <c r="E222" s="8"/>
    </row>
    <row r="223" spans="3:8" ht="17.25" x14ac:dyDescent="0.25">
      <c r="C223" s="6"/>
      <c r="D223" s="7"/>
      <c r="E223" s="8"/>
    </row>
    <row r="224" spans="3:8" ht="17.25" x14ac:dyDescent="0.25">
      <c r="C224" s="6"/>
      <c r="D224" s="7"/>
      <c r="E224" s="8"/>
    </row>
    <row r="225" spans="3:5" ht="17.25" x14ac:dyDescent="0.25">
      <c r="C225" s="6"/>
      <c r="D225" s="7"/>
      <c r="E225" s="8"/>
    </row>
    <row r="226" spans="3:5" ht="17.25" x14ac:dyDescent="0.25">
      <c r="C226" s="6"/>
      <c r="D226" s="7"/>
      <c r="E226" s="8"/>
    </row>
    <row r="227" spans="3:5" ht="17.25" x14ac:dyDescent="0.25">
      <c r="C227" s="6"/>
      <c r="D227" s="7"/>
      <c r="E227" s="8"/>
    </row>
    <row r="228" spans="3:5" ht="17.25" x14ac:dyDescent="0.25">
      <c r="C228" s="6"/>
      <c r="D228" s="7"/>
      <c r="E228" s="8"/>
    </row>
    <row r="229" spans="3:5" ht="17.25" x14ac:dyDescent="0.25">
      <c r="C229" s="6"/>
      <c r="D229" s="7"/>
      <c r="E229" s="8"/>
    </row>
    <row r="230" spans="3:5" ht="17.25" x14ac:dyDescent="0.25">
      <c r="C230" s="6"/>
      <c r="D230" s="7"/>
      <c r="E230" s="8"/>
    </row>
    <row r="231" spans="3:5" ht="17.25" x14ac:dyDescent="0.25">
      <c r="C231" s="6"/>
      <c r="D231" s="7"/>
      <c r="E231" s="8"/>
    </row>
    <row r="232" spans="3:5" ht="17.25" x14ac:dyDescent="0.25">
      <c r="C232" s="6"/>
      <c r="D232" s="7"/>
      <c r="E232" s="8"/>
    </row>
    <row r="233" spans="3:5" ht="17.25" x14ac:dyDescent="0.25">
      <c r="C233" s="6"/>
      <c r="D233" s="7"/>
      <c r="E233" s="8"/>
    </row>
    <row r="234" spans="3:5" ht="17.25" x14ac:dyDescent="0.25">
      <c r="C234" s="6"/>
      <c r="D234" s="7"/>
      <c r="E234" s="8"/>
    </row>
    <row r="235" spans="3:5" ht="17.25" x14ac:dyDescent="0.25">
      <c r="C235" s="6"/>
      <c r="D235" s="7"/>
      <c r="E235" s="8"/>
    </row>
    <row r="236" spans="3:5" ht="17.25" x14ac:dyDescent="0.25">
      <c r="C236" s="6"/>
      <c r="D236" s="7"/>
      <c r="E236" s="8"/>
    </row>
    <row r="237" spans="3:5" ht="17.25" x14ac:dyDescent="0.25">
      <c r="C237" s="6"/>
      <c r="D237" s="7"/>
      <c r="E237" s="8"/>
    </row>
    <row r="238" spans="3:5" ht="17.25" x14ac:dyDescent="0.25">
      <c r="C238" s="9"/>
      <c r="D238" s="10"/>
      <c r="E238" s="11"/>
    </row>
    <row r="239" spans="3:5" ht="17.25" x14ac:dyDescent="0.25">
      <c r="C239" s="9"/>
      <c r="D239" s="10"/>
      <c r="E239" s="11"/>
    </row>
    <row r="240" spans="3:5" ht="17.25" x14ac:dyDescent="0.25">
      <c r="C240" s="9"/>
      <c r="D240" s="10"/>
      <c r="E240" s="11"/>
    </row>
    <row r="241" spans="3:5" ht="17.25" x14ac:dyDescent="0.25">
      <c r="C241" s="9"/>
      <c r="D241" s="10"/>
      <c r="E241" s="11"/>
    </row>
    <row r="242" spans="3:5" ht="17.25" x14ac:dyDescent="0.25">
      <c r="C242" s="9"/>
      <c r="D242" s="10"/>
      <c r="E242" s="11"/>
    </row>
    <row r="243" spans="3:5" ht="17.25" x14ac:dyDescent="0.25">
      <c r="C243" s="9"/>
      <c r="D243" s="10"/>
      <c r="E243" s="11"/>
    </row>
    <row r="244" spans="3:5" ht="17.25" x14ac:dyDescent="0.25">
      <c r="C244" s="9"/>
      <c r="D244" s="10"/>
      <c r="E244" s="11"/>
    </row>
    <row r="245" spans="3:5" ht="17.25" x14ac:dyDescent="0.25">
      <c r="C245" s="9"/>
      <c r="D245" s="10"/>
      <c r="E245" s="11"/>
    </row>
    <row r="246" spans="3:5" ht="17.25" x14ac:dyDescent="0.25">
      <c r="C246" s="9"/>
      <c r="D246" s="10"/>
      <c r="E246" s="11"/>
    </row>
    <row r="247" spans="3:5" ht="17.25" x14ac:dyDescent="0.25">
      <c r="C247" s="9"/>
      <c r="D247" s="10"/>
      <c r="E247" s="11"/>
    </row>
    <row r="248" spans="3:5" ht="17.25" x14ac:dyDescent="0.25">
      <c r="C248" s="9"/>
      <c r="D248" s="10"/>
      <c r="E248" s="11"/>
    </row>
    <row r="249" spans="3:5" ht="17.25" x14ac:dyDescent="0.25">
      <c r="C249" s="9"/>
      <c r="D249" s="10"/>
      <c r="E249" s="11"/>
    </row>
    <row r="250" spans="3:5" ht="17.25" x14ac:dyDescent="0.25">
      <c r="C250" s="9"/>
      <c r="D250" s="10"/>
      <c r="E250" s="11"/>
    </row>
    <row r="251" spans="3:5" ht="17.25" x14ac:dyDescent="0.25">
      <c r="C251" s="9"/>
      <c r="D251" s="10"/>
      <c r="E251" s="11"/>
    </row>
    <row r="252" spans="3:5" ht="17.25" x14ac:dyDescent="0.25">
      <c r="C252" s="9"/>
      <c r="D252" s="10"/>
      <c r="E252" s="11"/>
    </row>
    <row r="253" spans="3:5" ht="17.25" x14ac:dyDescent="0.25">
      <c r="C253" s="9"/>
      <c r="D253" s="10"/>
      <c r="E253" s="11"/>
    </row>
    <row r="254" spans="3:5" ht="17.25" x14ac:dyDescent="0.25">
      <c r="C254" s="9"/>
      <c r="D254" s="10"/>
      <c r="E254" s="11"/>
    </row>
    <row r="255" spans="3:5" ht="17.25" x14ac:dyDescent="0.25">
      <c r="C255" s="9"/>
      <c r="D255" s="10"/>
      <c r="E255" s="1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pane xSplit="1" ySplit="2" topLeftCell="E9" activePane="bottomRight" state="frozen"/>
      <selection pane="topRight" activeCell="B1" sqref="B1"/>
      <selection pane="bottomLeft" activeCell="A3" sqref="A3"/>
      <selection pane="bottomRight" activeCell="R21" sqref="R21"/>
    </sheetView>
  </sheetViews>
  <sheetFormatPr defaultRowHeight="16.5" x14ac:dyDescent="0.25"/>
  <cols>
    <col min="1" max="1" width="8.75" bestFit="1" customWidth="1"/>
    <col min="2" max="2" width="12.375" bestFit="1" customWidth="1"/>
    <col min="3" max="3" width="12.25" bestFit="1" customWidth="1"/>
    <col min="4" max="4" width="12.125" bestFit="1" customWidth="1"/>
    <col min="5" max="5" width="12.25" bestFit="1" customWidth="1"/>
    <col min="6" max="6" width="12.125" bestFit="1" customWidth="1"/>
    <col min="7" max="7" width="12.375" bestFit="1" customWidth="1"/>
    <col min="8" max="8" width="12.25" bestFit="1" customWidth="1"/>
    <col min="9" max="9" width="12.125" bestFit="1" customWidth="1"/>
    <col min="10" max="10" width="11.875" bestFit="1" customWidth="1"/>
    <col min="11" max="11" width="6.625" bestFit="1" customWidth="1"/>
  </cols>
  <sheetData>
    <row r="1" spans="1:11" x14ac:dyDescent="0.25">
      <c r="A1" s="1" t="s">
        <v>4</v>
      </c>
      <c r="B1" s="1"/>
      <c r="C1" s="1" t="s">
        <v>5</v>
      </c>
      <c r="D1" s="1"/>
      <c r="E1" s="1"/>
      <c r="F1" s="1"/>
      <c r="G1" s="1"/>
      <c r="H1" s="1"/>
      <c r="I1" s="1"/>
      <c r="J1" s="1"/>
      <c r="K1" s="1"/>
    </row>
    <row r="2" spans="1:11" x14ac:dyDescent="0.25">
      <c r="A2" s="20" t="s">
        <v>6</v>
      </c>
      <c r="B2" s="20" t="s">
        <v>63</v>
      </c>
      <c r="C2" s="20" t="s">
        <v>10</v>
      </c>
      <c r="D2" s="20" t="s">
        <v>11</v>
      </c>
      <c r="E2" s="20" t="s">
        <v>12</v>
      </c>
      <c r="F2" s="20" t="s">
        <v>13</v>
      </c>
      <c r="G2" s="20" t="s">
        <v>14</v>
      </c>
      <c r="H2" s="20" t="s">
        <v>15</v>
      </c>
      <c r="I2" s="20" t="s">
        <v>16</v>
      </c>
      <c r="J2" s="20" t="s">
        <v>2</v>
      </c>
      <c r="K2" s="1" t="s">
        <v>0</v>
      </c>
    </row>
    <row r="3" spans="1:11" x14ac:dyDescent="0.25">
      <c r="A3" s="20">
        <v>0</v>
      </c>
      <c r="B3" s="20">
        <v>0</v>
      </c>
      <c r="C3" s="20">
        <v>50</v>
      </c>
      <c r="D3" s="20"/>
      <c r="E3" s="20"/>
      <c r="F3" s="20"/>
      <c r="G3" s="20"/>
      <c r="H3" s="20"/>
      <c r="I3" s="20"/>
      <c r="J3" s="20"/>
      <c r="K3" s="1"/>
    </row>
    <row r="4" spans="1:11" x14ac:dyDescent="0.25">
      <c r="A4" s="20">
        <v>30</v>
      </c>
      <c r="B4" s="20">
        <v>30</v>
      </c>
      <c r="C4" s="20">
        <v>50</v>
      </c>
      <c r="D4" s="20"/>
      <c r="E4" s="20"/>
      <c r="F4" s="20"/>
      <c r="G4" s="20"/>
      <c r="H4" s="20"/>
      <c r="I4" s="20"/>
      <c r="J4" s="20"/>
      <c r="K4" s="1"/>
    </row>
    <row r="5" spans="1:11" x14ac:dyDescent="0.25">
      <c r="A5" s="20">
        <v>140</v>
      </c>
      <c r="B5" s="20">
        <v>140</v>
      </c>
      <c r="C5" s="20">
        <v>170</v>
      </c>
      <c r="D5" s="20"/>
      <c r="E5" s="20"/>
      <c r="F5" s="20"/>
      <c r="G5" s="20"/>
      <c r="H5" s="20"/>
      <c r="I5" s="20"/>
      <c r="J5" s="20"/>
      <c r="K5" s="1"/>
    </row>
    <row r="6" spans="1:11" x14ac:dyDescent="0.25">
      <c r="A6" s="20">
        <v>280</v>
      </c>
      <c r="B6" s="20">
        <v>280</v>
      </c>
      <c r="C6" s="20">
        <v>380</v>
      </c>
      <c r="D6" s="20"/>
      <c r="E6" s="20"/>
      <c r="F6" s="20"/>
      <c r="G6" s="20"/>
      <c r="H6" s="20"/>
      <c r="I6" s="20"/>
      <c r="J6" s="20"/>
      <c r="K6" s="1"/>
    </row>
    <row r="7" spans="1:11" x14ac:dyDescent="0.25">
      <c r="A7" s="20">
        <v>430</v>
      </c>
      <c r="B7" s="20">
        <v>430</v>
      </c>
      <c r="C7" s="20">
        <v>550</v>
      </c>
      <c r="D7" s="20"/>
      <c r="E7" s="20"/>
      <c r="F7" s="20"/>
      <c r="G7" s="20"/>
      <c r="H7" s="20"/>
      <c r="I7" s="20"/>
      <c r="J7" s="20"/>
      <c r="K7" s="1"/>
    </row>
    <row r="8" spans="1:11" x14ac:dyDescent="0.25">
      <c r="A8" s="20">
        <v>120</v>
      </c>
      <c r="B8" s="20">
        <v>120</v>
      </c>
      <c r="C8" s="20"/>
      <c r="D8" s="20"/>
      <c r="E8" s="20"/>
      <c r="F8" s="20">
        <v>0</v>
      </c>
      <c r="G8" s="20"/>
      <c r="H8" s="20"/>
      <c r="I8" s="20"/>
      <c r="J8" s="20"/>
      <c r="K8" s="1"/>
    </row>
    <row r="9" spans="1:11" x14ac:dyDescent="0.25">
      <c r="A9" s="20">
        <v>120</v>
      </c>
      <c r="B9" s="20">
        <v>120</v>
      </c>
      <c r="C9" s="20"/>
      <c r="D9" s="20"/>
      <c r="E9" s="20"/>
      <c r="F9" s="20">
        <v>30</v>
      </c>
      <c r="G9" s="20"/>
      <c r="H9" s="20"/>
      <c r="I9" s="20"/>
      <c r="J9" s="20"/>
      <c r="K9" s="1"/>
    </row>
    <row r="10" spans="1:11" x14ac:dyDescent="0.25">
      <c r="A10" s="20">
        <v>260</v>
      </c>
      <c r="B10" s="20">
        <v>260</v>
      </c>
      <c r="C10" s="20"/>
      <c r="D10" s="20"/>
      <c r="E10" s="20"/>
      <c r="F10" s="20">
        <v>130</v>
      </c>
      <c r="G10" s="20"/>
      <c r="H10" s="20"/>
      <c r="I10" s="20"/>
      <c r="J10" s="20"/>
      <c r="K10" s="1"/>
    </row>
    <row r="11" spans="1:11" x14ac:dyDescent="0.25">
      <c r="A11" s="20">
        <v>550</v>
      </c>
      <c r="B11" s="20">
        <v>550</v>
      </c>
      <c r="C11" s="20"/>
      <c r="D11" s="20"/>
      <c r="E11" s="20"/>
      <c r="F11" s="20">
        <v>250</v>
      </c>
      <c r="G11" s="20"/>
      <c r="H11" s="20"/>
      <c r="I11" s="20"/>
      <c r="J11" s="20"/>
      <c r="K11" s="1"/>
    </row>
    <row r="12" spans="1:11" x14ac:dyDescent="0.25">
      <c r="A12" s="20">
        <v>50</v>
      </c>
      <c r="B12" s="20"/>
      <c r="C12" s="20"/>
      <c r="D12" s="20">
        <v>0</v>
      </c>
      <c r="E12" s="20"/>
      <c r="F12" s="20"/>
      <c r="G12" s="20"/>
      <c r="H12" s="20"/>
      <c r="I12" s="20"/>
      <c r="J12" s="20"/>
      <c r="K12" s="1"/>
    </row>
    <row r="13" spans="1:11" x14ac:dyDescent="0.25">
      <c r="A13" s="20">
        <v>50</v>
      </c>
      <c r="B13" s="20"/>
      <c r="C13" s="20"/>
      <c r="D13" s="20">
        <v>30</v>
      </c>
      <c r="E13" s="20"/>
      <c r="F13" s="20"/>
      <c r="G13" s="20"/>
      <c r="H13" s="20"/>
      <c r="I13" s="20"/>
      <c r="J13" s="20"/>
      <c r="K13" s="1"/>
    </row>
    <row r="14" spans="1:11" x14ac:dyDescent="0.25">
      <c r="A14" s="20">
        <v>170</v>
      </c>
      <c r="B14" s="20"/>
      <c r="C14" s="20"/>
      <c r="D14" s="20">
        <v>145</v>
      </c>
      <c r="E14" s="20"/>
      <c r="F14" s="20"/>
      <c r="G14" s="20"/>
      <c r="H14" s="20"/>
      <c r="I14" s="20"/>
      <c r="J14" s="20"/>
      <c r="K14" s="1"/>
    </row>
    <row r="15" spans="1:11" x14ac:dyDescent="0.25">
      <c r="A15" s="20">
        <v>385</v>
      </c>
      <c r="B15" s="20"/>
      <c r="C15" s="20"/>
      <c r="D15" s="20">
        <v>300</v>
      </c>
      <c r="E15" s="20"/>
      <c r="F15" s="20"/>
      <c r="G15" s="20"/>
      <c r="H15" s="20"/>
      <c r="I15" s="20"/>
      <c r="J15" s="20"/>
      <c r="K15" s="1"/>
    </row>
    <row r="16" spans="1:11" x14ac:dyDescent="0.25">
      <c r="A16" s="20">
        <v>550</v>
      </c>
      <c r="B16" s="20"/>
      <c r="C16" s="20"/>
      <c r="D16" s="20">
        <v>450</v>
      </c>
      <c r="E16" s="20"/>
      <c r="F16" s="20"/>
      <c r="G16" s="20"/>
      <c r="H16" s="20"/>
      <c r="I16" s="20"/>
      <c r="J16" s="20"/>
      <c r="K16" s="1"/>
    </row>
    <row r="17" spans="1:11" x14ac:dyDescent="0.25">
      <c r="A17" s="20">
        <v>0</v>
      </c>
      <c r="B17" s="20"/>
      <c r="C17" s="20"/>
      <c r="D17" s="20"/>
      <c r="E17" s="20">
        <v>60</v>
      </c>
      <c r="F17" s="20"/>
      <c r="G17" s="20"/>
      <c r="H17" s="20"/>
      <c r="I17" s="20"/>
      <c r="J17" s="20"/>
      <c r="K17" s="1"/>
    </row>
    <row r="18" spans="1:11" x14ac:dyDescent="0.25">
      <c r="A18" s="20">
        <v>30</v>
      </c>
      <c r="B18" s="20"/>
      <c r="C18" s="20"/>
      <c r="D18" s="20"/>
      <c r="E18" s="20">
        <v>60</v>
      </c>
      <c r="F18" s="20"/>
      <c r="G18" s="20"/>
      <c r="H18" s="20"/>
      <c r="I18" s="20"/>
      <c r="J18" s="20"/>
      <c r="K18" s="1"/>
    </row>
    <row r="19" spans="1:11" x14ac:dyDescent="0.25">
      <c r="A19" s="20">
        <v>50</v>
      </c>
      <c r="B19" s="20"/>
      <c r="C19" s="20"/>
      <c r="D19" s="20"/>
      <c r="E19" s="20">
        <v>80</v>
      </c>
      <c r="F19" s="20"/>
      <c r="G19" s="20"/>
      <c r="H19" s="20"/>
      <c r="I19" s="20"/>
      <c r="J19" s="20"/>
      <c r="K19" s="1"/>
    </row>
    <row r="20" spans="1:11" x14ac:dyDescent="0.25">
      <c r="A20" s="20">
        <v>70</v>
      </c>
      <c r="B20" s="20"/>
      <c r="C20" s="20"/>
      <c r="D20" s="20"/>
      <c r="E20" s="20">
        <v>110</v>
      </c>
      <c r="F20" s="20"/>
      <c r="G20" s="20"/>
      <c r="H20" s="20"/>
      <c r="I20" s="20"/>
      <c r="J20" s="20"/>
      <c r="K20" s="1"/>
    </row>
    <row r="21" spans="1:11" x14ac:dyDescent="0.25">
      <c r="A21" s="20">
        <v>260</v>
      </c>
      <c r="B21" s="20"/>
      <c r="C21" s="20"/>
      <c r="D21" s="20"/>
      <c r="E21" s="20">
        <v>550</v>
      </c>
      <c r="F21" s="20"/>
      <c r="G21" s="20"/>
      <c r="H21" s="20"/>
      <c r="I21" s="20"/>
      <c r="J21" s="20"/>
      <c r="K21" s="1"/>
    </row>
    <row r="22" spans="1:11" x14ac:dyDescent="0.25">
      <c r="A22" s="20">
        <v>250</v>
      </c>
      <c r="B22" s="20"/>
      <c r="C22" s="20"/>
      <c r="D22" s="20"/>
      <c r="E22" s="20"/>
      <c r="F22" s="20"/>
      <c r="G22" s="20"/>
      <c r="H22" s="20">
        <v>0</v>
      </c>
      <c r="I22" s="20"/>
      <c r="J22" s="20"/>
      <c r="K22" s="1"/>
    </row>
    <row r="23" spans="1:11" x14ac:dyDescent="0.25">
      <c r="A23" s="20">
        <v>250</v>
      </c>
      <c r="B23" s="20"/>
      <c r="C23" s="20"/>
      <c r="D23" s="20"/>
      <c r="E23" s="20"/>
      <c r="F23" s="20"/>
      <c r="G23" s="20"/>
      <c r="H23" s="20">
        <v>40</v>
      </c>
      <c r="I23" s="20"/>
      <c r="J23" s="20"/>
      <c r="K23" s="1"/>
    </row>
    <row r="24" spans="1:11" x14ac:dyDescent="0.25">
      <c r="A24" s="20">
        <v>550</v>
      </c>
      <c r="B24" s="20"/>
      <c r="C24" s="20"/>
      <c r="D24" s="20"/>
      <c r="E24" s="20"/>
      <c r="F24" s="20"/>
      <c r="G24" s="20"/>
      <c r="H24" s="20">
        <v>150</v>
      </c>
      <c r="I24" s="20"/>
      <c r="J24" s="20"/>
      <c r="K24" s="1"/>
    </row>
    <row r="25" spans="1:11" x14ac:dyDescent="0.25">
      <c r="A25" s="20">
        <v>0</v>
      </c>
      <c r="B25" s="20"/>
      <c r="C25" s="20"/>
      <c r="D25" s="20"/>
      <c r="E25" s="20"/>
      <c r="F25" s="20"/>
      <c r="G25" s="20">
        <v>100</v>
      </c>
      <c r="H25" s="20"/>
      <c r="I25" s="20"/>
      <c r="J25" s="20"/>
      <c r="K25" s="1"/>
    </row>
    <row r="26" spans="1:11" x14ac:dyDescent="0.25">
      <c r="A26" s="20">
        <v>25</v>
      </c>
      <c r="B26" s="20"/>
      <c r="C26" s="20"/>
      <c r="D26" s="20"/>
      <c r="E26" s="20"/>
      <c r="F26" s="20"/>
      <c r="G26" s="20">
        <v>100</v>
      </c>
      <c r="H26" s="20"/>
      <c r="I26" s="20"/>
      <c r="J26" s="20"/>
      <c r="K26" s="1"/>
    </row>
    <row r="27" spans="1:11" x14ac:dyDescent="0.25">
      <c r="A27" s="20">
        <v>50</v>
      </c>
      <c r="B27" s="20"/>
      <c r="C27" s="20"/>
      <c r="D27" s="20"/>
      <c r="E27" s="20"/>
      <c r="F27" s="20"/>
      <c r="G27" s="20">
        <v>125</v>
      </c>
      <c r="H27" s="20"/>
      <c r="I27" s="20"/>
      <c r="J27" s="20"/>
      <c r="K27" s="1"/>
    </row>
    <row r="28" spans="1:11" x14ac:dyDescent="0.25">
      <c r="A28" s="20">
        <v>80</v>
      </c>
      <c r="B28" s="20"/>
      <c r="C28" s="20"/>
      <c r="D28" s="20"/>
      <c r="E28" s="20"/>
      <c r="F28" s="20"/>
      <c r="G28" s="20">
        <v>215</v>
      </c>
      <c r="H28" s="20"/>
      <c r="I28" s="20"/>
      <c r="J28" s="20"/>
      <c r="K28" s="1"/>
    </row>
    <row r="29" spans="1:11" x14ac:dyDescent="0.25">
      <c r="A29" s="20">
        <v>125</v>
      </c>
      <c r="B29" s="20"/>
      <c r="C29" s="20"/>
      <c r="D29" s="20"/>
      <c r="E29" s="20"/>
      <c r="F29" s="20"/>
      <c r="G29" s="20">
        <v>550</v>
      </c>
      <c r="H29" s="20"/>
      <c r="I29" s="20"/>
      <c r="J29" s="20"/>
      <c r="K29" s="1"/>
    </row>
    <row r="30" spans="1:11" x14ac:dyDescent="0.25">
      <c r="A30" s="20">
        <v>0</v>
      </c>
      <c r="B30" s="20"/>
      <c r="C30" s="20"/>
      <c r="D30" s="20"/>
      <c r="E30" s="20"/>
      <c r="F30" s="20"/>
      <c r="G30" s="20"/>
      <c r="H30" s="20"/>
      <c r="I30" s="20">
        <v>150</v>
      </c>
      <c r="J30" s="20"/>
      <c r="K30" s="1"/>
    </row>
    <row r="31" spans="1:11" x14ac:dyDescent="0.25">
      <c r="A31" s="20">
        <v>35</v>
      </c>
      <c r="B31" s="20"/>
      <c r="C31" s="20"/>
      <c r="D31" s="20"/>
      <c r="E31" s="20"/>
      <c r="F31" s="20"/>
      <c r="G31" s="20"/>
      <c r="H31" s="20"/>
      <c r="I31" s="20">
        <v>155</v>
      </c>
      <c r="J31" s="20"/>
      <c r="K31" s="1"/>
    </row>
    <row r="32" spans="1:11" x14ac:dyDescent="0.25">
      <c r="A32" s="20">
        <v>50</v>
      </c>
      <c r="B32" s="20"/>
      <c r="C32" s="20"/>
      <c r="D32" s="20"/>
      <c r="E32" s="20"/>
      <c r="F32" s="20"/>
      <c r="G32" s="20"/>
      <c r="H32" s="20"/>
      <c r="I32" s="20">
        <v>550</v>
      </c>
      <c r="J32" s="20"/>
      <c r="K32" s="1"/>
    </row>
    <row r="33" spans="1:11" x14ac:dyDescent="0.25">
      <c r="A33" s="20">
        <v>0</v>
      </c>
      <c r="B33" s="20"/>
      <c r="C33" s="20"/>
      <c r="D33" s="20"/>
      <c r="E33" s="20"/>
      <c r="F33" s="20"/>
      <c r="G33" s="20"/>
      <c r="H33" s="20"/>
      <c r="I33" s="20"/>
      <c r="J33" s="20">
        <v>0</v>
      </c>
      <c r="K33" s="1"/>
    </row>
    <row r="34" spans="1:11" x14ac:dyDescent="0.25">
      <c r="A34" s="20">
        <v>550</v>
      </c>
      <c r="B34" s="20"/>
      <c r="C34" s="20"/>
      <c r="D34" s="20"/>
      <c r="E34" s="20"/>
      <c r="F34" s="20"/>
      <c r="G34" s="20"/>
      <c r="H34" s="20"/>
      <c r="I34" s="20"/>
      <c r="J34" s="20">
        <v>550</v>
      </c>
      <c r="K34" s="1"/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opLeftCell="A10" workbookViewId="0">
      <selection activeCell="G20" sqref="G20"/>
    </sheetView>
  </sheetViews>
  <sheetFormatPr defaultRowHeight="16.5" x14ac:dyDescent="0.25"/>
  <cols>
    <col min="1" max="1" width="8.75" bestFit="1" customWidth="1"/>
    <col min="2" max="2" width="12.25" bestFit="1" customWidth="1"/>
    <col min="3" max="3" width="12.125" bestFit="1" customWidth="1"/>
    <col min="4" max="4" width="12.25" bestFit="1" customWidth="1"/>
    <col min="5" max="5" width="12.125" bestFit="1" customWidth="1"/>
    <col min="6" max="6" width="12.375" bestFit="1" customWidth="1"/>
    <col min="7" max="7" width="12.25" bestFit="1" customWidth="1"/>
    <col min="8" max="8" width="12.125" bestFit="1" customWidth="1"/>
    <col min="9" max="9" width="11.875" bestFit="1" customWidth="1"/>
  </cols>
  <sheetData>
    <row r="1" spans="1:9" x14ac:dyDescent="0.25">
      <c r="A1" s="1" t="s">
        <v>4</v>
      </c>
      <c r="B1" s="1" t="s">
        <v>5</v>
      </c>
      <c r="C1" s="1"/>
      <c r="D1" s="1"/>
      <c r="E1" s="1"/>
      <c r="F1" s="1"/>
      <c r="G1" s="1"/>
      <c r="H1" s="1"/>
      <c r="I1" s="1"/>
    </row>
    <row r="2" spans="1:9" x14ac:dyDescent="0.25">
      <c r="A2" s="20" t="s">
        <v>6</v>
      </c>
      <c r="B2" s="20" t="s">
        <v>10</v>
      </c>
      <c r="C2" s="20" t="s">
        <v>11</v>
      </c>
      <c r="D2" s="20" t="s">
        <v>12</v>
      </c>
      <c r="E2" s="20" t="s">
        <v>13</v>
      </c>
      <c r="F2" s="20" t="s">
        <v>14</v>
      </c>
      <c r="G2" s="20" t="s">
        <v>15</v>
      </c>
      <c r="H2" s="20" t="s">
        <v>16</v>
      </c>
      <c r="I2" s="20" t="s">
        <v>2</v>
      </c>
    </row>
    <row r="3" spans="1:9" x14ac:dyDescent="0.25">
      <c r="A3" s="20">
        <v>0</v>
      </c>
      <c r="B3" s="20">
        <v>50</v>
      </c>
      <c r="C3" s="20"/>
      <c r="D3" s="20">
        <v>60</v>
      </c>
      <c r="E3" s="20"/>
      <c r="F3" s="20">
        <v>100</v>
      </c>
      <c r="G3" s="20"/>
      <c r="H3" s="20">
        <v>150</v>
      </c>
      <c r="I3" s="20">
        <v>0</v>
      </c>
    </row>
    <row r="4" spans="1:9" x14ac:dyDescent="0.25">
      <c r="A4" s="20">
        <v>25</v>
      </c>
      <c r="B4" s="20"/>
      <c r="C4" s="20"/>
      <c r="D4" s="20"/>
      <c r="E4" s="20"/>
      <c r="F4" s="20">
        <v>100</v>
      </c>
      <c r="G4" s="20"/>
      <c r="H4" s="20"/>
      <c r="I4" s="20"/>
    </row>
    <row r="5" spans="1:9" x14ac:dyDescent="0.25">
      <c r="A5" s="20">
        <v>30</v>
      </c>
      <c r="B5" s="20">
        <v>50</v>
      </c>
      <c r="C5" s="20"/>
      <c r="D5" s="20">
        <v>60</v>
      </c>
      <c r="E5" s="20"/>
      <c r="F5" s="20"/>
      <c r="G5" s="20"/>
      <c r="H5" s="20"/>
      <c r="I5" s="20"/>
    </row>
    <row r="6" spans="1:9" x14ac:dyDescent="0.25">
      <c r="A6" s="20">
        <v>35</v>
      </c>
      <c r="B6" s="20"/>
      <c r="C6" s="20"/>
      <c r="D6" s="20"/>
      <c r="E6" s="20"/>
      <c r="F6" s="20"/>
      <c r="G6" s="20"/>
      <c r="H6" s="20">
        <v>155</v>
      </c>
      <c r="I6" s="20"/>
    </row>
    <row r="7" spans="1:9" x14ac:dyDescent="0.25">
      <c r="A7" s="20">
        <v>50</v>
      </c>
      <c r="B7" s="20"/>
      <c r="C7" s="20">
        <v>0</v>
      </c>
      <c r="D7" s="20"/>
      <c r="E7" s="20"/>
      <c r="F7" s="20"/>
      <c r="G7" s="20"/>
      <c r="H7" s="20"/>
      <c r="I7" s="20"/>
    </row>
    <row r="8" spans="1:9" x14ac:dyDescent="0.25">
      <c r="A8" s="20">
        <v>50</v>
      </c>
      <c r="B8" s="20"/>
      <c r="C8" s="20">
        <v>30</v>
      </c>
      <c r="D8" s="20">
        <v>80</v>
      </c>
      <c r="E8" s="20"/>
      <c r="F8" s="20">
        <v>125</v>
      </c>
      <c r="G8" s="20"/>
      <c r="H8" s="20">
        <v>550</v>
      </c>
      <c r="I8" s="20"/>
    </row>
    <row r="9" spans="1:9" x14ac:dyDescent="0.25">
      <c r="A9" s="20">
        <v>70</v>
      </c>
      <c r="B9" s="20"/>
      <c r="C9" s="20"/>
      <c r="D9" s="20">
        <v>110</v>
      </c>
      <c r="E9" s="20"/>
      <c r="F9" s="20"/>
      <c r="G9" s="20"/>
      <c r="H9" s="20"/>
      <c r="I9" s="20"/>
    </row>
    <row r="10" spans="1:9" x14ac:dyDescent="0.25">
      <c r="A10" s="20">
        <v>80</v>
      </c>
      <c r="B10" s="20"/>
      <c r="C10" s="20"/>
      <c r="D10" s="20"/>
      <c r="E10" s="20"/>
      <c r="F10" s="20">
        <v>215</v>
      </c>
      <c r="G10" s="20"/>
      <c r="H10" s="20"/>
      <c r="I10" s="20"/>
    </row>
    <row r="11" spans="1:9" x14ac:dyDescent="0.25">
      <c r="A11" s="20">
        <v>140</v>
      </c>
      <c r="B11" s="20">
        <v>170</v>
      </c>
      <c r="C11" s="20"/>
      <c r="D11" s="20"/>
      <c r="E11" s="20"/>
      <c r="F11" s="20"/>
      <c r="G11" s="20"/>
      <c r="H11" s="20"/>
      <c r="I11" s="20"/>
    </row>
    <row r="12" spans="1:9" x14ac:dyDescent="0.25">
      <c r="A12" s="20">
        <v>120</v>
      </c>
      <c r="B12" s="20"/>
      <c r="C12" s="20"/>
      <c r="D12" s="20"/>
      <c r="E12" s="20">
        <v>0</v>
      </c>
      <c r="F12" s="20"/>
      <c r="G12" s="20"/>
      <c r="H12" s="20"/>
      <c r="I12" s="20"/>
    </row>
    <row r="13" spans="1:9" x14ac:dyDescent="0.25">
      <c r="A13" s="20">
        <v>120</v>
      </c>
      <c r="B13" s="20"/>
      <c r="C13" s="20"/>
      <c r="D13" s="20"/>
      <c r="E13" s="20">
        <v>30</v>
      </c>
      <c r="F13" s="20"/>
      <c r="G13" s="20"/>
      <c r="H13" s="20"/>
      <c r="I13" s="20"/>
    </row>
    <row r="14" spans="1:9" x14ac:dyDescent="0.25">
      <c r="A14" s="20">
        <v>125</v>
      </c>
      <c r="B14" s="20"/>
      <c r="C14" s="20"/>
      <c r="D14" s="20"/>
      <c r="E14" s="20"/>
      <c r="F14" s="20">
        <v>550</v>
      </c>
      <c r="G14" s="20"/>
      <c r="H14" s="20"/>
      <c r="I14" s="20"/>
    </row>
    <row r="15" spans="1:9" x14ac:dyDescent="0.25">
      <c r="A15" s="20">
        <v>170</v>
      </c>
      <c r="B15" s="20"/>
      <c r="C15" s="20">
        <v>145</v>
      </c>
      <c r="D15" s="20"/>
      <c r="E15" s="20"/>
      <c r="F15" s="20"/>
      <c r="G15" s="20"/>
      <c r="H15" s="20"/>
      <c r="I15" s="20"/>
    </row>
    <row r="16" spans="1:9" x14ac:dyDescent="0.25">
      <c r="A16" s="20">
        <v>250</v>
      </c>
      <c r="B16" s="20"/>
      <c r="C16" s="20"/>
      <c r="D16" s="20"/>
      <c r="E16" s="20"/>
      <c r="F16" s="20"/>
      <c r="G16" s="20">
        <v>0</v>
      </c>
      <c r="H16" s="20"/>
      <c r="I16" s="20"/>
    </row>
    <row r="17" spans="1:9" x14ac:dyDescent="0.25">
      <c r="A17" s="20">
        <v>250</v>
      </c>
      <c r="B17" s="20"/>
      <c r="C17" s="20"/>
      <c r="D17" s="20"/>
      <c r="E17" s="20"/>
      <c r="F17" s="20"/>
      <c r="G17" s="20">
        <v>40</v>
      </c>
      <c r="H17" s="20"/>
      <c r="I17" s="20"/>
    </row>
    <row r="18" spans="1:9" x14ac:dyDescent="0.25">
      <c r="A18" s="20">
        <v>260</v>
      </c>
      <c r="B18" s="20"/>
      <c r="C18" s="20"/>
      <c r="D18" s="20">
        <v>550</v>
      </c>
      <c r="E18" s="20">
        <v>130</v>
      </c>
      <c r="F18" s="20"/>
      <c r="G18" s="20"/>
      <c r="H18" s="20"/>
      <c r="I18" s="20"/>
    </row>
    <row r="19" spans="1:9" x14ac:dyDescent="0.25">
      <c r="A19" s="20">
        <v>280</v>
      </c>
      <c r="B19" s="20">
        <v>380</v>
      </c>
      <c r="C19" s="20"/>
      <c r="D19" s="20"/>
      <c r="E19" s="20"/>
      <c r="F19" s="20"/>
      <c r="G19" s="20"/>
      <c r="H19" s="20"/>
      <c r="I19" s="20"/>
    </row>
    <row r="20" spans="1:9" x14ac:dyDescent="0.25">
      <c r="A20" s="20">
        <v>385</v>
      </c>
      <c r="B20" s="20"/>
      <c r="C20" s="20">
        <v>300</v>
      </c>
      <c r="D20" s="20"/>
      <c r="E20" s="20"/>
      <c r="F20" s="20"/>
      <c r="G20" s="20"/>
      <c r="H20" s="20"/>
      <c r="I20" s="20"/>
    </row>
    <row r="21" spans="1:9" x14ac:dyDescent="0.25">
      <c r="A21" s="20">
        <v>430</v>
      </c>
      <c r="B21" s="20">
        <v>550</v>
      </c>
      <c r="C21" s="20"/>
      <c r="D21" s="20"/>
      <c r="E21" s="20"/>
      <c r="F21" s="20"/>
      <c r="G21" s="20"/>
      <c r="H21" s="20"/>
      <c r="I21" s="20"/>
    </row>
    <row r="22" spans="1:9" x14ac:dyDescent="0.25">
      <c r="A22" s="20">
        <v>550</v>
      </c>
      <c r="B22" s="20"/>
      <c r="C22" s="20">
        <v>450</v>
      </c>
      <c r="D22" s="20"/>
      <c r="E22" s="20">
        <v>250</v>
      </c>
      <c r="F22" s="20"/>
      <c r="G22" s="20">
        <v>150</v>
      </c>
      <c r="H22" s="20"/>
      <c r="I22" s="20">
        <v>550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tester C</vt:lpstr>
      <vt:lpstr>tester A</vt:lpstr>
      <vt:lpstr>乘DC</vt:lpstr>
      <vt:lpstr>20  feature-with Elky</vt:lpstr>
      <vt:lpstr>20  feature-with Elky (2)</vt:lpstr>
      <vt:lpstr>EGA (mmol per L)</vt:lpstr>
      <vt:lpstr>工作表1</vt:lpstr>
      <vt:lpstr>工作表2</vt:lpstr>
    </vt:vector>
  </TitlesOfParts>
  <Company>Delta Electronics,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Delta User</dc:creator>
  <cp:lastModifiedBy>RICHARD.WENG 翁志偉</cp:lastModifiedBy>
  <dcterms:created xsi:type="dcterms:W3CDTF">2014-11-19T10:40:42Z</dcterms:created>
  <dcterms:modified xsi:type="dcterms:W3CDTF">2018-12-26T11:26:22Z</dcterms:modified>
</cp:coreProperties>
</file>