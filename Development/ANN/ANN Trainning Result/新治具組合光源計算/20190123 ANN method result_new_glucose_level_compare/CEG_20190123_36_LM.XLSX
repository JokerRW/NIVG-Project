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activeTab="3"/>
  </bookViews>
  <sheets>
    <sheet name="tester C" sheetId="2" r:id="rId1"/>
    <sheet name="tester A" sheetId="5" r:id="rId2"/>
    <sheet name="乘DC" sheetId="4" r:id="rId3"/>
    <sheet name="20  feature-with Elky" sheetId="19" r:id="rId4"/>
    <sheet name="EGA (mmol per L)" sheetId="3" r:id="rId5"/>
    <sheet name="工作表1" sheetId="7" r:id="rId6"/>
    <sheet name="工作表2" sheetId="8" r:id="rId7"/>
  </sheets>
  <externalReferences>
    <externalReference r:id="rId8"/>
  </externalReferences>
  <calcPr calcId="162913"/>
</workbook>
</file>

<file path=xl/calcChain.xml><?xml version="1.0" encoding="utf-8"?>
<calcChain xmlns="http://schemas.openxmlformats.org/spreadsheetml/2006/main">
  <c r="S38" i="19" l="1"/>
  <c r="R38" i="19"/>
  <c r="T38" i="19"/>
  <c r="C39" i="19"/>
  <c r="C40" i="19"/>
  <c r="C41" i="19"/>
  <c r="C42" i="19"/>
  <c r="C43" i="19"/>
  <c r="C44" i="19"/>
  <c r="C45" i="19"/>
  <c r="C46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8" i="19"/>
  <c r="C309" i="19"/>
  <c r="C310" i="19"/>
  <c r="C311" i="19"/>
  <c r="C312" i="19"/>
  <c r="C313" i="19"/>
  <c r="C314" i="19"/>
  <c r="A39" i="19" l="1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A266" i="19"/>
  <c r="A267" i="19"/>
  <c r="A268" i="19"/>
  <c r="A269" i="19"/>
  <c r="A270" i="19"/>
  <c r="A271" i="19"/>
  <c r="A272" i="19"/>
  <c r="A273" i="19"/>
  <c r="A274" i="19"/>
  <c r="A275" i="19"/>
  <c r="A276" i="19"/>
  <c r="A277" i="19"/>
  <c r="A278" i="19"/>
  <c r="A279" i="19"/>
  <c r="A280" i="19"/>
  <c r="A281" i="19"/>
  <c r="A282" i="19"/>
  <c r="A283" i="19"/>
  <c r="A284" i="19"/>
  <c r="A285" i="19"/>
  <c r="A286" i="19"/>
  <c r="A287" i="19"/>
  <c r="A288" i="19"/>
  <c r="A289" i="19"/>
  <c r="A290" i="19"/>
  <c r="A291" i="19"/>
  <c r="A292" i="19"/>
  <c r="A293" i="19"/>
  <c r="A294" i="19"/>
  <c r="A295" i="19"/>
  <c r="A296" i="19"/>
  <c r="A297" i="19"/>
  <c r="A298" i="19"/>
  <c r="A299" i="19"/>
  <c r="A300" i="19"/>
  <c r="A301" i="19"/>
  <c r="A302" i="19"/>
  <c r="A303" i="19"/>
  <c r="A304" i="19"/>
  <c r="A305" i="19"/>
  <c r="A306" i="19"/>
  <c r="A307" i="19"/>
  <c r="A308" i="19"/>
  <c r="A309" i="19"/>
  <c r="A310" i="19"/>
  <c r="A311" i="19"/>
  <c r="A312" i="19"/>
  <c r="A313" i="19"/>
  <c r="A314" i="19"/>
  <c r="G219" i="19" l="1"/>
  <c r="G218" i="19"/>
  <c r="G217" i="19"/>
  <c r="G216" i="19"/>
  <c r="G215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A38" i="19"/>
  <c r="C38" i="19" s="1"/>
  <c r="G38" i="19" l="1"/>
  <c r="R39" i="19"/>
  <c r="S39" i="19"/>
  <c r="T39" i="19" l="1"/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<sst xmlns="http://schemas.openxmlformats.org/spreadsheetml/2006/main" count="313" uniqueCount="73">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</sst>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'20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Elky'!$E$38:$E$500</c:f>
              <c:numCache>
                <c:formatCode>General</c:formatCode>
                <c:ptCount val="463"/>
                <c:pt idx="0">
                  <c:v>111.73265897042</c:v>
                </c:pt>
                <c:pt idx="1">
                  <c:v>148.35626940302299</c:v>
                </c:pt>
                <c:pt idx="2">
                  <c:v>156.65325528929199</c:v>
                </c:pt>
                <c:pt idx="3">
                  <c:v>138.56982361505001</c:v>
                </c:pt>
                <c:pt idx="4">
                  <c:v>95.797363128789797</c:v>
                </c:pt>
                <c:pt idx="5">
                  <c:v>105.67562640049501</c:v>
                </c:pt>
                <c:pt idx="6">
                  <c:v>91.980020417785994</c:v>
                </c:pt>
                <c:pt idx="7">
                  <c:v>104.129252447393</c:v>
                </c:pt>
                <c:pt idx="8">
                  <c:v>112.79865511409101</c:v>
                </c:pt>
                <c:pt idx="10">
                  <c:v>109.740080878036</c:v>
                </c:pt>
                <c:pt idx="11">
                  <c:v>125.71923657476999</c:v>
                </c:pt>
                <c:pt idx="12">
                  <c:v>104.838267043136</c:v>
                </c:pt>
                <c:pt idx="13">
                  <c:v>112.48304944445</c:v>
                </c:pt>
                <c:pt idx="14">
                  <c:v>102.983713450078</c:v>
                </c:pt>
                <c:pt idx="15">
                  <c:v>125.83400821273899</c:v>
                </c:pt>
                <c:pt idx="16">
                  <c:v>109.11749839194</c:v>
                </c:pt>
                <c:pt idx="17">
                  <c:v>137.47278135182299</c:v>
                </c:pt>
                <c:pt idx="18">
                  <c:v>108.255255775026</c:v>
                </c:pt>
                <c:pt idx="19">
                  <c:v>103.85013593428801</c:v>
                </c:pt>
                <c:pt idx="20">
                  <c:v>106.51619616196599</c:v>
                </c:pt>
                <c:pt idx="21">
                  <c:v>145.08603321627001</c:v>
                </c:pt>
                <c:pt idx="22">
                  <c:v>126.912810707017</c:v>
                </c:pt>
                <c:pt idx="23">
                  <c:v>140.051568604338</c:v>
                </c:pt>
                <c:pt idx="24">
                  <c:v>222.508515540849</c:v>
                </c:pt>
                <c:pt idx="25">
                  <c:v>200.48270122636399</c:v>
                </c:pt>
                <c:pt idx="26">
                  <c:v>207.26129457442499</c:v>
                </c:pt>
                <c:pt idx="27">
                  <c:v>219.711464749431</c:v>
                </c:pt>
                <c:pt idx="28">
                  <c:v>397.92699465987403</c:v>
                </c:pt>
                <c:pt idx="29">
                  <c:v>99.155275742304099</c:v>
                </c:pt>
                <c:pt idx="30">
                  <c:v>162.65594284541399</c:v>
                </c:pt>
                <c:pt idx="31">
                  <c:v>144.842384367866</c:v>
                </c:pt>
                <c:pt idx="32">
                  <c:v>137.93415143584301</c:v>
                </c:pt>
                <c:pt idx="33">
                  <c:v>118.33937223037699</c:v>
                </c:pt>
                <c:pt idx="34">
                  <c:v>167.13035114356501</c:v>
                </c:pt>
                <c:pt idx="35">
                  <c:v>180.87098326503599</c:v>
                </c:pt>
                <c:pt idx="36">
                  <c:v>129.85238965192701</c:v>
                </c:pt>
                <c:pt idx="37">
                  <c:v>108.99392953188099</c:v>
                </c:pt>
                <c:pt idx="38">
                  <c:v>147.67612463174299</c:v>
                </c:pt>
                <c:pt idx="39">
                  <c:v>167.93629714166599</c:v>
                </c:pt>
                <c:pt idx="40">
                  <c:v>136.96078130393801</c:v>
                </c:pt>
                <c:pt idx="41">
                  <c:v>216.47649006773099</c:v>
                </c:pt>
                <c:pt idx="42">
                  <c:v>209.571380026035</c:v>
                </c:pt>
                <c:pt idx="43">
                  <c:v>223.058207551132</c:v>
                </c:pt>
                <c:pt idx="44">
                  <c:v>240.29011573301699</c:v>
                </c:pt>
                <c:pt idx="45">
                  <c:v>194.92080384403101</c:v>
                </c:pt>
                <c:pt idx="46">
                  <c:v>202.514516474956</c:v>
                </c:pt>
                <c:pt idx="47">
                  <c:v>157.29298842064699</c:v>
                </c:pt>
                <c:pt idx="48">
                  <c:v>99.733567018257801</c:v>
                </c:pt>
                <c:pt idx="49">
                  <c:v>148.64408958625401</c:v>
                </c:pt>
                <c:pt idx="50">
                  <c:v>129.60626885875001</c:v>
                </c:pt>
                <c:pt idx="51">
                  <c:v>124.854903950375</c:v>
                </c:pt>
                <c:pt idx="52">
                  <c:v>89.187651200267595</c:v>
                </c:pt>
                <c:pt idx="53">
                  <c:v>144.76024435513901</c:v>
                </c:pt>
                <c:pt idx="54">
                  <c:v>176.21574328341899</c:v>
                </c:pt>
                <c:pt idx="55">
                  <c:v>135.03239143189401</c:v>
                </c:pt>
                <c:pt idx="56">
                  <c:v>116.29853549561599</c:v>
                </c:pt>
                <c:pt idx="57">
                  <c:v>114.69352241326899</c:v>
                </c:pt>
                <c:pt idx="58">
                  <c:v>127.57607125117801</c:v>
                </c:pt>
                <c:pt idx="59">
                  <c:v>121.459857040163</c:v>
                </c:pt>
                <c:pt idx="60">
                  <c:v>113.381621880225</c:v>
                </c:pt>
                <c:pt idx="61">
                  <c:v>114.206757665802</c:v>
                </c:pt>
                <c:pt idx="62">
                  <c:v>112.388630973308</c:v>
                </c:pt>
                <c:pt idx="63">
                  <c:v>119.879135393403</c:v>
                </c:pt>
                <c:pt idx="64">
                  <c:v>126.021025656204</c:v>
                </c:pt>
                <c:pt idx="65">
                  <c:v>152.54649733667699</c:v>
                </c:pt>
                <c:pt idx="66">
                  <c:v>214.248261050308</c:v>
                </c:pt>
                <c:pt idx="67">
                  <c:v>180.10021078528999</c:v>
                </c:pt>
                <c:pt idx="68">
                  <c:v>165.12900227211799</c:v>
                </c:pt>
                <c:pt idx="69">
                  <c:v>185.91136011527499</c:v>
                </c:pt>
                <c:pt idx="70">
                  <c:v>197.716757069766</c:v>
                </c:pt>
                <c:pt idx="71">
                  <c:v>187.169775736356</c:v>
                </c:pt>
                <c:pt idx="72">
                  <c:v>193.632344078302</c:v>
                </c:pt>
                <c:pt idx="73">
                  <c:v>195.044025599755</c:v>
                </c:pt>
                <c:pt idx="74">
                  <c:v>196.409907449662</c:v>
                </c:pt>
                <c:pt idx="75">
                  <c:v>214.089697398281</c:v>
                </c:pt>
                <c:pt idx="76">
                  <c:v>202.06693194372599</c:v>
                </c:pt>
                <c:pt idx="77">
                  <c:v>147.181166158309</c:v>
                </c:pt>
                <c:pt idx="78">
                  <c:v>154.14013855101501</c:v>
                </c:pt>
                <c:pt idx="79">
                  <c:v>198.86324120653001</c:v>
                </c:pt>
                <c:pt idx="80">
                  <c:v>223.705055827183</c:v>
                </c:pt>
                <c:pt idx="81">
                  <c:v>187.58382513951</c:v>
                </c:pt>
                <c:pt idx="82">
                  <c:v>230.918484021203</c:v>
                </c:pt>
                <c:pt idx="83">
                  <c:v>196.73663354538201</c:v>
                </c:pt>
                <c:pt idx="84">
                  <c:v>231.71973338346501</c:v>
                </c:pt>
                <c:pt idx="85">
                  <c:v>100.741173373081</c:v>
                </c:pt>
                <c:pt idx="86">
                  <c:v>112.071895647323</c:v>
                </c:pt>
                <c:pt idx="87">
                  <c:v>88.923053782551705</c:v>
                </c:pt>
                <c:pt idx="88">
                  <c:v>123.05212346566501</c:v>
                </c:pt>
                <c:pt idx="89">
                  <c:v>114.640723103959</c:v>
                </c:pt>
                <c:pt idx="90">
                  <c:v>120.542323997799</c:v>
                </c:pt>
                <c:pt idx="91">
                  <c:v>120.574921840564</c:v>
                </c:pt>
                <c:pt idx="92">
                  <c:v>251.099428066336</c:v>
                </c:pt>
                <c:pt idx="93">
                  <c:v>263.35809695132502</c:v>
                </c:pt>
                <c:pt idx="94">
                  <c:v>260.01199250268002</c:v>
                </c:pt>
                <c:pt idx="95">
                  <c:v>225.58439229202401</c:v>
                </c:pt>
                <c:pt idx="96">
                  <c:v>229.74320137985299</c:v>
                </c:pt>
                <c:pt idx="97">
                  <c:v>251.62716997793899</c:v>
                </c:pt>
                <c:pt idx="98">
                  <c:v>144.58749929914899</c:v>
                </c:pt>
                <c:pt idx="99">
                  <c:v>158.62936273455</c:v>
                </c:pt>
                <c:pt idx="100">
                  <c:v>189.666042614753</c:v>
                </c:pt>
                <c:pt idx="101">
                  <c:v>161.97545797463599</c:v>
                </c:pt>
                <c:pt idx="102">
                  <c:v>96.706305968242802</c:v>
                </c:pt>
                <c:pt idx="103">
                  <c:v>142.01888666514699</c:v>
                </c:pt>
                <c:pt idx="104">
                  <c:v>146.090714402413</c:v>
                </c:pt>
                <c:pt idx="105">
                  <c:v>110.432737364546</c:v>
                </c:pt>
                <c:pt idx="106">
                  <c:v>134.650510692084</c:v>
                </c:pt>
                <c:pt idx="107">
                  <c:v>160.56220163578399</c:v>
                </c:pt>
                <c:pt idx="108">
                  <c:v>151.76143416278799</c:v>
                </c:pt>
                <c:pt idx="109">
                  <c:v>151.68649068775699</c:v>
                </c:pt>
                <c:pt idx="110">
                  <c:v>163.05736750336899</c:v>
                </c:pt>
                <c:pt idx="111">
                  <c:v>133.049122511229</c:v>
                </c:pt>
                <c:pt idx="112">
                  <c:v>137.80624307126399</c:v>
                </c:pt>
                <c:pt idx="113">
                  <c:v>121.727131946385</c:v>
                </c:pt>
                <c:pt idx="114">
                  <c:v>131.23239043381</c:v>
                </c:pt>
                <c:pt idx="115">
                  <c:v>151.77219792446701</c:v>
                </c:pt>
                <c:pt idx="116">
                  <c:v>136.95603805688</c:v>
                </c:pt>
                <c:pt idx="117">
                  <c:v>101.05865320613</c:v>
                </c:pt>
                <c:pt idx="118">
                  <c:v>139.83868667384101</c:v>
                </c:pt>
                <c:pt idx="119">
                  <c:v>104.89772276982799</c:v>
                </c:pt>
                <c:pt idx="120">
                  <c:v>92.647940943539098</c:v>
                </c:pt>
                <c:pt idx="121">
                  <c:v>96.904054735893993</c:v>
                </c:pt>
                <c:pt idx="122">
                  <c:v>93.537747295883094</c:v>
                </c:pt>
                <c:pt idx="123">
                  <c:v>102.26390504757499</c:v>
                </c:pt>
                <c:pt idx="124">
                  <c:v>109.905108196321</c:v>
                </c:pt>
                <c:pt idx="125">
                  <c:v>97.730897479636397</c:v>
                </c:pt>
                <c:pt idx="126">
                  <c:v>136.98012178730301</c:v>
                </c:pt>
                <c:pt idx="127">
                  <c:v>134.62122401736701</c:v>
                </c:pt>
                <c:pt idx="128">
                  <c:v>166.01232949546599</c:v>
                </c:pt>
                <c:pt idx="129">
                  <c:v>115.899797233819</c:v>
                </c:pt>
                <c:pt idx="130">
                  <c:v>185.05607624318301</c:v>
                </c:pt>
                <c:pt idx="131">
                  <c:v>125.425766432187</c:v>
                </c:pt>
                <c:pt idx="132">
                  <c:v>164.51716051047799</c:v>
                </c:pt>
                <c:pt idx="133">
                  <c:v>158.414587604058</c:v>
                </c:pt>
                <c:pt idx="134">
                  <c:v>124.147603936889</c:v>
                </c:pt>
                <c:pt idx="135">
                  <c:v>67.528778839877404</c:v>
                </c:pt>
                <c:pt idx="136">
                  <c:v>161.46651927389101</c:v>
                </c:pt>
                <c:pt idx="137">
                  <c:v>161.38467110612399</c:v>
                </c:pt>
                <c:pt idx="138">
                  <c:v>164.328708602744</c:v>
                </c:pt>
                <c:pt idx="139">
                  <c:v>101.741612801881</c:v>
                </c:pt>
                <c:pt idx="140">
                  <c:v>156.56106866109701</c:v>
                </c:pt>
                <c:pt idx="141">
                  <c:v>148.252954736215</c:v>
                </c:pt>
                <c:pt idx="142">
                  <c:v>127.476312682151</c:v>
                </c:pt>
                <c:pt idx="143">
                  <c:v>130.929403384235</c:v>
                </c:pt>
                <c:pt idx="144">
                  <c:v>129.84331452218501</c:v>
                </c:pt>
                <c:pt idx="145">
                  <c:v>113.74213369377</c:v>
                </c:pt>
                <c:pt idx="146">
                  <c:v>101.89141565012</c:v>
                </c:pt>
                <c:pt idx="147">
                  <c:v>114.916701498199</c:v>
                </c:pt>
                <c:pt idx="148">
                  <c:v>107.41168378912499</c:v>
                </c:pt>
                <c:pt idx="149">
                  <c:v>132.70484503463899</c:v>
                </c:pt>
                <c:pt idx="150">
                  <c:v>133.15287268695801</c:v>
                </c:pt>
                <c:pt idx="151">
                  <c:v>129.85422785199199</c:v>
                </c:pt>
                <c:pt idx="152">
                  <c:v>133.48913617192599</c:v>
                </c:pt>
                <c:pt idx="153">
                  <c:v>114.519546175724</c:v>
                </c:pt>
                <c:pt idx="154">
                  <c:v>111.611001556093</c:v>
                </c:pt>
                <c:pt idx="155">
                  <c:v>111.85950621624001</c:v>
                </c:pt>
                <c:pt idx="156">
                  <c:v>92.865092274934298</c:v>
                </c:pt>
                <c:pt idx="157">
                  <c:v>81.250268882350397</c:v>
                </c:pt>
                <c:pt idx="158">
                  <c:v>97.5849496082228</c:v>
                </c:pt>
                <c:pt idx="159">
                  <c:v>121.91239754172599</c:v>
                </c:pt>
                <c:pt idx="160">
                  <c:v>133.00629250820501</c:v>
                </c:pt>
                <c:pt idx="161">
                  <c:v>111.84464811261201</c:v>
                </c:pt>
                <c:pt idx="162">
                  <c:v>128.66492221417599</c:v>
                </c:pt>
                <c:pt idx="163">
                  <c:v>139.919063000552</c:v>
                </c:pt>
                <c:pt idx="164">
                  <c:v>154.15051133232001</c:v>
                </c:pt>
                <c:pt idx="165">
                  <c:v>100.733611995565</c:v>
                </c:pt>
                <c:pt idx="166">
                  <c:v>117.109669951645</c:v>
                </c:pt>
                <c:pt idx="167">
                  <c:v>124.250983614942</c:v>
                </c:pt>
                <c:pt idx="168">
                  <c:v>116.492724060813</c:v>
                </c:pt>
                <c:pt idx="169">
                  <c:v>142.14235967731699</c:v>
                </c:pt>
                <c:pt idx="170">
                  <c:v>132.046702373773</c:v>
                </c:pt>
                <c:pt idx="171">
                  <c:v>112.55681745708701</c:v>
                </c:pt>
                <c:pt idx="172">
                  <c:v>132.22665753078601</c:v>
                </c:pt>
                <c:pt idx="173">
                  <c:v>148.087649989222</c:v>
                </c:pt>
                <c:pt idx="174">
                  <c:v>161.87434757762301</c:v>
                </c:pt>
                <c:pt idx="175">
                  <c:v>147.666774752316</c:v>
                </c:pt>
                <c:pt idx="176">
                  <c:v>202.726457996612</c:v>
                </c:pt>
                <c:pt idx="177">
                  <c:v>308.81300411070299</c:v>
                </c:pt>
                <c:pt idx="178">
                  <c:v>226.00535888811501</c:v>
                </c:pt>
                <c:pt idx="179">
                  <c:v>279.67519424126101</c:v>
                </c:pt>
                <c:pt idx="180">
                  <c:v>262.11569138617</c:v>
                </c:pt>
                <c:pt idx="181">
                  <c:v>223.610056028179</c:v>
                </c:pt>
                <c:pt idx="182">
                  <c:v>87.117230527499203</c:v>
                </c:pt>
                <c:pt idx="183">
                  <c:v>159.106501236464</c:v>
                </c:pt>
                <c:pt idx="184">
                  <c:v>89.662130793013404</c:v>
                </c:pt>
                <c:pt idx="185">
                  <c:v>92.175180389705005</c:v>
                </c:pt>
                <c:pt idx="186">
                  <c:v>107.347820612067</c:v>
                </c:pt>
                <c:pt idx="187">
                  <c:v>93.117052140741507</c:v>
                </c:pt>
                <c:pt idx="188">
                  <c:v>82.575823385057802</c:v>
                </c:pt>
                <c:pt idx="189">
                  <c:v>102.570113382027</c:v>
                </c:pt>
                <c:pt idx="190">
                  <c:v>101.32326931291701</c:v>
                </c:pt>
                <c:pt idx="191">
                  <c:v>96.134795766220805</c:v>
                </c:pt>
                <c:pt idx="192">
                  <c:v>106.114365108185</c:v>
                </c:pt>
                <c:pt idx="193">
                  <c:v>93.667807398536198</c:v>
                </c:pt>
                <c:pt idx="194">
                  <c:v>97.136957925925003</c:v>
                </c:pt>
                <c:pt idx="195">
                  <c:v>100.67000059276</c:v>
                </c:pt>
                <c:pt idx="196">
                  <c:v>118.60472587004401</c:v>
                </c:pt>
                <c:pt idx="197">
                  <c:v>106.889916604154</c:v>
                </c:pt>
                <c:pt idx="198">
                  <c:v>99.905001932190501</c:v>
                </c:pt>
                <c:pt idx="199">
                  <c:v>106.997008615803</c:v>
                </c:pt>
                <c:pt idx="200">
                  <c:v>101.10602070743499</c:v>
                </c:pt>
                <c:pt idx="201">
                  <c:v>102.32527453611399</c:v>
                </c:pt>
                <c:pt idx="202">
                  <c:v>90.668108718596102</c:v>
                </c:pt>
                <c:pt idx="203">
                  <c:v>95.620416544011803</c:v>
                </c:pt>
                <c:pt idx="204">
                  <c:v>100.266875119264</c:v>
                </c:pt>
                <c:pt idx="205">
                  <c:v>108.227494416152</c:v>
                </c:pt>
                <c:pt idx="206">
                  <c:v>102.386857282509</c:v>
                </c:pt>
                <c:pt idx="207">
                  <c:v>109.37084125704899</c:v>
                </c:pt>
                <c:pt idx="208">
                  <c:v>104.506947971784</c:v>
                </c:pt>
                <c:pt idx="209">
                  <c:v>108.98728118682899</c:v>
                </c:pt>
                <c:pt idx="210">
                  <c:v>89.384501246847194</c:v>
                </c:pt>
                <c:pt idx="211">
                  <c:v>88.735697616030706</c:v>
                </c:pt>
                <c:pt idx="212">
                  <c:v>95.652505957649296</c:v>
                </c:pt>
                <c:pt idx="213">
                  <c:v>96.191294875345804</c:v>
                </c:pt>
                <c:pt idx="214">
                  <c:v>90.539240845990903</c:v>
                </c:pt>
                <c:pt idx="215">
                  <c:v>98.612784513824295</c:v>
                </c:pt>
                <c:pt idx="216">
                  <c:v>106.816397489766</c:v>
                </c:pt>
                <c:pt idx="217">
                  <c:v>107.525364505632</c:v>
                </c:pt>
                <c:pt idx="218">
                  <c:v>96.346264312369797</c:v>
                </c:pt>
                <c:pt idx="219">
                  <c:v>92.311902238225301</c:v>
                </c:pt>
                <c:pt idx="220">
                  <c:v>87.081635804814695</c:v>
                </c:pt>
                <c:pt idx="221">
                  <c:v>100.697187390305</c:v>
                </c:pt>
                <c:pt idx="222">
                  <c:v>134.10944629437401</c:v>
                </c:pt>
                <c:pt idx="223">
                  <c:v>94.687122282502997</c:v>
                </c:pt>
                <c:pt idx="224">
                  <c:v>91.085779432382097</c:v>
                </c:pt>
                <c:pt idx="225">
                  <c:v>127.24741138256</c:v>
                </c:pt>
                <c:pt idx="226">
                  <c:v>109.84060393190001</c:v>
                </c:pt>
                <c:pt idx="227">
                  <c:v>113.64546708269501</c:v>
                </c:pt>
                <c:pt idx="228">
                  <c:v>122.214161693555</c:v>
                </c:pt>
                <c:pt idx="229">
                  <c:v>126.955517157074</c:v>
                </c:pt>
                <c:pt idx="230">
                  <c:v>93.518774315432097</c:v>
                </c:pt>
                <c:pt idx="231">
                  <c:v>92.575891693715704</c:v>
                </c:pt>
                <c:pt idx="232">
                  <c:v>101.366636300538</c:v>
                </c:pt>
                <c:pt idx="233">
                  <c:v>115.238636362227</c:v>
                </c:pt>
                <c:pt idx="234">
                  <c:v>100.56933061681301</c:v>
                </c:pt>
                <c:pt idx="235">
                  <c:v>105.47755072628399</c:v>
                </c:pt>
                <c:pt idx="236">
                  <c:v>109.692952432195</c:v>
                </c:pt>
                <c:pt idx="237">
                  <c:v>111.86629714541201</c:v>
                </c:pt>
                <c:pt idx="238">
                  <c:v>101.144963381545</c:v>
                </c:pt>
                <c:pt idx="239">
                  <c:v>106.848152159469</c:v>
                </c:pt>
                <c:pt idx="240">
                  <c:v>122.048549651389</c:v>
                </c:pt>
                <c:pt idx="241">
                  <c:v>107.592052545708</c:v>
                </c:pt>
                <c:pt idx="242">
                  <c:v>92.889539924951094</c:v>
                </c:pt>
                <c:pt idx="243">
                  <c:v>125.94410501944</c:v>
                </c:pt>
                <c:pt idx="244">
                  <c:v>143.37654959207501</c:v>
                </c:pt>
                <c:pt idx="245">
                  <c:v>97.594462340096598</c:v>
                </c:pt>
                <c:pt idx="246">
                  <c:v>102.45874304985701</c:v>
                </c:pt>
                <c:pt idx="247">
                  <c:v>129.18644732653499</c:v>
                </c:pt>
                <c:pt idx="248">
                  <c:v>110.279230892405</c:v>
                </c:pt>
                <c:pt idx="249">
                  <c:v>114.883540361973</c:v>
                </c:pt>
                <c:pt idx="250">
                  <c:v>117.072873892505</c:v>
                </c:pt>
                <c:pt idx="251">
                  <c:v>114.58191780527299</c:v>
                </c:pt>
                <c:pt idx="252">
                  <c:v>101.910195520416</c:v>
                </c:pt>
                <c:pt idx="253">
                  <c:v>94.752252008938697</c:v>
                </c:pt>
                <c:pt idx="254">
                  <c:v>91.650190687280897</c:v>
                </c:pt>
                <c:pt idx="255">
                  <c:v>94.1144486397653</c:v>
                </c:pt>
                <c:pt idx="256">
                  <c:v>99.276730432252293</c:v>
                </c:pt>
                <c:pt idx="257">
                  <c:v>98.082993701326103</c:v>
                </c:pt>
                <c:pt idx="258">
                  <c:v>90.501109052842693</c:v>
                </c:pt>
                <c:pt idx="259">
                  <c:v>96.330587901874594</c:v>
                </c:pt>
                <c:pt idx="260">
                  <c:v>96.554072607470005</c:v>
                </c:pt>
                <c:pt idx="261">
                  <c:v>90.675773094323006</c:v>
                </c:pt>
                <c:pt idx="262">
                  <c:v>131.43388263291001</c:v>
                </c:pt>
                <c:pt idx="263">
                  <c:v>101.82628257102699</c:v>
                </c:pt>
                <c:pt idx="264">
                  <c:v>92.654412077382403</c:v>
                </c:pt>
                <c:pt idx="265">
                  <c:v>85.540139906816194</c:v>
                </c:pt>
                <c:pt idx="266">
                  <c:v>130.01721239975001</c:v>
                </c:pt>
                <c:pt idx="267">
                  <c:v>150.44009205920401</c:v>
                </c:pt>
                <c:pt idx="268">
                  <c:v>118.715967611244</c:v>
                </c:pt>
                <c:pt idx="270">
                  <c:v>112.721849964469</c:v>
                </c:pt>
                <c:pt idx="271">
                  <c:v>140.99681897088001</c:v>
                </c:pt>
                <c:pt idx="272">
                  <c:v>116.58344884172</c:v>
                </c:pt>
                <c:pt idx="273">
                  <c:v>117.244834370419</c:v>
                </c:pt>
                <c:pt idx="274">
                  <c:v>142.90735246617399</c:v>
                </c:pt>
                <c:pt idx="275">
                  <c:v>163.61926426480301</c:v>
                </c:pt>
                <c:pt idx="276">
                  <c:v>112.85000974109199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'20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Elky'!$F$38:$F$500</c:f>
              <c:numCache>
                <c:formatCode>General</c:formatCode>
                <c:ptCount val="463"/>
                <c:pt idx="9">
                  <c:v>169.69246511822399</c:v>
                </c:pt>
                <c:pt idx="269">
                  <c:v>136.78645362403799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'20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'20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'20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'20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'20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'20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'20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'20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'20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C28" zoomScale="80" zoomScaleNormal="80" workbookViewId="0">
      <selection activeCell="S43" sqref="S43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x14ac:dyDescent="0.25">
      <c r="A38" s="21">
        <f>E38/D38-1</f>
        <v>0.20792063751805401</v>
      </c>
      <c r="B38" t="s">
        <v>36</v>
      </c>
      <c r="C38" s="21" t="str">
        <f>IF(OR(A38&gt;=20%,A38&lt;=-20%),"B","A")</f>
        <v>B</v>
      </c>
      <c r="D38">
        <v>92.5</v>
      </c>
      <c r="E38">
        <v>111.73265897042</v>
      </c>
      <c r="F38"/>
      <c r="G38" t="str">
        <f>IF(C38="A","",IF(C38="B","",IF(C38="C",E38,"error")))</f>
        <v/>
      </c>
      <c r="Q38" s="27" t="s">
        <v>67</v>
      </c>
      <c r="R38" s="23">
        <f>COUNTIF(C38:C314,"A")</f>
        <v>189</v>
      </c>
      <c r="S38" s="23">
        <f>COUNTIF(C38:C314,"B")</f>
        <v>86</v>
      </c>
      <c r="T38" s="23">
        <f>COUNT(D38:D314)</f>
        <v>277</v>
      </c>
    </row>
    <row r="39" spans="1:20" ht="17.25" thickBot="1" x14ac:dyDescent="0.3">
      <c r="A39" s="21">
        <f t="shared" ref="A39:A102" si="0">E39/D39-1</f>
        <v>-0.22529363236019329</v>
      </c>
      <c r="B39" t="s">
        <v>36</v>
      </c>
      <c r="C39" s="21" t="str">
        <f t="shared" ref="C39:C102" si="1">IF(OR(A39&gt;=20%,A39&lt;=-20%),"B","A")</f>
        <v>B</v>
      </c>
      <c r="D39">
        <v>191.5</v>
      </c>
      <c r="E39">
        <v>148.35626940302299</v>
      </c>
      <c r="F39"/>
      <c r="G39" t="str">
        <f t="shared" ref="G39:G102" si="2">IF(C39="A","",IF(C39="B","",IF(C39="C",E39,"error")))</f>
        <v/>
      </c>
      <c r="Q39" s="28" t="s">
        <v>68</v>
      </c>
      <c r="R39" s="30">
        <f>R38/T38</f>
        <v>0.68231046931407946</v>
      </c>
      <c r="S39" s="30">
        <f>S38/T38</f>
        <v>0.31046931407942241</v>
      </c>
      <c r="T39" s="29">
        <f>R39+S39</f>
        <v>0.99277978339350192</v>
      </c>
    </row>
    <row r="40" spans="1:20" x14ac:dyDescent="0.25">
      <c r="A40" s="21">
        <f t="shared" si="0"/>
        <v>3.743877675027818E-2</v>
      </c>
      <c r="B40" t="s">
        <v>36</v>
      </c>
      <c r="C40" s="21" t="str">
        <f t="shared" si="1"/>
        <v>A</v>
      </c>
      <c r="D40">
        <v>151</v>
      </c>
      <c r="E40">
        <v>156.65325528929199</v>
      </c>
      <c r="F40"/>
      <c r="G40" t="str">
        <f t="shared" si="2"/>
        <v/>
      </c>
      <c r="Q40" s="21"/>
      <c r="R40" s="21"/>
    </row>
    <row r="41" spans="1:20" x14ac:dyDescent="0.25">
      <c r="A41" s="21">
        <f t="shared" si="0"/>
        <v>0.47414705973457449</v>
      </c>
      <c r="B41" t="s">
        <v>36</v>
      </c>
      <c r="C41" s="21" t="str">
        <f t="shared" si="1"/>
        <v>B</v>
      </c>
      <c r="D41">
        <v>94</v>
      </c>
      <c r="E41">
        <v>138.56982361505001</v>
      </c>
      <c r="F41"/>
      <c r="G41" t="str">
        <f t="shared" si="2"/>
        <v/>
      </c>
      <c r="Q41" s="21"/>
      <c r="R41" s="21"/>
    </row>
    <row r="42" spans="1:20" x14ac:dyDescent="0.25">
      <c r="A42" s="21">
        <f t="shared" si="0"/>
        <v>-0.22744061992911457</v>
      </c>
      <c r="B42" t="s">
        <v>36</v>
      </c>
      <c r="C42" s="21" t="str">
        <f t="shared" si="1"/>
        <v>B</v>
      </c>
      <c r="D42">
        <v>124</v>
      </c>
      <c r="E42">
        <v>95.797363128789797</v>
      </c>
      <c r="F42"/>
      <c r="G42" t="str">
        <f t="shared" si="2"/>
        <v/>
      </c>
      <c r="Q42" s="21"/>
      <c r="R42" s="21"/>
    </row>
    <row r="43" spans="1:20" x14ac:dyDescent="0.25">
      <c r="A43" s="21">
        <f t="shared" si="0"/>
        <v>-7.706876506117899E-2</v>
      </c>
      <c r="B43" t="s">
        <v>36</v>
      </c>
      <c r="C43" s="21" t="str">
        <f t="shared" si="1"/>
        <v>A</v>
      </c>
      <c r="D43">
        <v>114.5</v>
      </c>
      <c r="E43">
        <v>105.67562640049501</v>
      </c>
      <c r="F43"/>
      <c r="G43" t="str">
        <f t="shared" si="2"/>
        <v/>
      </c>
      <c r="Q43" s="21"/>
      <c r="R43" s="21"/>
    </row>
    <row r="44" spans="1:20" x14ac:dyDescent="0.25">
      <c r="A44" s="21">
        <f t="shared" si="0"/>
        <v>2.7709725338390889E-2</v>
      </c>
      <c r="B44" t="s">
        <v>36</v>
      </c>
      <c r="C44" s="21" t="str">
        <f t="shared" si="1"/>
        <v>A</v>
      </c>
      <c r="D44">
        <v>89.5</v>
      </c>
      <c r="E44">
        <v>91.980020417785994</v>
      </c>
      <c r="F44"/>
      <c r="G44" t="str">
        <f t="shared" si="2"/>
        <v/>
      </c>
      <c r="Q44" s="21"/>
      <c r="R44" s="21"/>
    </row>
    <row r="45" spans="1:20" x14ac:dyDescent="0.25">
      <c r="A45" s="21">
        <f t="shared" si="0"/>
        <v>-0.49081050147974081</v>
      </c>
      <c r="B45" t="s">
        <v>36</v>
      </c>
      <c r="C45" s="21" t="str">
        <f t="shared" si="1"/>
        <v>B</v>
      </c>
      <c r="D45">
        <v>204.5</v>
      </c>
      <c r="E45">
        <v>104.129252447393</v>
      </c>
      <c r="F45"/>
      <c r="G45" t="str">
        <f t="shared" si="2"/>
        <v/>
      </c>
      <c r="Q45" s="21"/>
      <c r="R45" s="21"/>
    </row>
    <row r="46" spans="1:20" x14ac:dyDescent="0.25">
      <c r="A46" s="21">
        <f t="shared" si="0"/>
        <v>-0.43741319145091773</v>
      </c>
      <c r="B46" t="s">
        <v>36</v>
      </c>
      <c r="C46" s="21" t="str">
        <f t="shared" si="1"/>
        <v>B</v>
      </c>
      <c r="D46">
        <v>200.5</v>
      </c>
      <c r="E46">
        <v>112.79865511409101</v>
      </c>
      <c r="F46"/>
      <c r="G46" t="str">
        <f t="shared" si="2"/>
        <v/>
      </c>
      <c r="Q46" s="21"/>
      <c r="R46" s="21"/>
    </row>
    <row r="47" spans="1:20" x14ac:dyDescent="0.25">
      <c r="A47" s="21">
        <f t="shared" si="0"/>
        <v>-1</v>
      </c>
      <c r="B47" t="s">
        <v>43</v>
      </c>
      <c r="C47" s="21" t="s">
        <v>72</v>
      </c>
      <c r="D47">
        <v>92.5</v>
      </c>
      <c r="E47"/>
      <c r="F47">
        <v>169.69246511822399</v>
      </c>
      <c r="G47">
        <f t="shared" si="2"/>
        <v>0</v>
      </c>
      <c r="Q47" s="21"/>
      <c r="R47" s="21"/>
    </row>
    <row r="48" spans="1:20" x14ac:dyDescent="0.25">
      <c r="A48" s="21">
        <f t="shared" si="0"/>
        <v>0.13720291065322265</v>
      </c>
      <c r="B48" t="s">
        <v>43</v>
      </c>
      <c r="C48" s="21" t="str">
        <f t="shared" si="1"/>
        <v>A</v>
      </c>
      <c r="D48">
        <v>96.5</v>
      </c>
      <c r="E48">
        <v>109.740080878036</v>
      </c>
      <c r="F48"/>
      <c r="G48" t="str">
        <f t="shared" si="2"/>
        <v/>
      </c>
      <c r="Q48" s="21"/>
      <c r="R48" s="21"/>
    </row>
    <row r="49" spans="1:18" x14ac:dyDescent="0.25">
      <c r="A49" s="21">
        <f t="shared" si="0"/>
        <v>0.18046231525605627</v>
      </c>
      <c r="B49" t="s">
        <v>43</v>
      </c>
      <c r="C49" s="21" t="str">
        <f t="shared" si="1"/>
        <v>A</v>
      </c>
      <c r="D49">
        <v>106.5</v>
      </c>
      <c r="E49">
        <v>125.71923657476999</v>
      </c>
      <c r="F49"/>
      <c r="G49" t="str">
        <f t="shared" si="2"/>
        <v/>
      </c>
      <c r="Q49" s="21"/>
      <c r="R49" s="21"/>
    </row>
    <row r="50" spans="1:18" x14ac:dyDescent="0.25">
      <c r="A50" s="21">
        <f t="shared" si="0"/>
        <v>7.5264277365497456E-2</v>
      </c>
      <c r="B50" t="s">
        <v>43</v>
      </c>
      <c r="C50" s="21" t="str">
        <f t="shared" si="1"/>
        <v>A</v>
      </c>
      <c r="D50">
        <v>97.5</v>
      </c>
      <c r="E50">
        <v>104.838267043136</v>
      </c>
      <c r="F50"/>
      <c r="G50" t="str">
        <f t="shared" si="2"/>
        <v/>
      </c>
      <c r="Q50" s="21"/>
      <c r="R50" s="21"/>
    </row>
    <row r="51" spans="1:18" x14ac:dyDescent="0.25">
      <c r="A51" s="21">
        <f t="shared" si="0"/>
        <v>0.15367230199435911</v>
      </c>
      <c r="B51" t="s">
        <v>43</v>
      </c>
      <c r="C51" s="21" t="str">
        <f t="shared" si="1"/>
        <v>A</v>
      </c>
      <c r="D51">
        <v>97.5</v>
      </c>
      <c r="E51">
        <v>112.48304944445</v>
      </c>
      <c r="F51"/>
      <c r="G51" t="str">
        <f t="shared" si="2"/>
        <v/>
      </c>
      <c r="Q51" s="21"/>
      <c r="R51" s="21"/>
    </row>
    <row r="52" spans="1:18" x14ac:dyDescent="0.25">
      <c r="A52" s="21">
        <f t="shared" si="0"/>
        <v>5.6243214872594871E-2</v>
      </c>
      <c r="B52" t="s">
        <v>43</v>
      </c>
      <c r="C52" s="21" t="str">
        <f t="shared" si="1"/>
        <v>A</v>
      </c>
      <c r="D52">
        <v>97.5</v>
      </c>
      <c r="E52">
        <v>102.983713450078</v>
      </c>
      <c r="F52"/>
      <c r="G52" t="str">
        <f t="shared" si="2"/>
        <v/>
      </c>
      <c r="Q52" s="21"/>
      <c r="R52" s="21"/>
    </row>
    <row r="53" spans="1:18" x14ac:dyDescent="0.25">
      <c r="A53" s="21">
        <f t="shared" si="0"/>
        <v>0.29060521243834869</v>
      </c>
      <c r="B53" t="s">
        <v>43</v>
      </c>
      <c r="C53" s="21" t="str">
        <f t="shared" si="1"/>
        <v>B</v>
      </c>
      <c r="D53">
        <v>97.5</v>
      </c>
      <c r="E53">
        <v>125.83400821273899</v>
      </c>
      <c r="F53"/>
      <c r="G53" t="str">
        <f t="shared" si="2"/>
        <v/>
      </c>
      <c r="Q53" s="21"/>
      <c r="R53" s="21"/>
    </row>
    <row r="54" spans="1:18" x14ac:dyDescent="0.25">
      <c r="A54" s="21">
        <f t="shared" si="0"/>
        <v>0.14860524623094751</v>
      </c>
      <c r="B54" t="s">
        <v>43</v>
      </c>
      <c r="C54" s="21" t="str">
        <f t="shared" si="1"/>
        <v>A</v>
      </c>
      <c r="D54">
        <v>95</v>
      </c>
      <c r="E54">
        <v>109.11749839194</v>
      </c>
      <c r="F54"/>
      <c r="G54" t="str">
        <f t="shared" si="2"/>
        <v/>
      </c>
      <c r="Q54" s="21"/>
      <c r="R54" s="21"/>
    </row>
    <row r="55" spans="1:18" x14ac:dyDescent="0.25">
      <c r="A55" s="21">
        <f t="shared" si="0"/>
        <v>-3.1881821466035243E-2</v>
      </c>
      <c r="B55" t="s">
        <v>43</v>
      </c>
      <c r="C55" s="21" t="str">
        <f t="shared" si="1"/>
        <v>A</v>
      </c>
      <c r="D55">
        <v>142</v>
      </c>
      <c r="E55">
        <v>137.47278135182299</v>
      </c>
      <c r="F55"/>
      <c r="G55" t="str">
        <f t="shared" si="2"/>
        <v/>
      </c>
      <c r="Q55" s="21"/>
      <c r="R55" s="21"/>
    </row>
    <row r="56" spans="1:18" x14ac:dyDescent="0.25">
      <c r="A56" s="21">
        <f t="shared" si="0"/>
        <v>-0.13047987329296384</v>
      </c>
      <c r="B56" t="s">
        <v>43</v>
      </c>
      <c r="C56" s="21" t="str">
        <f t="shared" si="1"/>
        <v>A</v>
      </c>
      <c r="D56">
        <v>124.5</v>
      </c>
      <c r="E56">
        <v>108.255255775026</v>
      </c>
      <c r="F56"/>
      <c r="G56" t="str">
        <f t="shared" si="2"/>
        <v/>
      </c>
      <c r="Q56" s="21"/>
      <c r="R56" s="21"/>
    </row>
    <row r="57" spans="1:18" x14ac:dyDescent="0.25">
      <c r="A57" s="21">
        <f t="shared" si="0"/>
        <v>-0.12362754485832905</v>
      </c>
      <c r="B57" t="s">
        <v>43</v>
      </c>
      <c r="C57" s="21" t="str">
        <f t="shared" si="1"/>
        <v>A</v>
      </c>
      <c r="D57">
        <v>118.5</v>
      </c>
      <c r="E57">
        <v>103.85013593428801</v>
      </c>
      <c r="F57"/>
      <c r="G57" t="str">
        <f t="shared" si="2"/>
        <v/>
      </c>
      <c r="Q57" s="21"/>
      <c r="R57" s="21"/>
    </row>
    <row r="58" spans="1:18" x14ac:dyDescent="0.25">
      <c r="A58" s="21">
        <f t="shared" si="0"/>
        <v>0.18351329068851108</v>
      </c>
      <c r="B58" t="s">
        <v>44</v>
      </c>
      <c r="C58" s="21" t="str">
        <f t="shared" si="1"/>
        <v>A</v>
      </c>
      <c r="D58">
        <v>90</v>
      </c>
      <c r="E58">
        <v>106.51619616196599</v>
      </c>
      <c r="F58"/>
      <c r="G58" t="str">
        <f t="shared" si="2"/>
        <v/>
      </c>
      <c r="Q58" s="21"/>
      <c r="R58" s="21"/>
    </row>
    <row r="59" spans="1:18" x14ac:dyDescent="0.25">
      <c r="A59" s="21">
        <f t="shared" si="0"/>
        <v>5.5171150663781976E-2</v>
      </c>
      <c r="B59" t="s">
        <v>44</v>
      </c>
      <c r="C59" s="21" t="str">
        <f t="shared" si="1"/>
        <v>A</v>
      </c>
      <c r="D59">
        <v>137.5</v>
      </c>
      <c r="E59">
        <v>145.08603321627001</v>
      </c>
      <c r="F59"/>
      <c r="G59" t="str">
        <f t="shared" si="2"/>
        <v/>
      </c>
      <c r="Q59" s="21"/>
      <c r="R59" s="21"/>
    </row>
    <row r="60" spans="1:18" x14ac:dyDescent="0.25">
      <c r="A60" s="21">
        <f t="shared" si="0"/>
        <v>0.19166958410344592</v>
      </c>
      <c r="B60" t="s">
        <v>44</v>
      </c>
      <c r="C60" s="21" t="str">
        <f t="shared" si="1"/>
        <v>A</v>
      </c>
      <c r="D60">
        <v>106.5</v>
      </c>
      <c r="E60">
        <v>126.912810707017</v>
      </c>
      <c r="F60"/>
      <c r="G60" t="str">
        <f t="shared" si="2"/>
        <v/>
      </c>
      <c r="Q60" s="21"/>
      <c r="R60" s="21"/>
    </row>
    <row r="61" spans="1:18" x14ac:dyDescent="0.25">
      <c r="A61" s="21">
        <f t="shared" si="0"/>
        <v>0.38664919410235643</v>
      </c>
      <c r="B61" t="s">
        <v>44</v>
      </c>
      <c r="C61" s="21" t="str">
        <f t="shared" si="1"/>
        <v>B</v>
      </c>
      <c r="D61">
        <v>101</v>
      </c>
      <c r="E61">
        <v>140.051568604338</v>
      </c>
      <c r="F61"/>
      <c r="G61" t="str">
        <f t="shared" si="2"/>
        <v/>
      </c>
      <c r="Q61" s="21"/>
      <c r="R61" s="21"/>
    </row>
    <row r="62" spans="1:18" x14ac:dyDescent="0.25">
      <c r="A62" s="21">
        <f t="shared" si="0"/>
        <v>4.9568469532306647E-2</v>
      </c>
      <c r="B62" t="s">
        <v>45</v>
      </c>
      <c r="C62" s="21" t="str">
        <f t="shared" si="1"/>
        <v>A</v>
      </c>
      <c r="D62">
        <v>212</v>
      </c>
      <c r="E62">
        <v>222.508515540849</v>
      </c>
      <c r="F62"/>
      <c r="G62" t="str">
        <f t="shared" si="2"/>
        <v/>
      </c>
      <c r="H62"/>
      <c r="Q62" s="21"/>
      <c r="R62" s="21"/>
    </row>
    <row r="63" spans="1:18" x14ac:dyDescent="0.25">
      <c r="A63" s="21">
        <f t="shared" si="0"/>
        <v>-0.22293526656448071</v>
      </c>
      <c r="B63" t="s">
        <v>45</v>
      </c>
      <c r="C63" s="21" t="str">
        <f t="shared" si="1"/>
        <v>B</v>
      </c>
      <c r="D63">
        <v>258</v>
      </c>
      <c r="E63">
        <v>200.48270122636399</v>
      </c>
      <c r="F63"/>
      <c r="G63" t="str">
        <f t="shared" si="2"/>
        <v/>
      </c>
      <c r="H63"/>
      <c r="Q63" s="21"/>
      <c r="R63" s="21"/>
    </row>
    <row r="64" spans="1:18" x14ac:dyDescent="0.25">
      <c r="A64" s="21">
        <f t="shared" si="0"/>
        <v>-0.19510176864300977</v>
      </c>
      <c r="B64" t="s">
        <v>45</v>
      </c>
      <c r="C64" s="21" t="str">
        <f t="shared" si="1"/>
        <v>A</v>
      </c>
      <c r="D64">
        <v>257.5</v>
      </c>
      <c r="E64">
        <v>207.26129457442499</v>
      </c>
      <c r="F64"/>
      <c r="G64" t="str">
        <f t="shared" si="2"/>
        <v/>
      </c>
      <c r="H64"/>
      <c r="Q64" s="21"/>
      <c r="R64" s="21"/>
    </row>
    <row r="65" spans="1:18" x14ac:dyDescent="0.25">
      <c r="A65" s="21">
        <f t="shared" si="0"/>
        <v>7.438369070626405E-2</v>
      </c>
      <c r="B65" t="s">
        <v>45</v>
      </c>
      <c r="C65" s="21" t="str">
        <f t="shared" si="1"/>
        <v>A</v>
      </c>
      <c r="D65">
        <v>204.5</v>
      </c>
      <c r="E65">
        <v>219.711464749431</v>
      </c>
      <c r="F65"/>
      <c r="G65" t="str">
        <f t="shared" si="2"/>
        <v/>
      </c>
      <c r="H65"/>
      <c r="Q65" s="21"/>
      <c r="R65" s="21"/>
    </row>
    <row r="66" spans="1:18" x14ac:dyDescent="0.25">
      <c r="A66" s="21">
        <f t="shared" si="0"/>
        <v>3.8973876396537932E-2</v>
      </c>
      <c r="B66" t="s">
        <v>45</v>
      </c>
      <c r="C66" s="21" t="str">
        <f t="shared" si="1"/>
        <v>A</v>
      </c>
      <c r="D66">
        <v>383</v>
      </c>
      <c r="E66">
        <v>397.92699465987403</v>
      </c>
      <c r="F66"/>
      <c r="G66" t="str">
        <f t="shared" si="2"/>
        <v/>
      </c>
      <c r="H66"/>
      <c r="Q66" s="21"/>
      <c r="R66" s="21"/>
    </row>
    <row r="67" spans="1:18" x14ac:dyDescent="0.25">
      <c r="A67" s="21">
        <f t="shared" si="0"/>
        <v>2.7515810801078677E-2</v>
      </c>
      <c r="B67" t="s">
        <v>46</v>
      </c>
      <c r="C67" s="21" t="str">
        <f t="shared" si="1"/>
        <v>A</v>
      </c>
      <c r="D67">
        <v>96.5</v>
      </c>
      <c r="E67">
        <v>99.155275742304099</v>
      </c>
      <c r="F67"/>
      <c r="G67" t="str">
        <f t="shared" si="2"/>
        <v/>
      </c>
      <c r="I67"/>
      <c r="Q67" s="21"/>
      <c r="R67" s="21"/>
    </row>
    <row r="68" spans="1:18" x14ac:dyDescent="0.25">
      <c r="A68" s="21">
        <f t="shared" si="0"/>
        <v>5.9647836126475395E-2</v>
      </c>
      <c r="B68" t="s">
        <v>46</v>
      </c>
      <c r="C68" s="21" t="str">
        <f t="shared" si="1"/>
        <v>A</v>
      </c>
      <c r="D68">
        <v>153.5</v>
      </c>
      <c r="E68">
        <v>162.65594284541399</v>
      </c>
      <c r="F68"/>
      <c r="G68" t="str">
        <f t="shared" si="2"/>
        <v/>
      </c>
      <c r="I68"/>
      <c r="Q68" s="21"/>
      <c r="R68" s="21"/>
    </row>
    <row r="69" spans="1:18" x14ac:dyDescent="0.25">
      <c r="A69" s="21">
        <f t="shared" si="0"/>
        <v>0.10990332848939466</v>
      </c>
      <c r="B69" t="s">
        <v>46</v>
      </c>
      <c r="C69" s="21" t="str">
        <f t="shared" si="1"/>
        <v>A</v>
      </c>
      <c r="D69">
        <v>130.5</v>
      </c>
      <c r="E69">
        <v>144.842384367866</v>
      </c>
      <c r="F69"/>
      <c r="G69" t="str">
        <f t="shared" si="2"/>
        <v/>
      </c>
      <c r="I69"/>
      <c r="Q69" s="21"/>
      <c r="R69" s="21"/>
    </row>
    <row r="70" spans="1:18" x14ac:dyDescent="0.25">
      <c r="A70" s="21">
        <f t="shared" si="0"/>
        <v>1.4221701734139724E-2</v>
      </c>
      <c r="B70" t="s">
        <v>46</v>
      </c>
      <c r="C70" s="21" t="str">
        <f t="shared" si="1"/>
        <v>A</v>
      </c>
      <c r="D70">
        <v>136</v>
      </c>
      <c r="E70">
        <v>137.93415143584301</v>
      </c>
      <c r="F70"/>
      <c r="G70" t="str">
        <f t="shared" si="2"/>
        <v/>
      </c>
      <c r="I70"/>
      <c r="Q70" s="21"/>
      <c r="R70" s="21"/>
    </row>
    <row r="71" spans="1:18" x14ac:dyDescent="0.25">
      <c r="A71" s="21">
        <f t="shared" si="0"/>
        <v>6.6120470543936882E-2</v>
      </c>
      <c r="B71" t="s">
        <v>46</v>
      </c>
      <c r="C71" s="21" t="str">
        <f t="shared" si="1"/>
        <v>A</v>
      </c>
      <c r="D71">
        <v>111</v>
      </c>
      <c r="E71">
        <v>118.33937223037699</v>
      </c>
      <c r="F71"/>
      <c r="G71" t="str">
        <f t="shared" si="2"/>
        <v/>
      </c>
      <c r="I71"/>
      <c r="Q71" s="21"/>
      <c r="R71" s="21"/>
    </row>
    <row r="72" spans="1:18" x14ac:dyDescent="0.25">
      <c r="A72" s="21">
        <f t="shared" si="0"/>
        <v>6.7925566412555982E-2</v>
      </c>
      <c r="B72" t="s">
        <v>46</v>
      </c>
      <c r="C72" s="21" t="str">
        <f t="shared" si="1"/>
        <v>A</v>
      </c>
      <c r="D72">
        <v>156.5</v>
      </c>
      <c r="E72">
        <v>167.13035114356501</v>
      </c>
      <c r="F72"/>
      <c r="G72" t="str">
        <f t="shared" si="2"/>
        <v/>
      </c>
      <c r="I72"/>
      <c r="Q72" s="21"/>
      <c r="R72" s="21"/>
    </row>
    <row r="73" spans="1:18" x14ac:dyDescent="0.25">
      <c r="A73" s="21">
        <f t="shared" si="0"/>
        <v>0.65936681894528437</v>
      </c>
      <c r="B73" t="s">
        <v>46</v>
      </c>
      <c r="C73" s="21" t="str">
        <f t="shared" si="1"/>
        <v>B</v>
      </c>
      <c r="D73">
        <v>109</v>
      </c>
      <c r="E73">
        <v>180.87098326503599</v>
      </c>
      <c r="F73"/>
      <c r="G73" t="str">
        <f t="shared" si="2"/>
        <v/>
      </c>
      <c r="I73"/>
      <c r="Q73" s="21"/>
      <c r="R73" s="21"/>
    </row>
    <row r="74" spans="1:18" x14ac:dyDescent="0.25">
      <c r="A74" s="21">
        <f t="shared" si="0"/>
        <v>0.15939633617791982</v>
      </c>
      <c r="B74" t="s">
        <v>46</v>
      </c>
      <c r="C74" s="21" t="str">
        <f t="shared" si="1"/>
        <v>A</v>
      </c>
      <c r="D74">
        <v>112</v>
      </c>
      <c r="E74">
        <v>129.85238965192701</v>
      </c>
      <c r="F74"/>
      <c r="G74" t="str">
        <f t="shared" si="2"/>
        <v/>
      </c>
      <c r="I74"/>
      <c r="Q74" s="21"/>
      <c r="R74" s="21"/>
    </row>
    <row r="75" spans="1:18" x14ac:dyDescent="0.25">
      <c r="A75" s="21">
        <f t="shared" si="0"/>
        <v>0.17197773690194618</v>
      </c>
      <c r="B75" t="s">
        <v>46</v>
      </c>
      <c r="C75" s="21" t="str">
        <f t="shared" si="1"/>
        <v>A</v>
      </c>
      <c r="D75">
        <v>93</v>
      </c>
      <c r="E75">
        <v>108.99392953188099</v>
      </c>
      <c r="F75"/>
      <c r="G75" t="str">
        <f t="shared" si="2"/>
        <v/>
      </c>
      <c r="I75"/>
      <c r="Q75" s="21"/>
      <c r="R75" s="21"/>
    </row>
    <row r="76" spans="1:18" x14ac:dyDescent="0.25">
      <c r="A76" s="21">
        <f t="shared" si="0"/>
        <v>-9.6782112344079518E-2</v>
      </c>
      <c r="B76" t="s">
        <v>46</v>
      </c>
      <c r="C76" s="21" t="str">
        <f t="shared" si="1"/>
        <v>A</v>
      </c>
      <c r="D76">
        <v>163.5</v>
      </c>
      <c r="E76">
        <v>147.67612463174299</v>
      </c>
      <c r="F76"/>
      <c r="G76" t="str">
        <f t="shared" si="2"/>
        <v/>
      </c>
      <c r="I76"/>
      <c r="Q76" s="21"/>
      <c r="R76" s="21"/>
    </row>
    <row r="77" spans="1:18" x14ac:dyDescent="0.25">
      <c r="A77" s="21">
        <f t="shared" si="0"/>
        <v>0.23482571427695587</v>
      </c>
      <c r="B77" t="s">
        <v>46</v>
      </c>
      <c r="C77" s="21" t="str">
        <f t="shared" si="1"/>
        <v>B</v>
      </c>
      <c r="D77">
        <v>136</v>
      </c>
      <c r="E77">
        <v>167.93629714166599</v>
      </c>
      <c r="F77"/>
      <c r="G77" t="str">
        <f t="shared" si="2"/>
        <v/>
      </c>
      <c r="I77"/>
      <c r="Q77" s="21"/>
      <c r="R77" s="21"/>
    </row>
    <row r="78" spans="1:18" x14ac:dyDescent="0.25">
      <c r="A78" s="21">
        <f t="shared" si="0"/>
        <v>0.14133984419948331</v>
      </c>
      <c r="B78" t="s">
        <v>46</v>
      </c>
      <c r="C78" s="21" t="str">
        <f t="shared" si="1"/>
        <v>A</v>
      </c>
      <c r="D78">
        <v>120</v>
      </c>
      <c r="E78">
        <v>136.96078130393801</v>
      </c>
      <c r="F78"/>
      <c r="G78" t="str">
        <f t="shared" si="2"/>
        <v/>
      </c>
      <c r="I78"/>
      <c r="Q78" s="21"/>
      <c r="R78" s="21"/>
    </row>
    <row r="79" spans="1:18" x14ac:dyDescent="0.25">
      <c r="A79" s="21">
        <f t="shared" si="0"/>
        <v>0.17331430931019498</v>
      </c>
      <c r="B79" t="s">
        <v>47</v>
      </c>
      <c r="C79" s="21" t="str">
        <f t="shared" si="1"/>
        <v>A</v>
      </c>
      <c r="D79">
        <v>184.5</v>
      </c>
      <c r="E79">
        <v>216.47649006773099</v>
      </c>
      <c r="F79"/>
      <c r="G79" t="str">
        <f t="shared" si="2"/>
        <v/>
      </c>
      <c r="J79"/>
      <c r="Q79" s="21"/>
      <c r="R79" s="21"/>
    </row>
    <row r="80" spans="1:18" x14ac:dyDescent="0.25">
      <c r="A80" s="21">
        <f t="shared" si="0"/>
        <v>7.4725025774538434E-2</v>
      </c>
      <c r="B80" t="s">
        <v>47</v>
      </c>
      <c r="C80" s="21" t="str">
        <f t="shared" si="1"/>
        <v>A</v>
      </c>
      <c r="D80">
        <v>195</v>
      </c>
      <c r="E80">
        <v>209.571380026035</v>
      </c>
      <c r="F80"/>
      <c r="G80" t="str">
        <f t="shared" si="2"/>
        <v/>
      </c>
      <c r="J80"/>
      <c r="Q80" s="21"/>
      <c r="R80" s="21"/>
    </row>
    <row r="81" spans="1:18" x14ac:dyDescent="0.25">
      <c r="A81" s="21">
        <f t="shared" si="0"/>
        <v>-4.2044305753036193E-3</v>
      </c>
      <c r="B81" t="s">
        <v>47</v>
      </c>
      <c r="C81" s="21" t="str">
        <f t="shared" si="1"/>
        <v>A</v>
      </c>
      <c r="D81">
        <v>224</v>
      </c>
      <c r="E81">
        <v>223.058207551132</v>
      </c>
      <c r="F81"/>
      <c r="G81" t="str">
        <f t="shared" si="2"/>
        <v/>
      </c>
      <c r="J81"/>
      <c r="Q81" s="21"/>
      <c r="R81" s="21"/>
    </row>
    <row r="82" spans="1:18" x14ac:dyDescent="0.25">
      <c r="A82" s="21">
        <f t="shared" si="0"/>
        <v>-2.7165523348109399E-2</v>
      </c>
      <c r="B82" t="s">
        <v>47</v>
      </c>
      <c r="C82" s="21" t="str">
        <f t="shared" si="1"/>
        <v>A</v>
      </c>
      <c r="D82">
        <v>247</v>
      </c>
      <c r="E82">
        <v>240.29011573301699</v>
      </c>
      <c r="F82"/>
      <c r="G82" t="str">
        <f t="shared" si="2"/>
        <v/>
      </c>
      <c r="J82"/>
      <c r="Q82" s="21"/>
      <c r="R82" s="21"/>
    </row>
    <row r="83" spans="1:18" x14ac:dyDescent="0.25">
      <c r="A83" s="21">
        <f t="shared" si="0"/>
        <v>0.3350739989317193</v>
      </c>
      <c r="B83" t="s">
        <v>47</v>
      </c>
      <c r="C83" s="21" t="str">
        <f t="shared" si="1"/>
        <v>B</v>
      </c>
      <c r="D83">
        <v>146</v>
      </c>
      <c r="E83">
        <v>194.92080384403101</v>
      </c>
      <c r="F83"/>
      <c r="G83" t="str">
        <f t="shared" si="2"/>
        <v/>
      </c>
      <c r="J83"/>
      <c r="Q83" s="21"/>
      <c r="R83" s="21"/>
    </row>
    <row r="84" spans="1:18" x14ac:dyDescent="0.25">
      <c r="A84" s="21">
        <f t="shared" si="0"/>
        <v>0.10663670204893982</v>
      </c>
      <c r="B84" t="s">
        <v>47</v>
      </c>
      <c r="C84" s="21" t="str">
        <f t="shared" si="1"/>
        <v>A</v>
      </c>
      <c r="D84">
        <v>183</v>
      </c>
      <c r="E84">
        <v>202.514516474956</v>
      </c>
      <c r="F84"/>
      <c r="G84" t="str">
        <f t="shared" si="2"/>
        <v/>
      </c>
      <c r="J84"/>
      <c r="Q84" s="21"/>
      <c r="R84" s="21"/>
    </row>
    <row r="85" spans="1:18" x14ac:dyDescent="0.25">
      <c r="A85" s="21">
        <f t="shared" si="0"/>
        <v>-1.073592188272332E-2</v>
      </c>
      <c r="B85" t="s">
        <v>47</v>
      </c>
      <c r="C85" s="21" t="str">
        <f t="shared" si="1"/>
        <v>A</v>
      </c>
      <c r="D85">
        <v>159</v>
      </c>
      <c r="E85">
        <v>157.29298842064699</v>
      </c>
      <c r="F85"/>
      <c r="G85" t="str">
        <f t="shared" si="2"/>
        <v/>
      </c>
      <c r="J85"/>
      <c r="Q85" s="21"/>
      <c r="R85" s="21"/>
    </row>
    <row r="86" spans="1:18" x14ac:dyDescent="0.25">
      <c r="A86" s="21">
        <f t="shared" si="0"/>
        <v>7.4097678611899642E-3</v>
      </c>
      <c r="B86" t="s">
        <v>50</v>
      </c>
      <c r="C86" s="21" t="str">
        <f t="shared" si="1"/>
        <v>A</v>
      </c>
      <c r="D86">
        <v>99</v>
      </c>
      <c r="E86">
        <v>99.733567018257801</v>
      </c>
      <c r="F86"/>
      <c r="G86" t="str">
        <f t="shared" si="2"/>
        <v/>
      </c>
      <c r="K86"/>
      <c r="Q86" s="21"/>
      <c r="R86" s="21"/>
    </row>
    <row r="87" spans="1:18" x14ac:dyDescent="0.25">
      <c r="A87" s="21">
        <f t="shared" si="0"/>
        <v>6.1743497044671525E-2</v>
      </c>
      <c r="B87" t="s">
        <v>50</v>
      </c>
      <c r="C87" s="21" t="str">
        <f t="shared" si="1"/>
        <v>A</v>
      </c>
      <c r="D87">
        <v>140</v>
      </c>
      <c r="E87">
        <v>148.64408958625401</v>
      </c>
      <c r="F87"/>
      <c r="G87" t="str">
        <f t="shared" si="2"/>
        <v/>
      </c>
      <c r="K87"/>
      <c r="Q87" s="21"/>
      <c r="R87" s="21"/>
    </row>
    <row r="88" spans="1:18" x14ac:dyDescent="0.25">
      <c r="A88" s="21">
        <f t="shared" si="0"/>
        <v>-3.9953564009259201E-2</v>
      </c>
      <c r="B88" t="s">
        <v>50</v>
      </c>
      <c r="C88" s="21" t="str">
        <f t="shared" si="1"/>
        <v>A</v>
      </c>
      <c r="D88">
        <v>135</v>
      </c>
      <c r="E88">
        <v>129.60626885875001</v>
      </c>
      <c r="F88"/>
      <c r="G88" t="str">
        <f t="shared" si="2"/>
        <v/>
      </c>
      <c r="K88"/>
      <c r="Q88" s="21"/>
      <c r="R88" s="21"/>
    </row>
    <row r="89" spans="1:18" x14ac:dyDescent="0.25">
      <c r="A89" s="21">
        <f t="shared" si="0"/>
        <v>0.27402963214668374</v>
      </c>
      <c r="B89" t="s">
        <v>50</v>
      </c>
      <c r="C89" s="21" t="str">
        <f t="shared" si="1"/>
        <v>B</v>
      </c>
      <c r="D89">
        <v>98</v>
      </c>
      <c r="E89">
        <v>124.854903950375</v>
      </c>
      <c r="F89"/>
      <c r="G89" t="str">
        <f t="shared" si="2"/>
        <v/>
      </c>
      <c r="K89"/>
      <c r="Q89" s="21"/>
      <c r="R89" s="21"/>
    </row>
    <row r="90" spans="1:18" x14ac:dyDescent="0.25">
      <c r="A90" s="21">
        <f t="shared" si="0"/>
        <v>-4.0992997846584944E-2</v>
      </c>
      <c r="B90" t="s">
        <v>50</v>
      </c>
      <c r="C90" s="21" t="str">
        <f t="shared" si="1"/>
        <v>A</v>
      </c>
      <c r="D90">
        <v>93</v>
      </c>
      <c r="E90">
        <v>89.187651200267595</v>
      </c>
      <c r="F90"/>
      <c r="G90" t="str">
        <f t="shared" si="2"/>
        <v/>
      </c>
      <c r="K90"/>
      <c r="Q90" s="21"/>
      <c r="R90" s="21"/>
    </row>
    <row r="91" spans="1:18" x14ac:dyDescent="0.25">
      <c r="A91" s="21">
        <f t="shared" si="0"/>
        <v>-4.1322885065304571E-2</v>
      </c>
      <c r="B91" t="s">
        <v>50</v>
      </c>
      <c r="C91" s="21" t="str">
        <f t="shared" si="1"/>
        <v>A</v>
      </c>
      <c r="D91">
        <v>151</v>
      </c>
      <c r="E91">
        <v>144.76024435513901</v>
      </c>
      <c r="F91"/>
      <c r="G91" t="str">
        <f t="shared" si="2"/>
        <v/>
      </c>
      <c r="K91"/>
      <c r="Q91" s="21"/>
      <c r="R91" s="21"/>
    </row>
    <row r="92" spans="1:18" x14ac:dyDescent="0.25">
      <c r="A92" s="21">
        <f t="shared" si="0"/>
        <v>7.4486239533042564E-2</v>
      </c>
      <c r="B92" t="s">
        <v>50</v>
      </c>
      <c r="C92" s="21" t="str">
        <f t="shared" si="1"/>
        <v>A</v>
      </c>
      <c r="D92">
        <v>164</v>
      </c>
      <c r="E92">
        <v>176.21574328341899</v>
      </c>
      <c r="F92"/>
      <c r="G92" t="str">
        <f t="shared" si="2"/>
        <v/>
      </c>
      <c r="K92"/>
      <c r="Q92" s="21"/>
      <c r="R92" s="21"/>
    </row>
    <row r="93" spans="1:18" x14ac:dyDescent="0.25">
      <c r="A93" s="21">
        <f t="shared" si="0"/>
        <v>5.4940558061671974E-2</v>
      </c>
      <c r="B93" t="s">
        <v>50</v>
      </c>
      <c r="C93" s="21" t="str">
        <f t="shared" si="1"/>
        <v>A</v>
      </c>
      <c r="D93">
        <v>128</v>
      </c>
      <c r="E93">
        <v>135.03239143189401</v>
      </c>
      <c r="F93"/>
      <c r="G93" t="str">
        <f t="shared" si="2"/>
        <v/>
      </c>
      <c r="K93"/>
      <c r="Q93" s="21"/>
      <c r="R93" s="21"/>
    </row>
    <row r="94" spans="1:18" x14ac:dyDescent="0.25">
      <c r="A94" s="21">
        <f t="shared" si="0"/>
        <v>0.51037059085215586</v>
      </c>
      <c r="B94" t="s">
        <v>51</v>
      </c>
      <c r="C94" s="21" t="str">
        <f t="shared" si="1"/>
        <v>B</v>
      </c>
      <c r="D94">
        <v>77</v>
      </c>
      <c r="E94">
        <v>116.29853549561599</v>
      </c>
      <c r="F94"/>
      <c r="G94" t="str">
        <f t="shared" si="2"/>
        <v/>
      </c>
      <c r="L94"/>
      <c r="Q94" s="21"/>
      <c r="R94" s="21"/>
    </row>
    <row r="95" spans="1:18" x14ac:dyDescent="0.25">
      <c r="A95" s="21">
        <f t="shared" si="0"/>
        <v>-0.13764268862203766</v>
      </c>
      <c r="B95" t="s">
        <v>51</v>
      </c>
      <c r="C95" s="21" t="str">
        <f t="shared" si="1"/>
        <v>A</v>
      </c>
      <c r="D95">
        <v>133</v>
      </c>
      <c r="E95">
        <v>114.69352241326899</v>
      </c>
      <c r="F95"/>
      <c r="G95" t="str">
        <f t="shared" si="2"/>
        <v/>
      </c>
      <c r="L95"/>
      <c r="Q95" s="21"/>
      <c r="R95" s="21"/>
    </row>
    <row r="96" spans="1:18" x14ac:dyDescent="0.25">
      <c r="A96" s="21">
        <f t="shared" si="0"/>
        <v>0.15978246591980017</v>
      </c>
      <c r="B96" t="s">
        <v>51</v>
      </c>
      <c r="C96" s="21" t="str">
        <f t="shared" si="1"/>
        <v>A</v>
      </c>
      <c r="D96">
        <v>110</v>
      </c>
      <c r="E96">
        <v>127.57607125117801</v>
      </c>
      <c r="F96"/>
      <c r="G96" t="str">
        <f t="shared" si="2"/>
        <v/>
      </c>
      <c r="L96"/>
      <c r="Q96" s="21"/>
      <c r="R96" s="21"/>
    </row>
    <row r="97" spans="1:18" x14ac:dyDescent="0.25">
      <c r="A97" s="21">
        <f t="shared" si="0"/>
        <v>0.19078291215846077</v>
      </c>
      <c r="B97" t="s">
        <v>51</v>
      </c>
      <c r="C97" s="21" t="str">
        <f t="shared" si="1"/>
        <v>A</v>
      </c>
      <c r="D97">
        <v>102</v>
      </c>
      <c r="E97">
        <v>121.459857040163</v>
      </c>
      <c r="F97"/>
      <c r="G97" t="str">
        <f t="shared" si="2"/>
        <v/>
      </c>
      <c r="L97"/>
      <c r="Q97" s="21"/>
      <c r="R97" s="21"/>
    </row>
    <row r="98" spans="1:18" x14ac:dyDescent="0.25">
      <c r="A98" s="21">
        <f t="shared" si="0"/>
        <v>0.43521040354715179</v>
      </c>
      <c r="B98" t="s">
        <v>51</v>
      </c>
      <c r="C98" s="21" t="str">
        <f t="shared" si="1"/>
        <v>B</v>
      </c>
      <c r="D98">
        <v>79</v>
      </c>
      <c r="E98">
        <v>113.381621880225</v>
      </c>
      <c r="F98"/>
      <c r="G98" t="str">
        <f t="shared" si="2"/>
        <v/>
      </c>
      <c r="L98"/>
      <c r="Q98" s="21"/>
      <c r="R98" s="21"/>
    </row>
    <row r="99" spans="1:18" x14ac:dyDescent="0.25">
      <c r="A99" s="21">
        <f t="shared" si="0"/>
        <v>-0.26318220860772901</v>
      </c>
      <c r="B99" t="s">
        <v>51</v>
      </c>
      <c r="C99" s="21" t="str">
        <f t="shared" si="1"/>
        <v>B</v>
      </c>
      <c r="D99">
        <v>155</v>
      </c>
      <c r="E99">
        <v>114.206757665802</v>
      </c>
      <c r="F99"/>
      <c r="G99" t="str">
        <f t="shared" si="2"/>
        <v/>
      </c>
      <c r="L99"/>
      <c r="Q99" s="21"/>
      <c r="R99" s="21"/>
    </row>
    <row r="100" spans="1:18" x14ac:dyDescent="0.25">
      <c r="A100" s="21">
        <f t="shared" si="0"/>
        <v>-0.29315326431881761</v>
      </c>
      <c r="B100" t="s">
        <v>51</v>
      </c>
      <c r="C100" s="21" t="str">
        <f t="shared" si="1"/>
        <v>B</v>
      </c>
      <c r="D100">
        <v>159</v>
      </c>
      <c r="E100">
        <v>112.388630973308</v>
      </c>
      <c r="F100"/>
      <c r="G100" t="str">
        <f t="shared" si="2"/>
        <v/>
      </c>
      <c r="L100"/>
      <c r="Q100" s="21"/>
      <c r="R100" s="21"/>
    </row>
    <row r="101" spans="1:18" x14ac:dyDescent="0.25">
      <c r="A101" s="21">
        <f t="shared" si="0"/>
        <v>5.1571363100026302E-2</v>
      </c>
      <c r="B101" t="s">
        <v>51</v>
      </c>
      <c r="C101" s="21" t="str">
        <f t="shared" si="1"/>
        <v>A</v>
      </c>
      <c r="D101">
        <v>114</v>
      </c>
      <c r="E101">
        <v>119.879135393403</v>
      </c>
      <c r="F101"/>
      <c r="G101" t="str">
        <f t="shared" si="2"/>
        <v/>
      </c>
      <c r="L101"/>
      <c r="Q101" s="21"/>
      <c r="R101" s="21"/>
    </row>
    <row r="102" spans="1:18" x14ac:dyDescent="0.25">
      <c r="A102" s="21">
        <f t="shared" si="0"/>
        <v>-7.3374811351441194E-2</v>
      </c>
      <c r="B102" t="s">
        <v>52</v>
      </c>
      <c r="C102" s="21" t="str">
        <f t="shared" si="1"/>
        <v>A</v>
      </c>
      <c r="D102">
        <v>136</v>
      </c>
      <c r="E102">
        <v>126.021025656204</v>
      </c>
      <c r="F102"/>
      <c r="G102" t="str">
        <f t="shared" si="2"/>
        <v/>
      </c>
      <c r="L102"/>
      <c r="Q102" s="21"/>
      <c r="R102" s="21"/>
    </row>
    <row r="103" spans="1:18" x14ac:dyDescent="0.25">
      <c r="A103" s="21">
        <f t="shared" ref="A103:A166" si="3">E103/D103-1</f>
        <v>0.22037197869341596</v>
      </c>
      <c r="B103" t="s">
        <v>52</v>
      </c>
      <c r="C103" s="21" t="str">
        <f t="shared" ref="C103:C166" si="4">IF(OR(A103&gt;=20%,A103&lt;=-20%),"B","A")</f>
        <v>B</v>
      </c>
      <c r="D103">
        <v>125</v>
      </c>
      <c r="E103">
        <v>152.54649733667699</v>
      </c>
      <c r="F103"/>
      <c r="G103" t="str">
        <f t="shared" ref="G103:G166" si="5">IF(C103="A","",IF(C103="B","",IF(C103="C",E103,"error")))</f>
        <v/>
      </c>
      <c r="L103"/>
      <c r="Q103" s="21"/>
      <c r="R103" s="21"/>
    </row>
    <row r="104" spans="1:18" x14ac:dyDescent="0.25">
      <c r="A104" s="21">
        <f t="shared" si="3"/>
        <v>0.27528726815659521</v>
      </c>
      <c r="B104" t="s">
        <v>52</v>
      </c>
      <c r="C104" s="21" t="str">
        <f t="shared" si="4"/>
        <v>B</v>
      </c>
      <c r="D104">
        <v>168</v>
      </c>
      <c r="E104">
        <v>214.248261050308</v>
      </c>
      <c r="F104"/>
      <c r="G104" t="str">
        <f t="shared" si="5"/>
        <v/>
      </c>
      <c r="L104"/>
      <c r="Q104" s="21"/>
      <c r="R104" s="21"/>
    </row>
    <row r="105" spans="1:18" x14ac:dyDescent="0.25">
      <c r="A105" s="21">
        <f t="shared" si="3"/>
        <v>0.21689331611682428</v>
      </c>
      <c r="B105" t="s">
        <v>52</v>
      </c>
      <c r="C105" s="21" t="str">
        <f t="shared" si="4"/>
        <v>B</v>
      </c>
      <c r="D105">
        <v>148</v>
      </c>
      <c r="E105">
        <v>180.10021078528999</v>
      </c>
      <c r="F105"/>
      <c r="G105" t="str">
        <f t="shared" si="5"/>
        <v/>
      </c>
      <c r="L105"/>
      <c r="Q105" s="21"/>
      <c r="R105" s="21"/>
    </row>
    <row r="106" spans="1:18" x14ac:dyDescent="0.25">
      <c r="A106" s="21">
        <f t="shared" si="3"/>
        <v>-0.22836914826113086</v>
      </c>
      <c r="B106" t="s">
        <v>52</v>
      </c>
      <c r="C106" s="21" t="str">
        <f t="shared" si="4"/>
        <v>B</v>
      </c>
      <c r="D106">
        <v>214</v>
      </c>
      <c r="E106">
        <v>165.12900227211799</v>
      </c>
      <c r="F106"/>
      <c r="G106" t="str">
        <f t="shared" si="5"/>
        <v/>
      </c>
      <c r="L106"/>
      <c r="Q106" s="21"/>
      <c r="R106" s="21"/>
    </row>
    <row r="107" spans="1:18" x14ac:dyDescent="0.25">
      <c r="A107" s="21">
        <f t="shared" si="3"/>
        <v>-5.1472652473086744E-2</v>
      </c>
      <c r="B107" t="s">
        <v>53</v>
      </c>
      <c r="C107" s="21" t="str">
        <f t="shared" si="4"/>
        <v>A</v>
      </c>
      <c r="D107">
        <v>196</v>
      </c>
      <c r="E107">
        <v>185.91136011527499</v>
      </c>
      <c r="F107"/>
      <c r="G107" t="str">
        <f t="shared" si="5"/>
        <v/>
      </c>
      <c r="L107"/>
      <c r="Q107" s="21"/>
      <c r="R107" s="21"/>
    </row>
    <row r="108" spans="1:18" x14ac:dyDescent="0.25">
      <c r="A108" s="21">
        <f t="shared" si="3"/>
        <v>-2.6025827242531996E-2</v>
      </c>
      <c r="B108" t="s">
        <v>53</v>
      </c>
      <c r="C108" s="21" t="str">
        <f t="shared" si="4"/>
        <v>A</v>
      </c>
      <c r="D108">
        <v>203</v>
      </c>
      <c r="E108">
        <v>197.716757069766</v>
      </c>
      <c r="F108"/>
      <c r="G108" t="str">
        <f t="shared" si="5"/>
        <v/>
      </c>
      <c r="L108"/>
      <c r="Q108" s="21"/>
      <c r="R108" s="21"/>
    </row>
    <row r="109" spans="1:18" x14ac:dyDescent="0.25">
      <c r="A109" s="21">
        <f t="shared" si="3"/>
        <v>-0.32672742540879141</v>
      </c>
      <c r="B109" t="s">
        <v>53</v>
      </c>
      <c r="C109" s="21" t="str">
        <f t="shared" si="4"/>
        <v>B</v>
      </c>
      <c r="D109">
        <v>278</v>
      </c>
      <c r="E109">
        <v>187.169775736356</v>
      </c>
      <c r="F109"/>
      <c r="G109" t="str">
        <f t="shared" si="5"/>
        <v/>
      </c>
      <c r="L109"/>
      <c r="Q109" s="21"/>
      <c r="R109" s="21"/>
    </row>
    <row r="110" spans="1:18" x14ac:dyDescent="0.25">
      <c r="A110" s="21">
        <f t="shared" si="3"/>
        <v>-0.15073533298990349</v>
      </c>
      <c r="B110" t="s">
        <v>53</v>
      </c>
      <c r="C110" s="21" t="str">
        <f t="shared" si="4"/>
        <v>A</v>
      </c>
      <c r="D110">
        <v>228</v>
      </c>
      <c r="E110">
        <v>193.632344078302</v>
      </c>
      <c r="F110"/>
      <c r="G110" t="str">
        <f t="shared" si="5"/>
        <v/>
      </c>
      <c r="L110"/>
      <c r="Q110" s="21"/>
      <c r="R110" s="21"/>
    </row>
    <row r="111" spans="1:18" x14ac:dyDescent="0.25">
      <c r="A111" s="21">
        <f t="shared" si="3"/>
        <v>2.2577230643583412E-4</v>
      </c>
      <c r="B111" t="s">
        <v>53</v>
      </c>
      <c r="C111" s="21" t="str">
        <f t="shared" si="4"/>
        <v>A</v>
      </c>
      <c r="D111">
        <v>195</v>
      </c>
      <c r="E111">
        <v>195.044025599755</v>
      </c>
      <c r="F111"/>
      <c r="G111" t="str">
        <f t="shared" si="5"/>
        <v/>
      </c>
      <c r="L111"/>
      <c r="Q111" s="21"/>
      <c r="R111" s="21"/>
    </row>
    <row r="112" spans="1:18" x14ac:dyDescent="0.25">
      <c r="A112" s="21">
        <f t="shared" si="3"/>
        <v>-0.22520746568180672</v>
      </c>
      <c r="B112" t="s">
        <v>45</v>
      </c>
      <c r="C112" s="21" t="str">
        <f t="shared" si="4"/>
        <v>B</v>
      </c>
      <c r="D112">
        <v>253.5</v>
      </c>
      <c r="E112">
        <v>196.409907449662</v>
      </c>
      <c r="F112"/>
      <c r="G112" t="str">
        <f t="shared" si="5"/>
        <v/>
      </c>
      <c r="L112"/>
      <c r="Q112" s="21"/>
      <c r="R112" s="21"/>
    </row>
    <row r="113" spans="1:18" x14ac:dyDescent="0.25">
      <c r="A113" s="21">
        <f t="shared" si="3"/>
        <v>-0.11715588701739788</v>
      </c>
      <c r="B113" t="s">
        <v>45</v>
      </c>
      <c r="C113" s="21" t="str">
        <f t="shared" si="4"/>
        <v>A</v>
      </c>
      <c r="D113">
        <v>242.5</v>
      </c>
      <c r="E113">
        <v>214.089697398281</v>
      </c>
      <c r="F113"/>
      <c r="G113" t="str">
        <f t="shared" si="5"/>
        <v/>
      </c>
      <c r="L113"/>
      <c r="Q113" s="21"/>
      <c r="R113" s="21"/>
    </row>
    <row r="114" spans="1:18" x14ac:dyDescent="0.25">
      <c r="A114" s="21">
        <f t="shared" si="3"/>
        <v>-0.24034987991080459</v>
      </c>
      <c r="B114" t="s">
        <v>45</v>
      </c>
      <c r="C114" s="21" t="str">
        <f t="shared" si="4"/>
        <v>B</v>
      </c>
      <c r="D114">
        <v>266</v>
      </c>
      <c r="E114">
        <v>202.06693194372599</v>
      </c>
      <c r="F114"/>
      <c r="G114" t="str">
        <f t="shared" si="5"/>
        <v/>
      </c>
      <c r="L114"/>
      <c r="Q114" s="21"/>
      <c r="R114" s="21"/>
    </row>
    <row r="115" spans="1:18" x14ac:dyDescent="0.25">
      <c r="A115" s="21">
        <f t="shared" si="3"/>
        <v>-0.31543643647298136</v>
      </c>
      <c r="B115" t="s">
        <v>45</v>
      </c>
      <c r="C115" s="21" t="str">
        <f t="shared" si="4"/>
        <v>B</v>
      </c>
      <c r="D115">
        <v>215</v>
      </c>
      <c r="E115">
        <v>147.181166158309</v>
      </c>
      <c r="F115"/>
      <c r="G115" t="str">
        <f t="shared" si="5"/>
        <v/>
      </c>
      <c r="L115"/>
      <c r="Q115" s="21"/>
      <c r="R115" s="21"/>
    </row>
    <row r="116" spans="1:18" x14ac:dyDescent="0.25">
      <c r="A116" s="21">
        <f t="shared" si="3"/>
        <v>0.10494722975638004</v>
      </c>
      <c r="B116" t="s">
        <v>45</v>
      </c>
      <c r="C116" s="21" t="str">
        <f t="shared" si="4"/>
        <v>A</v>
      </c>
      <c r="D116">
        <v>139.5</v>
      </c>
      <c r="E116">
        <v>154.14013855101501</v>
      </c>
      <c r="F116"/>
      <c r="G116" t="str">
        <f t="shared" si="5"/>
        <v/>
      </c>
      <c r="L116"/>
      <c r="Q116" s="21"/>
      <c r="R116" s="21"/>
    </row>
    <row r="117" spans="1:18" x14ac:dyDescent="0.25">
      <c r="A117" s="21">
        <f t="shared" si="3"/>
        <v>6.3439792548288798E-2</v>
      </c>
      <c r="B117" t="s">
        <v>47</v>
      </c>
      <c r="C117" s="21" t="str">
        <f t="shared" si="4"/>
        <v>A</v>
      </c>
      <c r="D117">
        <v>187</v>
      </c>
      <c r="E117">
        <v>198.86324120653001</v>
      </c>
      <c r="F117"/>
      <c r="G117" t="str">
        <f t="shared" si="5"/>
        <v/>
      </c>
      <c r="L117"/>
      <c r="Q117" s="21"/>
      <c r="R117" s="21"/>
    </row>
    <row r="118" spans="1:18" x14ac:dyDescent="0.25">
      <c r="A118" s="21">
        <f t="shared" si="3"/>
        <v>-0.20389659847977581</v>
      </c>
      <c r="B118" t="s">
        <v>47</v>
      </c>
      <c r="C118" s="21" t="str">
        <f t="shared" si="4"/>
        <v>B</v>
      </c>
      <c r="D118">
        <v>281</v>
      </c>
      <c r="E118">
        <v>223.705055827183</v>
      </c>
      <c r="F118"/>
      <c r="G118" t="str">
        <f t="shared" si="5"/>
        <v/>
      </c>
      <c r="L118"/>
      <c r="Q118" s="21"/>
      <c r="R118" s="21"/>
    </row>
    <row r="119" spans="1:18" x14ac:dyDescent="0.25">
      <c r="A119" s="21">
        <f t="shared" si="3"/>
        <v>-0.38698096359637257</v>
      </c>
      <c r="B119" t="s">
        <v>47</v>
      </c>
      <c r="C119" s="21" t="str">
        <f t="shared" si="4"/>
        <v>B</v>
      </c>
      <c r="D119">
        <v>306</v>
      </c>
      <c r="E119">
        <v>187.58382513951</v>
      </c>
      <c r="F119"/>
      <c r="G119" t="str">
        <f t="shared" si="5"/>
        <v/>
      </c>
      <c r="L119"/>
      <c r="Q119" s="21"/>
      <c r="R119" s="21"/>
    </row>
    <row r="120" spans="1:18" x14ac:dyDescent="0.25">
      <c r="A120" s="21">
        <f t="shared" si="3"/>
        <v>-0.10496711619688759</v>
      </c>
      <c r="B120" t="s">
        <v>47</v>
      </c>
      <c r="C120" s="21" t="str">
        <f t="shared" si="4"/>
        <v>A</v>
      </c>
      <c r="D120">
        <v>258</v>
      </c>
      <c r="E120">
        <v>230.918484021203</v>
      </c>
      <c r="F120"/>
      <c r="G120" t="str">
        <f t="shared" si="5"/>
        <v/>
      </c>
      <c r="L120"/>
      <c r="Q120" s="21"/>
      <c r="R120" s="21"/>
    </row>
    <row r="121" spans="1:18" x14ac:dyDescent="0.25">
      <c r="A121" s="21">
        <f t="shared" si="3"/>
        <v>-7.1997011578386783E-2</v>
      </c>
      <c r="B121" t="s">
        <v>47</v>
      </c>
      <c r="C121" s="21" t="str">
        <f t="shared" si="4"/>
        <v>A</v>
      </c>
      <c r="D121">
        <v>212</v>
      </c>
      <c r="E121">
        <v>196.73663354538201</v>
      </c>
      <c r="F121"/>
      <c r="G121" t="str">
        <f t="shared" si="5"/>
        <v/>
      </c>
      <c r="L121"/>
      <c r="Q121" s="21"/>
      <c r="R121" s="21"/>
    </row>
    <row r="122" spans="1:18" x14ac:dyDescent="0.25">
      <c r="A122" s="21">
        <f t="shared" si="3"/>
        <v>0.24580501819067213</v>
      </c>
      <c r="B122" t="s">
        <v>47</v>
      </c>
      <c r="C122" s="21" t="str">
        <f t="shared" si="4"/>
        <v>B</v>
      </c>
      <c r="D122">
        <v>186</v>
      </c>
      <c r="E122">
        <v>231.71973338346501</v>
      </c>
      <c r="F122"/>
      <c r="G122" t="str">
        <f t="shared" si="5"/>
        <v/>
      </c>
      <c r="L122"/>
      <c r="Q122" s="21"/>
      <c r="R122" s="21"/>
    </row>
    <row r="123" spans="1:18" x14ac:dyDescent="0.25">
      <c r="A123" s="21">
        <f t="shared" si="3"/>
        <v>0.32554175490896053</v>
      </c>
      <c r="B123" t="s">
        <v>69</v>
      </c>
      <c r="C123" s="21" t="str">
        <f t="shared" si="4"/>
        <v>B</v>
      </c>
      <c r="D123">
        <v>76</v>
      </c>
      <c r="E123">
        <v>100.741173373081</v>
      </c>
      <c r="F123"/>
      <c r="G123" t="str">
        <f t="shared" si="5"/>
        <v/>
      </c>
      <c r="L123"/>
      <c r="Q123" s="21"/>
      <c r="R123" s="21"/>
    </row>
    <row r="124" spans="1:18" x14ac:dyDescent="0.25">
      <c r="A124" s="21">
        <f t="shared" si="3"/>
        <v>-8.2133128555486046E-3</v>
      </c>
      <c r="B124" t="s">
        <v>69</v>
      </c>
      <c r="C124" s="21" t="str">
        <f t="shared" si="4"/>
        <v>A</v>
      </c>
      <c r="D124">
        <v>113</v>
      </c>
      <c r="E124">
        <v>112.071895647323</v>
      </c>
      <c r="F124"/>
      <c r="G124" t="str">
        <f t="shared" si="5"/>
        <v/>
      </c>
      <c r="L124"/>
      <c r="Q124" s="21"/>
      <c r="R124" s="21"/>
    </row>
    <row r="125" spans="1:18" x14ac:dyDescent="0.25">
      <c r="A125" s="21">
        <f t="shared" si="3"/>
        <v>2.2104066466111627E-2</v>
      </c>
      <c r="B125" t="s">
        <v>69</v>
      </c>
      <c r="C125" s="21" t="str">
        <f t="shared" si="4"/>
        <v>A</v>
      </c>
      <c r="D125">
        <v>87</v>
      </c>
      <c r="E125">
        <v>88.923053782551705</v>
      </c>
      <c r="F125"/>
      <c r="G125" t="str">
        <f t="shared" si="5"/>
        <v/>
      </c>
      <c r="L125"/>
      <c r="Q125" s="21"/>
      <c r="R125" s="21"/>
    </row>
    <row r="126" spans="1:18" x14ac:dyDescent="0.25">
      <c r="A126" s="21">
        <f t="shared" si="3"/>
        <v>0.5191620180946297</v>
      </c>
      <c r="B126" t="s">
        <v>69</v>
      </c>
      <c r="C126" s="21" t="str">
        <f t="shared" si="4"/>
        <v>B</v>
      </c>
      <c r="D126">
        <v>81</v>
      </c>
      <c r="E126">
        <v>123.05212346566501</v>
      </c>
      <c r="F126"/>
      <c r="G126" t="str">
        <f t="shared" si="5"/>
        <v/>
      </c>
      <c r="M126"/>
      <c r="Q126" s="21"/>
      <c r="R126" s="21"/>
    </row>
    <row r="127" spans="1:18" x14ac:dyDescent="0.25">
      <c r="A127" s="21">
        <f t="shared" si="3"/>
        <v>4.218839185417278E-2</v>
      </c>
      <c r="B127" t="s">
        <v>69</v>
      </c>
      <c r="C127" s="21" t="str">
        <f t="shared" si="4"/>
        <v>A</v>
      </c>
      <c r="D127">
        <v>110</v>
      </c>
      <c r="E127">
        <v>114.640723103959</v>
      </c>
      <c r="F127"/>
      <c r="G127" t="str">
        <f t="shared" si="5"/>
        <v/>
      </c>
      <c r="M127"/>
      <c r="Q127" s="21"/>
      <c r="R127" s="21"/>
    </row>
    <row r="128" spans="1:18" x14ac:dyDescent="0.25">
      <c r="A128" s="21">
        <f t="shared" si="3"/>
        <v>8.5966882863053984E-2</v>
      </c>
      <c r="B128" t="s">
        <v>69</v>
      </c>
      <c r="C128" s="21" t="str">
        <f t="shared" si="4"/>
        <v>A</v>
      </c>
      <c r="D128">
        <v>111</v>
      </c>
      <c r="E128">
        <v>120.542323997799</v>
      </c>
      <c r="F128"/>
      <c r="G128" t="str">
        <f t="shared" si="5"/>
        <v/>
      </c>
      <c r="M128"/>
      <c r="Q128" s="21"/>
      <c r="R128" s="21"/>
    </row>
    <row r="129" spans="1:18" x14ac:dyDescent="0.25">
      <c r="A129" s="21">
        <f t="shared" si="3"/>
        <v>0.29650453592004311</v>
      </c>
      <c r="B129" t="s">
        <v>69</v>
      </c>
      <c r="C129" s="21" t="str">
        <f t="shared" si="4"/>
        <v>B</v>
      </c>
      <c r="D129">
        <v>93</v>
      </c>
      <c r="E129">
        <v>120.574921840564</v>
      </c>
      <c r="F129"/>
      <c r="G129" t="str">
        <f t="shared" si="5"/>
        <v/>
      </c>
      <c r="M129"/>
      <c r="Q129" s="21"/>
      <c r="R129" s="21"/>
    </row>
    <row r="130" spans="1:18" x14ac:dyDescent="0.25">
      <c r="A130" s="21">
        <f t="shared" si="3"/>
        <v>0.13619650708749331</v>
      </c>
      <c r="B130" t="s">
        <v>47</v>
      </c>
      <c r="C130" s="21" t="str">
        <f t="shared" si="4"/>
        <v>A</v>
      </c>
      <c r="D130">
        <v>221</v>
      </c>
      <c r="E130">
        <v>251.099428066336</v>
      </c>
      <c r="F130"/>
      <c r="G130" t="str">
        <f t="shared" si="5"/>
        <v/>
      </c>
      <c r="M130"/>
      <c r="Q130" s="21"/>
      <c r="R130" s="21"/>
    </row>
    <row r="131" spans="1:18" x14ac:dyDescent="0.25">
      <c r="A131" s="21">
        <f t="shared" si="3"/>
        <v>-6.2782573126957231E-2</v>
      </c>
      <c r="B131" t="s">
        <v>47</v>
      </c>
      <c r="C131" s="21" t="str">
        <f t="shared" si="4"/>
        <v>A</v>
      </c>
      <c r="D131">
        <v>281</v>
      </c>
      <c r="E131">
        <v>263.35809695132502</v>
      </c>
      <c r="F131"/>
      <c r="G131" t="str">
        <f t="shared" si="5"/>
        <v/>
      </c>
      <c r="M131"/>
      <c r="Q131" s="21"/>
      <c r="R131" s="21"/>
    </row>
    <row r="132" spans="1:18" x14ac:dyDescent="0.25">
      <c r="A132" s="21">
        <f t="shared" si="3"/>
        <v>-9.4034869328641024E-2</v>
      </c>
      <c r="B132" t="s">
        <v>47</v>
      </c>
      <c r="C132" s="21" t="str">
        <f t="shared" si="4"/>
        <v>A</v>
      </c>
      <c r="D132">
        <v>287</v>
      </c>
      <c r="E132">
        <v>260.01199250268002</v>
      </c>
      <c r="F132"/>
      <c r="G132" t="str">
        <f t="shared" si="5"/>
        <v/>
      </c>
      <c r="M132"/>
      <c r="Q132" s="21"/>
      <c r="R132" s="21"/>
    </row>
    <row r="133" spans="1:18" x14ac:dyDescent="0.25">
      <c r="A133" s="21">
        <f t="shared" si="3"/>
        <v>-0.13236772195375379</v>
      </c>
      <c r="B133" t="s">
        <v>47</v>
      </c>
      <c r="C133" s="21" t="str">
        <f t="shared" si="4"/>
        <v>A</v>
      </c>
      <c r="D133">
        <v>260</v>
      </c>
      <c r="E133">
        <v>225.58439229202401</v>
      </c>
      <c r="F133"/>
      <c r="G133" t="str">
        <f t="shared" si="5"/>
        <v/>
      </c>
      <c r="M133"/>
      <c r="Q133" s="21"/>
      <c r="R133" s="21"/>
    </row>
    <row r="134" spans="1:18" x14ac:dyDescent="0.25">
      <c r="A134" s="21">
        <f t="shared" si="3"/>
        <v>-0.12645170578002662</v>
      </c>
      <c r="B134" t="s">
        <v>47</v>
      </c>
      <c r="C134" s="21" t="str">
        <f t="shared" si="4"/>
        <v>A</v>
      </c>
      <c r="D134">
        <v>263</v>
      </c>
      <c r="E134">
        <v>229.74320137985299</v>
      </c>
      <c r="F134"/>
      <c r="G134" t="str">
        <f t="shared" si="5"/>
        <v/>
      </c>
      <c r="N134"/>
      <c r="Q134" s="21"/>
      <c r="R134" s="21"/>
    </row>
    <row r="135" spans="1:18" x14ac:dyDescent="0.25">
      <c r="A135" s="21">
        <f t="shared" si="3"/>
        <v>-0.22096851400018891</v>
      </c>
      <c r="B135" t="s">
        <v>47</v>
      </c>
      <c r="C135" s="21" t="str">
        <f t="shared" si="4"/>
        <v>B</v>
      </c>
      <c r="D135">
        <v>323</v>
      </c>
      <c r="E135">
        <v>251.62716997793899</v>
      </c>
      <c r="F135"/>
      <c r="G135" t="str">
        <f t="shared" si="5"/>
        <v/>
      </c>
      <c r="N135"/>
      <c r="Q135" s="21"/>
      <c r="R135" s="21"/>
    </row>
    <row r="136" spans="1:18" x14ac:dyDescent="0.25">
      <c r="A136" s="21">
        <f t="shared" si="3"/>
        <v>-3.6083338005673427E-2</v>
      </c>
      <c r="B136" t="s">
        <v>70</v>
      </c>
      <c r="C136" s="21" t="str">
        <f t="shared" si="4"/>
        <v>A</v>
      </c>
      <c r="D136">
        <v>150</v>
      </c>
      <c r="E136">
        <v>144.58749929914899</v>
      </c>
      <c r="F136"/>
      <c r="G136" t="str">
        <f t="shared" si="5"/>
        <v/>
      </c>
      <c r="N136"/>
      <c r="Q136" s="21"/>
      <c r="R136" s="21"/>
    </row>
    <row r="137" spans="1:18" x14ac:dyDescent="0.25">
      <c r="A137" s="21">
        <f t="shared" si="3"/>
        <v>0.21091116591259551</v>
      </c>
      <c r="B137" t="s">
        <v>70</v>
      </c>
      <c r="C137" s="21" t="str">
        <f t="shared" si="4"/>
        <v>B</v>
      </c>
      <c r="D137">
        <v>131</v>
      </c>
      <c r="E137">
        <v>158.62936273455</v>
      </c>
      <c r="F137"/>
      <c r="G137"/>
      <c r="N137"/>
      <c r="Q137" s="21"/>
      <c r="R137" s="21"/>
    </row>
    <row r="138" spans="1:18" x14ac:dyDescent="0.25">
      <c r="A138" s="21">
        <f t="shared" si="3"/>
        <v>0.24780291193916448</v>
      </c>
      <c r="B138" t="s">
        <v>70</v>
      </c>
      <c r="C138" s="21" t="str">
        <f t="shared" si="4"/>
        <v>B</v>
      </c>
      <c r="D138">
        <v>152</v>
      </c>
      <c r="E138">
        <v>189.666042614753</v>
      </c>
      <c r="F138"/>
      <c r="G138" t="str">
        <f t="shared" si="5"/>
        <v/>
      </c>
      <c r="N138"/>
      <c r="Q138" s="21"/>
      <c r="R138" s="21"/>
    </row>
    <row r="139" spans="1:18" x14ac:dyDescent="0.25">
      <c r="A139" s="21">
        <f t="shared" si="3"/>
        <v>3.8304217786128136E-2</v>
      </c>
      <c r="B139" t="s">
        <v>70</v>
      </c>
      <c r="C139" s="21" t="str">
        <f t="shared" si="4"/>
        <v>A</v>
      </c>
      <c r="D139">
        <v>156</v>
      </c>
      <c r="E139">
        <v>161.97545797463599</v>
      </c>
      <c r="F139"/>
      <c r="G139" t="str">
        <f t="shared" si="5"/>
        <v/>
      </c>
      <c r="N139"/>
      <c r="Q139" s="21"/>
      <c r="R139" s="21"/>
    </row>
    <row r="140" spans="1:18" x14ac:dyDescent="0.25">
      <c r="A140" s="21">
        <f t="shared" si="3"/>
        <v>3.9852752346696718E-2</v>
      </c>
      <c r="B140" t="s">
        <v>70</v>
      </c>
      <c r="C140" s="21" t="str">
        <f t="shared" si="4"/>
        <v>A</v>
      </c>
      <c r="D140">
        <v>93</v>
      </c>
      <c r="E140">
        <v>96.706305968242802</v>
      </c>
      <c r="F140"/>
      <c r="G140" t="str">
        <f t="shared" si="5"/>
        <v/>
      </c>
      <c r="N140"/>
      <c r="Q140" s="21"/>
      <c r="R140" s="21"/>
    </row>
    <row r="141" spans="1:18" x14ac:dyDescent="0.25">
      <c r="A141" s="21">
        <f t="shared" si="3"/>
        <v>-8.3749118289374258E-2</v>
      </c>
      <c r="B141" t="s">
        <v>70</v>
      </c>
      <c r="C141" s="21" t="str">
        <f t="shared" si="4"/>
        <v>A</v>
      </c>
      <c r="D141">
        <v>155</v>
      </c>
      <c r="E141">
        <v>142.01888666514699</v>
      </c>
      <c r="F141"/>
      <c r="G141" t="str">
        <f t="shared" si="5"/>
        <v/>
      </c>
      <c r="N141"/>
      <c r="Q141" s="21"/>
      <c r="R141" s="21"/>
    </row>
    <row r="142" spans="1:18" x14ac:dyDescent="0.25">
      <c r="A142" s="21">
        <f t="shared" si="3"/>
        <v>-6.1856163101156048E-3</v>
      </c>
      <c r="B142" t="s">
        <v>70</v>
      </c>
      <c r="C142" s="21" t="str">
        <f t="shared" si="4"/>
        <v>A</v>
      </c>
      <c r="D142">
        <v>147</v>
      </c>
      <c r="E142">
        <v>146.090714402413</v>
      </c>
      <c r="F142"/>
      <c r="G142" t="str">
        <f t="shared" si="5"/>
        <v/>
      </c>
      <c r="O142"/>
      <c r="Q142" s="21"/>
      <c r="R142" s="21"/>
    </row>
    <row r="143" spans="1:18" x14ac:dyDescent="0.25">
      <c r="A143" s="21">
        <f t="shared" si="3"/>
        <v>-1.3993416387982127E-2</v>
      </c>
      <c r="B143" t="s">
        <v>70</v>
      </c>
      <c r="C143" s="21" t="str">
        <f t="shared" si="4"/>
        <v>A</v>
      </c>
      <c r="D143">
        <v>112</v>
      </c>
      <c r="E143">
        <v>110.432737364546</v>
      </c>
      <c r="F143"/>
      <c r="G143" t="str">
        <f t="shared" si="5"/>
        <v/>
      </c>
      <c r="O143"/>
      <c r="Q143" s="21"/>
      <c r="R143" s="21"/>
    </row>
    <row r="144" spans="1:18" x14ac:dyDescent="0.25">
      <c r="A144" s="21">
        <f t="shared" si="3"/>
        <v>0.33317337318895057</v>
      </c>
      <c r="B144" t="s">
        <v>46</v>
      </c>
      <c r="C144" s="21" t="str">
        <f t="shared" si="4"/>
        <v>B</v>
      </c>
      <c r="D144">
        <v>101</v>
      </c>
      <c r="E144">
        <v>134.650510692084</v>
      </c>
      <c r="F144"/>
      <c r="G144" t="str">
        <f t="shared" si="5"/>
        <v/>
      </c>
      <c r="O144"/>
      <c r="Q144" s="21"/>
      <c r="R144" s="21"/>
    </row>
    <row r="145" spans="1:18" x14ac:dyDescent="0.25">
      <c r="A145" s="21">
        <f t="shared" si="3"/>
        <v>-7.4569443021417881E-2</v>
      </c>
      <c r="B145" t="s">
        <v>46</v>
      </c>
      <c r="C145" s="21" t="str">
        <f t="shared" si="4"/>
        <v>A</v>
      </c>
      <c r="D145">
        <v>173.5</v>
      </c>
      <c r="E145">
        <v>160.56220163578399</v>
      </c>
      <c r="F145"/>
      <c r="G145" t="str">
        <f t="shared" si="5"/>
        <v/>
      </c>
      <c r="O145"/>
      <c r="Q145" s="21"/>
      <c r="R145" s="21"/>
    </row>
    <row r="146" spans="1:18" x14ac:dyDescent="0.25">
      <c r="A146" s="21">
        <f t="shared" si="3"/>
        <v>7.632222810487943E-2</v>
      </c>
      <c r="B146" t="s">
        <v>46</v>
      </c>
      <c r="C146" s="21" t="str">
        <f t="shared" si="4"/>
        <v>A</v>
      </c>
      <c r="D146">
        <v>141</v>
      </c>
      <c r="E146">
        <v>151.76143416278799</v>
      </c>
      <c r="F146"/>
      <c r="G146" t="str">
        <f t="shared" si="5"/>
        <v/>
      </c>
      <c r="O146"/>
      <c r="Q146" s="21"/>
      <c r="R146" s="21"/>
    </row>
    <row r="147" spans="1:18" x14ac:dyDescent="0.25">
      <c r="A147" s="21">
        <f t="shared" si="3"/>
        <v>-3.3844008358235755E-2</v>
      </c>
      <c r="B147" t="s">
        <v>46</v>
      </c>
      <c r="C147" s="21" t="str">
        <f t="shared" si="4"/>
        <v>A</v>
      </c>
      <c r="D147">
        <v>157</v>
      </c>
      <c r="E147">
        <v>151.68649068775699</v>
      </c>
      <c r="F147"/>
      <c r="G147" t="str">
        <f t="shared" si="5"/>
        <v/>
      </c>
      <c r="O147"/>
      <c r="Q147" s="21"/>
      <c r="R147" s="21"/>
    </row>
    <row r="148" spans="1:18" x14ac:dyDescent="0.25">
      <c r="A148" s="21">
        <f t="shared" si="3"/>
        <v>0.17943846295384436</v>
      </c>
      <c r="B148" t="s">
        <v>46</v>
      </c>
      <c r="C148" s="21" t="str">
        <f t="shared" si="4"/>
        <v>A</v>
      </c>
      <c r="D148">
        <v>138.25</v>
      </c>
      <c r="E148">
        <v>163.05736750336899</v>
      </c>
      <c r="F148"/>
      <c r="G148" t="str">
        <f t="shared" si="5"/>
        <v/>
      </c>
      <c r="O148"/>
      <c r="Q148" s="21"/>
      <c r="R148" s="21"/>
    </row>
    <row r="149" spans="1:18" x14ac:dyDescent="0.25">
      <c r="A149" s="21">
        <f t="shared" si="3"/>
        <v>0.19864074334440551</v>
      </c>
      <c r="B149" t="s">
        <v>46</v>
      </c>
      <c r="C149" s="21" t="str">
        <f t="shared" si="4"/>
        <v>A</v>
      </c>
      <c r="D149">
        <v>111</v>
      </c>
      <c r="E149">
        <v>133.049122511229</v>
      </c>
      <c r="F149"/>
      <c r="G149" t="str">
        <f t="shared" si="5"/>
        <v/>
      </c>
      <c r="O149"/>
      <c r="Q149" s="21"/>
      <c r="R149" s="21"/>
    </row>
    <row r="150" spans="1:18" x14ac:dyDescent="0.25">
      <c r="A150" s="21">
        <f t="shared" si="3"/>
        <v>0.24149768532670257</v>
      </c>
      <c r="B150" t="s">
        <v>46</v>
      </c>
      <c r="C150" s="21" t="str">
        <f t="shared" si="4"/>
        <v>B</v>
      </c>
      <c r="D150">
        <v>111</v>
      </c>
      <c r="E150">
        <v>137.80624307126399</v>
      </c>
      <c r="F150"/>
      <c r="G150" t="str">
        <f t="shared" si="5"/>
        <v/>
      </c>
      <c r="O150"/>
      <c r="Q150" s="21"/>
      <c r="R150" s="21"/>
    </row>
    <row r="151" spans="1:18" x14ac:dyDescent="0.25">
      <c r="A151" s="21">
        <f t="shared" si="3"/>
        <v>0.28133823101457889</v>
      </c>
      <c r="B151" t="s">
        <v>46</v>
      </c>
      <c r="C151" s="21" t="str">
        <f t="shared" si="4"/>
        <v>B</v>
      </c>
      <c r="D151">
        <v>95</v>
      </c>
      <c r="E151">
        <v>121.727131946385</v>
      </c>
      <c r="F151"/>
      <c r="G151" t="str">
        <f t="shared" si="5"/>
        <v/>
      </c>
      <c r="O151"/>
      <c r="Q151" s="21"/>
      <c r="R151" s="21"/>
    </row>
    <row r="152" spans="1:18" x14ac:dyDescent="0.25">
      <c r="A152" s="21">
        <f t="shared" si="3"/>
        <v>-0.1614543742248562</v>
      </c>
      <c r="B152" t="s">
        <v>46</v>
      </c>
      <c r="C152" s="21" t="str">
        <f t="shared" si="4"/>
        <v>A</v>
      </c>
      <c r="D152">
        <v>156.5</v>
      </c>
      <c r="E152">
        <v>131.23239043381</v>
      </c>
      <c r="F152"/>
      <c r="G152" t="str">
        <f t="shared" si="5"/>
        <v/>
      </c>
      <c r="Q152" s="21"/>
      <c r="R152" s="21"/>
    </row>
    <row r="153" spans="1:18" x14ac:dyDescent="0.25">
      <c r="A153" s="21">
        <f t="shared" si="3"/>
        <v>0.30838101659023276</v>
      </c>
      <c r="B153" t="s">
        <v>46</v>
      </c>
      <c r="C153" s="21" t="str">
        <f t="shared" si="4"/>
        <v>B</v>
      </c>
      <c r="D153">
        <v>116</v>
      </c>
      <c r="E153">
        <v>151.77219792446701</v>
      </c>
      <c r="F153"/>
      <c r="G153" t="str">
        <f t="shared" si="5"/>
        <v/>
      </c>
      <c r="Q153" s="21"/>
      <c r="R153" s="21"/>
    </row>
    <row r="154" spans="1:18" x14ac:dyDescent="0.25">
      <c r="A154" s="21">
        <f t="shared" si="3"/>
        <v>0.13186808311471077</v>
      </c>
      <c r="B154" t="s">
        <v>46</v>
      </c>
      <c r="C154" s="21" t="str">
        <f t="shared" si="4"/>
        <v>A</v>
      </c>
      <c r="D154">
        <v>121</v>
      </c>
      <c r="E154">
        <v>136.95603805688</v>
      </c>
      <c r="F154"/>
      <c r="G154" t="str">
        <f t="shared" si="5"/>
        <v/>
      </c>
      <c r="Q154" s="21"/>
      <c r="R154" s="21"/>
    </row>
    <row r="155" spans="1:18" x14ac:dyDescent="0.25">
      <c r="A155" s="21">
        <f t="shared" si="3"/>
        <v>-6.8583841418156655E-2</v>
      </c>
      <c r="B155" t="s">
        <v>71</v>
      </c>
      <c r="C155" s="21" t="str">
        <f t="shared" si="4"/>
        <v>A</v>
      </c>
      <c r="D155">
        <v>108.5</v>
      </c>
      <c r="E155">
        <v>101.05865320613</v>
      </c>
      <c r="F155"/>
      <c r="G155" t="str">
        <f t="shared" si="5"/>
        <v/>
      </c>
      <c r="Q155" s="21"/>
      <c r="R155" s="21"/>
    </row>
    <row r="156" spans="1:18" x14ac:dyDescent="0.25">
      <c r="A156" s="21">
        <f t="shared" si="3"/>
        <v>-0.3128320065167518</v>
      </c>
      <c r="B156" t="s">
        <v>71</v>
      </c>
      <c r="C156" s="21" t="str">
        <f t="shared" si="4"/>
        <v>B</v>
      </c>
      <c r="D156">
        <v>203.5</v>
      </c>
      <c r="E156">
        <v>139.83868667384101</v>
      </c>
      <c r="F156"/>
      <c r="G156" t="str">
        <f t="shared" si="5"/>
        <v/>
      </c>
      <c r="Q156" s="21"/>
      <c r="R156" s="21"/>
    </row>
    <row r="157" spans="1:18" x14ac:dyDescent="0.25">
      <c r="A157" s="21">
        <f t="shared" si="3"/>
        <v>-0.34026589452938372</v>
      </c>
      <c r="B157" t="s">
        <v>71</v>
      </c>
      <c r="C157" s="21" t="str">
        <f t="shared" si="4"/>
        <v>B</v>
      </c>
      <c r="D157">
        <v>159</v>
      </c>
      <c r="E157">
        <v>104.89772276982799</v>
      </c>
      <c r="F157"/>
      <c r="G157" t="str">
        <f t="shared" si="5"/>
        <v/>
      </c>
      <c r="Q157" s="21"/>
      <c r="R157" s="21"/>
    </row>
    <row r="158" spans="1:18" x14ac:dyDescent="0.25">
      <c r="A158" s="21">
        <f t="shared" si="3"/>
        <v>1.8109241137792331E-2</v>
      </c>
      <c r="B158" t="s">
        <v>71</v>
      </c>
      <c r="C158" s="21" t="str">
        <f t="shared" si="4"/>
        <v>A</v>
      </c>
      <c r="D158">
        <v>91</v>
      </c>
      <c r="E158">
        <v>92.647940943539098</v>
      </c>
      <c r="F158"/>
      <c r="G158" t="str">
        <f t="shared" si="5"/>
        <v/>
      </c>
      <c r="Q158" s="21"/>
      <c r="R158" s="21"/>
    </row>
    <row r="159" spans="1:18" x14ac:dyDescent="0.25">
      <c r="A159" s="21">
        <f t="shared" si="3"/>
        <v>0.10747491126735986</v>
      </c>
      <c r="B159" t="s">
        <v>71</v>
      </c>
      <c r="C159" s="21" t="str">
        <f t="shared" si="4"/>
        <v>A</v>
      </c>
      <c r="D159">
        <v>87.5</v>
      </c>
      <c r="E159">
        <v>96.904054735893993</v>
      </c>
      <c r="F159"/>
      <c r="G159" t="str">
        <f t="shared" si="5"/>
        <v/>
      </c>
      <c r="Q159" s="21"/>
      <c r="R159" s="21"/>
    </row>
    <row r="160" spans="1:18" x14ac:dyDescent="0.25">
      <c r="A160" s="21">
        <f t="shared" si="3"/>
        <v>-0.28597139468791533</v>
      </c>
      <c r="B160" t="s">
        <v>71</v>
      </c>
      <c r="C160" s="21" t="str">
        <f t="shared" si="4"/>
        <v>B</v>
      </c>
      <c r="D160">
        <v>131</v>
      </c>
      <c r="E160">
        <v>93.537747295883094</v>
      </c>
      <c r="F160"/>
      <c r="G160" t="str">
        <f t="shared" si="5"/>
        <v/>
      </c>
      <c r="Q160" s="21"/>
      <c r="R160" s="21"/>
    </row>
    <row r="161" spans="1:18" x14ac:dyDescent="0.25">
      <c r="A161" s="21">
        <f t="shared" si="3"/>
        <v>-0.12966889321212771</v>
      </c>
      <c r="B161" t="s">
        <v>71</v>
      </c>
      <c r="C161" s="21" t="str">
        <f t="shared" si="4"/>
        <v>A</v>
      </c>
      <c r="D161">
        <v>117.5</v>
      </c>
      <c r="E161">
        <v>102.26390504757499</v>
      </c>
      <c r="F161"/>
      <c r="G161" t="str">
        <f t="shared" si="5"/>
        <v/>
      </c>
      <c r="Q161" s="21"/>
      <c r="R161" s="21"/>
    </row>
    <row r="162" spans="1:18" x14ac:dyDescent="0.25">
      <c r="A162" s="21">
        <f t="shared" si="3"/>
        <v>4.6715316155438114E-2</v>
      </c>
      <c r="B162" t="s">
        <v>71</v>
      </c>
      <c r="C162" s="21" t="str">
        <f t="shared" si="4"/>
        <v>A</v>
      </c>
      <c r="D162">
        <v>105</v>
      </c>
      <c r="E162">
        <v>109.905108196321</v>
      </c>
      <c r="F162"/>
      <c r="G162" t="str">
        <f t="shared" si="5"/>
        <v/>
      </c>
      <c r="Q162" s="21"/>
      <c r="R162" s="21"/>
    </row>
    <row r="163" spans="1:18" x14ac:dyDescent="0.25">
      <c r="A163" s="21">
        <f t="shared" si="3"/>
        <v>2.3360183032841819E-2</v>
      </c>
      <c r="B163" t="s">
        <v>71</v>
      </c>
      <c r="C163" s="21" t="str">
        <f t="shared" si="4"/>
        <v>A</v>
      </c>
      <c r="D163">
        <v>95.5</v>
      </c>
      <c r="E163">
        <v>97.730897479636397</v>
      </c>
      <c r="F163"/>
      <c r="G163" t="str">
        <f t="shared" si="5"/>
        <v/>
      </c>
      <c r="Q163" s="21"/>
      <c r="R163" s="21"/>
    </row>
    <row r="164" spans="1:18" x14ac:dyDescent="0.25">
      <c r="A164" s="21">
        <f t="shared" si="3"/>
        <v>-0.37451999183879903</v>
      </c>
      <c r="B164" t="s">
        <v>71</v>
      </c>
      <c r="C164" s="21" t="str">
        <f t="shared" si="4"/>
        <v>B</v>
      </c>
      <c r="D164">
        <v>219</v>
      </c>
      <c r="E164">
        <v>136.98012178730301</v>
      </c>
      <c r="F164"/>
      <c r="G164" t="str">
        <f t="shared" si="5"/>
        <v/>
      </c>
      <c r="Q164" s="21"/>
      <c r="R164" s="21"/>
    </row>
    <row r="165" spans="1:18" x14ac:dyDescent="0.25">
      <c r="A165" s="21">
        <f t="shared" si="3"/>
        <v>-0.31664353290676639</v>
      </c>
      <c r="B165" t="s">
        <v>71</v>
      </c>
      <c r="C165" s="21" t="str">
        <f t="shared" si="4"/>
        <v>B</v>
      </c>
      <c r="D165">
        <v>197</v>
      </c>
      <c r="E165">
        <v>134.62122401736701</v>
      </c>
      <c r="F165"/>
      <c r="G165" t="str">
        <f t="shared" si="5"/>
        <v/>
      </c>
      <c r="Q165" s="21"/>
      <c r="R165" s="21"/>
    </row>
    <row r="166" spans="1:18" x14ac:dyDescent="0.25">
      <c r="A166" s="21">
        <f t="shared" si="3"/>
        <v>7.8002139580948038E-2</v>
      </c>
      <c r="B166" t="s">
        <v>71</v>
      </c>
      <c r="C166" s="21" t="str">
        <f t="shared" si="4"/>
        <v>A</v>
      </c>
      <c r="D166">
        <v>154</v>
      </c>
      <c r="E166">
        <v>166.01232949546599</v>
      </c>
      <c r="F166"/>
      <c r="G166" t="str">
        <f t="shared" si="5"/>
        <v/>
      </c>
      <c r="Q166" s="21"/>
      <c r="R166" s="21"/>
    </row>
    <row r="167" spans="1:18" x14ac:dyDescent="0.25">
      <c r="A167" s="21">
        <f t="shared" ref="A167:A230" si="6">E167/D167-1</f>
        <v>0.19484327045174221</v>
      </c>
      <c r="B167" t="s">
        <v>48</v>
      </c>
      <c r="C167" s="21" t="str">
        <f t="shared" ref="C167:C230" si="7">IF(OR(A167&gt;=20%,A167&lt;=-20%),"B","A")</f>
        <v>A</v>
      </c>
      <c r="D167">
        <v>97</v>
      </c>
      <c r="E167">
        <v>115.899797233819</v>
      </c>
      <c r="F167"/>
      <c r="G167" t="str">
        <f t="shared" ref="G167:G219" si="8">IF(C167="A","",IF(C167="B","",IF(C167="C",E167,"error")))</f>
        <v/>
      </c>
    </row>
    <row r="168" spans="1:18" x14ac:dyDescent="0.25">
      <c r="A168" s="21">
        <f t="shared" si="6"/>
        <v>9.5006368302858135E-2</v>
      </c>
      <c r="B168" t="s">
        <v>48</v>
      </c>
      <c r="C168" s="21" t="str">
        <f t="shared" si="7"/>
        <v>A</v>
      </c>
      <c r="D168">
        <v>169</v>
      </c>
      <c r="E168">
        <v>185.05607624318301</v>
      </c>
      <c r="F168"/>
      <c r="G168" t="str">
        <f t="shared" si="8"/>
        <v/>
      </c>
    </row>
    <row r="169" spans="1:18" x14ac:dyDescent="0.25">
      <c r="A169" s="21">
        <f t="shared" si="6"/>
        <v>0.10022602133497371</v>
      </c>
      <c r="B169" t="s">
        <v>48</v>
      </c>
      <c r="C169" s="21" t="str">
        <f t="shared" si="7"/>
        <v>A</v>
      </c>
      <c r="D169">
        <v>114</v>
      </c>
      <c r="E169">
        <v>125.425766432187</v>
      </c>
      <c r="F169"/>
      <c r="G169" t="str">
        <f t="shared" si="8"/>
        <v/>
      </c>
    </row>
    <row r="170" spans="1:18" x14ac:dyDescent="0.25">
      <c r="A170" s="21">
        <f t="shared" si="6"/>
        <v>0.20085518620786846</v>
      </c>
      <c r="B170" t="s">
        <v>48</v>
      </c>
      <c r="C170" s="21" t="str">
        <f t="shared" si="7"/>
        <v>B</v>
      </c>
      <c r="D170">
        <v>137</v>
      </c>
      <c r="E170">
        <v>164.51716051047799</v>
      </c>
      <c r="F170"/>
      <c r="G170" t="str">
        <f t="shared" si="8"/>
        <v/>
      </c>
    </row>
    <row r="171" spans="1:18" x14ac:dyDescent="0.25">
      <c r="A171" s="21">
        <f t="shared" si="6"/>
        <v>0.33121502188284024</v>
      </c>
      <c r="B171" t="s">
        <v>48</v>
      </c>
      <c r="C171" s="21" t="str">
        <f t="shared" si="7"/>
        <v>B</v>
      </c>
      <c r="D171">
        <v>119</v>
      </c>
      <c r="E171">
        <v>158.414587604058</v>
      </c>
      <c r="F171"/>
      <c r="G171" t="str">
        <f t="shared" si="8"/>
        <v/>
      </c>
    </row>
    <row r="172" spans="1:18" x14ac:dyDescent="0.25">
      <c r="A172" s="21">
        <f t="shared" si="6"/>
        <v>0.16025798071858888</v>
      </c>
      <c r="B172" t="s">
        <v>48</v>
      </c>
      <c r="C172" s="21" t="str">
        <f t="shared" si="7"/>
        <v>A</v>
      </c>
      <c r="D172">
        <v>107</v>
      </c>
      <c r="E172">
        <v>124.147603936889</v>
      </c>
      <c r="F172"/>
      <c r="G172" t="str">
        <f t="shared" si="8"/>
        <v/>
      </c>
    </row>
    <row r="173" spans="1:18" x14ac:dyDescent="0.25">
      <c r="A173" s="21">
        <f t="shared" si="6"/>
        <v>-0.28160873574598511</v>
      </c>
      <c r="B173" t="s">
        <v>49</v>
      </c>
      <c r="C173" s="21" t="str">
        <f t="shared" si="7"/>
        <v>B</v>
      </c>
      <c r="D173">
        <v>94</v>
      </c>
      <c r="E173">
        <v>67.528778839877404</v>
      </c>
      <c r="F173"/>
      <c r="G173" t="str">
        <f t="shared" si="8"/>
        <v/>
      </c>
    </row>
    <row r="174" spans="1:18" x14ac:dyDescent="0.25">
      <c r="A174" s="21">
        <f t="shared" si="6"/>
        <v>0.41637297608676316</v>
      </c>
      <c r="B174" t="s">
        <v>49</v>
      </c>
      <c r="C174" s="21" t="str">
        <f t="shared" si="7"/>
        <v>B</v>
      </c>
      <c r="D174">
        <v>114</v>
      </c>
      <c r="E174">
        <v>161.46651927389101</v>
      </c>
      <c r="F174"/>
      <c r="G174" t="str">
        <f t="shared" si="8"/>
        <v/>
      </c>
    </row>
    <row r="175" spans="1:18" x14ac:dyDescent="0.25">
      <c r="A175" s="21">
        <f t="shared" si="6"/>
        <v>0.37935616330020494</v>
      </c>
      <c r="B175" t="s">
        <v>49</v>
      </c>
      <c r="C175" s="21" t="str">
        <f t="shared" si="7"/>
        <v>B</v>
      </c>
      <c r="D175">
        <v>117</v>
      </c>
      <c r="E175">
        <v>161.38467110612399</v>
      </c>
      <c r="F175"/>
      <c r="G175" t="str">
        <f t="shared" si="8"/>
        <v/>
      </c>
    </row>
    <row r="176" spans="1:18" x14ac:dyDescent="0.25">
      <c r="A176" s="21">
        <f t="shared" si="6"/>
        <v>0.49389735093403631</v>
      </c>
      <c r="B176" t="s">
        <v>49</v>
      </c>
      <c r="C176" s="21" t="str">
        <f t="shared" si="7"/>
        <v>B</v>
      </c>
      <c r="D176">
        <v>110</v>
      </c>
      <c r="E176">
        <v>164.328708602744</v>
      </c>
      <c r="F176"/>
      <c r="G176" t="str">
        <f t="shared" si="8"/>
        <v/>
      </c>
    </row>
    <row r="177" spans="1:7" x14ac:dyDescent="0.25">
      <c r="A177" s="21">
        <f t="shared" si="6"/>
        <v>0.30437965130616673</v>
      </c>
      <c r="B177" t="s">
        <v>49</v>
      </c>
      <c r="C177" s="21" t="str">
        <f t="shared" si="7"/>
        <v>B</v>
      </c>
      <c r="D177">
        <v>78</v>
      </c>
      <c r="E177">
        <v>101.741612801881</v>
      </c>
      <c r="F177"/>
      <c r="G177" t="str">
        <f t="shared" si="8"/>
        <v/>
      </c>
    </row>
    <row r="178" spans="1:7" x14ac:dyDescent="0.25">
      <c r="A178" s="21">
        <f t="shared" si="6"/>
        <v>0.25248854928877607</v>
      </c>
      <c r="B178" t="s">
        <v>49</v>
      </c>
      <c r="C178" s="21" t="str">
        <f t="shared" si="7"/>
        <v>B</v>
      </c>
      <c r="D178">
        <v>125</v>
      </c>
      <c r="E178">
        <v>156.56106866109701</v>
      </c>
      <c r="F178"/>
      <c r="G178" t="str">
        <f t="shared" si="8"/>
        <v/>
      </c>
    </row>
    <row r="179" spans="1:7" x14ac:dyDescent="0.25">
      <c r="A179" s="21">
        <f t="shared" si="6"/>
        <v>3.673394920430062E-2</v>
      </c>
      <c r="B179" t="s">
        <v>49</v>
      </c>
      <c r="C179" s="21" t="str">
        <f t="shared" si="7"/>
        <v>A</v>
      </c>
      <c r="D179">
        <v>143</v>
      </c>
      <c r="E179">
        <v>148.252954736215</v>
      </c>
      <c r="F179"/>
      <c r="G179" t="str">
        <f t="shared" si="8"/>
        <v/>
      </c>
    </row>
    <row r="180" spans="1:7" x14ac:dyDescent="0.25">
      <c r="A180" s="21">
        <f t="shared" si="6"/>
        <v>4.488780887009014E-2</v>
      </c>
      <c r="B180" t="s">
        <v>49</v>
      </c>
      <c r="C180" s="21" t="str">
        <f t="shared" si="7"/>
        <v>A</v>
      </c>
      <c r="D180">
        <v>122</v>
      </c>
      <c r="E180">
        <v>127.476312682151</v>
      </c>
      <c r="F180"/>
      <c r="G180" t="str">
        <f t="shared" si="8"/>
        <v/>
      </c>
    </row>
    <row r="181" spans="1:7" x14ac:dyDescent="0.25">
      <c r="A181" s="21">
        <f t="shared" si="6"/>
        <v>0.21230929059476855</v>
      </c>
      <c r="B181" t="s">
        <v>49</v>
      </c>
      <c r="C181" s="21" t="str">
        <f t="shared" si="7"/>
        <v>B</v>
      </c>
      <c r="D181">
        <v>108</v>
      </c>
      <c r="E181">
        <v>130.929403384235</v>
      </c>
      <c r="F181"/>
      <c r="G181" t="str">
        <f t="shared" si="8"/>
        <v/>
      </c>
    </row>
    <row r="182" spans="1:7" x14ac:dyDescent="0.25">
      <c r="A182" s="21">
        <f t="shared" si="6"/>
        <v>0.4427034946909445</v>
      </c>
      <c r="B182" t="s">
        <v>49</v>
      </c>
      <c r="C182" s="21" t="str">
        <f t="shared" si="7"/>
        <v>B</v>
      </c>
      <c r="D182">
        <v>90</v>
      </c>
      <c r="E182">
        <v>129.84331452218501</v>
      </c>
      <c r="F182"/>
      <c r="G182" t="str">
        <f t="shared" si="8"/>
        <v/>
      </c>
    </row>
    <row r="183" spans="1:7" x14ac:dyDescent="0.25">
      <c r="A183" s="21">
        <f t="shared" si="6"/>
        <v>4.3505813704311835E-2</v>
      </c>
      <c r="B183" t="s">
        <v>49</v>
      </c>
      <c r="C183" s="21" t="str">
        <f t="shared" si="7"/>
        <v>A</v>
      </c>
      <c r="D183">
        <v>109</v>
      </c>
      <c r="E183">
        <v>113.74213369377</v>
      </c>
      <c r="F183"/>
      <c r="G183" t="str">
        <f t="shared" si="8"/>
        <v/>
      </c>
    </row>
    <row r="184" spans="1:7" x14ac:dyDescent="0.25">
      <c r="A184" s="21">
        <f t="shared" si="6"/>
        <v>-0.31616499563677858</v>
      </c>
      <c r="B184" t="s">
        <v>49</v>
      </c>
      <c r="C184" s="21" t="str">
        <f t="shared" si="7"/>
        <v>B</v>
      </c>
      <c r="D184">
        <v>149</v>
      </c>
      <c r="E184">
        <v>101.89141565012</v>
      </c>
      <c r="F184"/>
      <c r="G184" t="str">
        <f t="shared" si="8"/>
        <v/>
      </c>
    </row>
    <row r="185" spans="1:7" x14ac:dyDescent="0.25">
      <c r="A185" s="21">
        <f t="shared" si="6"/>
        <v>-0.24891044772418947</v>
      </c>
      <c r="B185" t="s">
        <v>49</v>
      </c>
      <c r="C185" s="21" t="str">
        <f t="shared" si="7"/>
        <v>B</v>
      </c>
      <c r="D185">
        <v>153</v>
      </c>
      <c r="E185">
        <v>114.916701498199</v>
      </c>
      <c r="F185"/>
      <c r="G185" t="str">
        <f t="shared" si="8"/>
        <v/>
      </c>
    </row>
    <row r="186" spans="1:7" x14ac:dyDescent="0.25">
      <c r="A186" s="21">
        <f t="shared" si="6"/>
        <v>0.23461705504741381</v>
      </c>
      <c r="B186" t="s">
        <v>49</v>
      </c>
      <c r="C186" s="21" t="str">
        <f t="shared" si="7"/>
        <v>B</v>
      </c>
      <c r="D186">
        <v>87</v>
      </c>
      <c r="E186">
        <v>107.41168378912499</v>
      </c>
      <c r="F186"/>
      <c r="G186" t="str">
        <f t="shared" si="8"/>
        <v/>
      </c>
    </row>
    <row r="187" spans="1:7" x14ac:dyDescent="0.25">
      <c r="A187" s="21">
        <f t="shared" si="6"/>
        <v>0.1539551742142522</v>
      </c>
      <c r="B187" t="s">
        <v>49</v>
      </c>
      <c r="C187" s="21" t="str">
        <f t="shared" si="7"/>
        <v>A</v>
      </c>
      <c r="D187">
        <v>115</v>
      </c>
      <c r="E187">
        <v>132.70484503463899</v>
      </c>
      <c r="F187"/>
      <c r="G187" t="str">
        <f t="shared" si="8"/>
        <v/>
      </c>
    </row>
    <row r="188" spans="1:7" x14ac:dyDescent="0.25">
      <c r="A188" s="21">
        <f t="shared" si="6"/>
        <v>0.18886493470498222</v>
      </c>
      <c r="B188" t="s">
        <v>49</v>
      </c>
      <c r="C188" s="21" t="str">
        <f t="shared" si="7"/>
        <v>A</v>
      </c>
      <c r="D188">
        <v>112</v>
      </c>
      <c r="E188">
        <v>133.15287268695801</v>
      </c>
      <c r="F188"/>
      <c r="G188" t="str">
        <f t="shared" si="8"/>
        <v/>
      </c>
    </row>
    <row r="189" spans="1:7" x14ac:dyDescent="0.25">
      <c r="A189" s="21">
        <f t="shared" si="6"/>
        <v>0.14915245886718576</v>
      </c>
      <c r="B189" t="s">
        <v>49</v>
      </c>
      <c r="C189" s="21" t="str">
        <f t="shared" si="7"/>
        <v>A</v>
      </c>
      <c r="D189">
        <v>113</v>
      </c>
      <c r="E189">
        <v>129.85422785199199</v>
      </c>
      <c r="F189"/>
      <c r="G189" t="str">
        <f t="shared" si="8"/>
        <v/>
      </c>
    </row>
    <row r="190" spans="1:7" x14ac:dyDescent="0.25">
      <c r="A190" s="21">
        <f t="shared" si="6"/>
        <v>9.4173247310868735E-2</v>
      </c>
      <c r="B190" t="s">
        <v>49</v>
      </c>
      <c r="C190" s="21" t="str">
        <f t="shared" si="7"/>
        <v>A</v>
      </c>
      <c r="D190">
        <v>122</v>
      </c>
      <c r="E190">
        <v>133.48913617192599</v>
      </c>
      <c r="F190"/>
      <c r="G190" t="str">
        <f t="shared" si="8"/>
        <v/>
      </c>
    </row>
    <row r="191" spans="1:7" x14ac:dyDescent="0.25">
      <c r="A191" s="21">
        <f t="shared" si="6"/>
        <v>-1.2762532967896534E-2</v>
      </c>
      <c r="B191" t="s">
        <v>49</v>
      </c>
      <c r="C191" s="21" t="str">
        <f t="shared" si="7"/>
        <v>A</v>
      </c>
      <c r="D191">
        <v>116</v>
      </c>
      <c r="E191">
        <v>114.519546175724</v>
      </c>
      <c r="F191"/>
      <c r="G191" t="str">
        <f t="shared" si="8"/>
        <v/>
      </c>
    </row>
    <row r="192" spans="1:7" x14ac:dyDescent="0.25">
      <c r="A192" s="21">
        <f t="shared" si="6"/>
        <v>2.3954142716449578E-2</v>
      </c>
      <c r="B192" t="s">
        <v>49</v>
      </c>
      <c r="C192" s="21" t="str">
        <f t="shared" si="7"/>
        <v>A</v>
      </c>
      <c r="D192">
        <v>109</v>
      </c>
      <c r="E192">
        <v>111.611001556093</v>
      </c>
      <c r="F192"/>
      <c r="G192" t="str">
        <f t="shared" si="8"/>
        <v/>
      </c>
    </row>
    <row r="193" spans="1:7" x14ac:dyDescent="0.25">
      <c r="A193" s="21">
        <f t="shared" si="6"/>
        <v>-9.7907207933548346E-2</v>
      </c>
      <c r="B193" t="s">
        <v>49</v>
      </c>
      <c r="C193" s="21" t="str">
        <f t="shared" si="7"/>
        <v>A</v>
      </c>
      <c r="D193">
        <v>124</v>
      </c>
      <c r="E193">
        <v>111.85950621624001</v>
      </c>
      <c r="F193"/>
      <c r="G193" t="str">
        <f t="shared" si="8"/>
        <v/>
      </c>
    </row>
    <row r="194" spans="1:7" x14ac:dyDescent="0.25">
      <c r="A194" s="21">
        <f t="shared" si="6"/>
        <v>-1.4506206996311999E-3</v>
      </c>
      <c r="B194" t="s">
        <v>49</v>
      </c>
      <c r="C194" s="21" t="str">
        <f t="shared" si="7"/>
        <v>A</v>
      </c>
      <c r="D194">
        <v>93</v>
      </c>
      <c r="E194">
        <v>92.865092274934298</v>
      </c>
      <c r="F194"/>
      <c r="G194" t="str">
        <f t="shared" si="8"/>
        <v/>
      </c>
    </row>
    <row r="195" spans="1:7" x14ac:dyDescent="0.25">
      <c r="A195" s="21">
        <f t="shared" si="6"/>
        <v>0.128475956699311</v>
      </c>
      <c r="B195" t="s">
        <v>49</v>
      </c>
      <c r="C195" s="21" t="str">
        <f t="shared" si="7"/>
        <v>A</v>
      </c>
      <c r="D195">
        <v>72</v>
      </c>
      <c r="E195">
        <v>81.250268882350397</v>
      </c>
      <c r="F195"/>
      <c r="G195" t="str">
        <f t="shared" si="8"/>
        <v/>
      </c>
    </row>
    <row r="196" spans="1:7" x14ac:dyDescent="0.25">
      <c r="A196" s="21">
        <f t="shared" si="6"/>
        <v>0.20475246429904681</v>
      </c>
      <c r="B196" t="s">
        <v>49</v>
      </c>
      <c r="C196" s="21" t="str">
        <f t="shared" si="7"/>
        <v>B</v>
      </c>
      <c r="D196">
        <v>81</v>
      </c>
      <c r="E196">
        <v>97.5849496082228</v>
      </c>
      <c r="F196"/>
      <c r="G196"/>
    </row>
    <row r="197" spans="1:7" x14ac:dyDescent="0.25">
      <c r="A197" s="21">
        <f t="shared" si="6"/>
        <v>-1.6835503695758147E-2</v>
      </c>
      <c r="B197" t="s">
        <v>49</v>
      </c>
      <c r="C197" s="21" t="str">
        <f t="shared" si="7"/>
        <v>A</v>
      </c>
      <c r="D197">
        <v>124</v>
      </c>
      <c r="E197">
        <v>121.91239754172599</v>
      </c>
      <c r="F197"/>
      <c r="G197" t="str">
        <f t="shared" si="8"/>
        <v/>
      </c>
    </row>
    <row r="198" spans="1:7" x14ac:dyDescent="0.25">
      <c r="A198" s="21">
        <f t="shared" si="6"/>
        <v>0.15657645659308694</v>
      </c>
      <c r="B198" t="s">
        <v>49</v>
      </c>
      <c r="C198" s="21" t="str">
        <f t="shared" si="7"/>
        <v>A</v>
      </c>
      <c r="D198">
        <v>115</v>
      </c>
      <c r="E198">
        <v>133.00629250820501</v>
      </c>
      <c r="F198"/>
      <c r="G198" t="str">
        <f t="shared" si="8"/>
        <v/>
      </c>
    </row>
    <row r="199" spans="1:7" x14ac:dyDescent="0.25">
      <c r="A199" s="21">
        <f t="shared" si="6"/>
        <v>3.5598593635296272E-2</v>
      </c>
      <c r="B199" t="s">
        <v>49</v>
      </c>
      <c r="C199" s="21" t="str">
        <f t="shared" si="7"/>
        <v>A</v>
      </c>
      <c r="D199">
        <v>108</v>
      </c>
      <c r="E199">
        <v>111.84464811261201</v>
      </c>
      <c r="F199"/>
      <c r="G199" t="str">
        <f t="shared" si="8"/>
        <v/>
      </c>
    </row>
    <row r="200" spans="1:7" x14ac:dyDescent="0.25">
      <c r="A200" s="21">
        <f t="shared" si="6"/>
        <v>0.15914344337095487</v>
      </c>
      <c r="B200" t="s">
        <v>49</v>
      </c>
      <c r="C200" s="21" t="str">
        <f t="shared" si="7"/>
        <v>A</v>
      </c>
      <c r="D200">
        <v>111</v>
      </c>
      <c r="E200">
        <v>128.66492221417599</v>
      </c>
      <c r="F200"/>
      <c r="G200" t="str">
        <f t="shared" si="8"/>
        <v/>
      </c>
    </row>
    <row r="201" spans="1:7" x14ac:dyDescent="0.25">
      <c r="A201" s="21">
        <f t="shared" si="6"/>
        <v>0.26053209910407205</v>
      </c>
      <c r="B201" t="s">
        <v>49</v>
      </c>
      <c r="C201" s="21" t="str">
        <f t="shared" si="7"/>
        <v>B</v>
      </c>
      <c r="D201">
        <v>111</v>
      </c>
      <c r="E201">
        <v>139.919063000552</v>
      </c>
      <c r="F201"/>
      <c r="G201" t="str">
        <f t="shared" si="8"/>
        <v/>
      </c>
    </row>
    <row r="202" spans="1:7" x14ac:dyDescent="0.25">
      <c r="A202" s="21">
        <f t="shared" si="6"/>
        <v>0.22341675660571436</v>
      </c>
      <c r="B202" t="s">
        <v>49</v>
      </c>
      <c r="C202" s="21" t="str">
        <f t="shared" si="7"/>
        <v>B</v>
      </c>
      <c r="D202">
        <v>126</v>
      </c>
      <c r="E202">
        <v>154.15051133232001</v>
      </c>
      <c r="F202"/>
      <c r="G202" t="str">
        <f t="shared" si="8"/>
        <v/>
      </c>
    </row>
    <row r="203" spans="1:7" x14ac:dyDescent="0.25">
      <c r="A203" s="21">
        <f t="shared" si="6"/>
        <v>-3.1407576965721162E-2</v>
      </c>
      <c r="B203" t="s">
        <v>49</v>
      </c>
      <c r="C203" s="21" t="str">
        <f t="shared" si="7"/>
        <v>A</v>
      </c>
      <c r="D203">
        <v>104</v>
      </c>
      <c r="E203">
        <v>100.733611995565</v>
      </c>
      <c r="F203"/>
      <c r="G203" t="str">
        <f t="shared" si="8"/>
        <v/>
      </c>
    </row>
    <row r="204" spans="1:7" x14ac:dyDescent="0.25">
      <c r="A204" s="21">
        <f t="shared" si="6"/>
        <v>-4.7888862181747927E-2</v>
      </c>
      <c r="B204" t="s">
        <v>49</v>
      </c>
      <c r="C204" s="21" t="str">
        <f t="shared" si="7"/>
        <v>A</v>
      </c>
      <c r="D204">
        <v>123</v>
      </c>
      <c r="E204">
        <v>117.109669951645</v>
      </c>
      <c r="F204"/>
      <c r="G204" t="str">
        <f t="shared" si="8"/>
        <v/>
      </c>
    </row>
    <row r="205" spans="1:7" x14ac:dyDescent="0.25">
      <c r="A205" s="21">
        <f t="shared" si="6"/>
        <v>-3.6814080504325553E-2</v>
      </c>
      <c r="B205" t="s">
        <v>49</v>
      </c>
      <c r="C205" s="21" t="str">
        <f t="shared" si="7"/>
        <v>A</v>
      </c>
      <c r="D205">
        <v>129</v>
      </c>
      <c r="E205">
        <v>124.250983614942</v>
      </c>
      <c r="F205"/>
      <c r="G205" t="str">
        <f t="shared" si="8"/>
        <v/>
      </c>
    </row>
    <row r="206" spans="1:7" x14ac:dyDescent="0.25">
      <c r="A206" s="21">
        <f t="shared" si="6"/>
        <v>-6.0542547896669352E-2</v>
      </c>
      <c r="B206" t="s">
        <v>49</v>
      </c>
      <c r="C206" s="21" t="str">
        <f t="shared" si="7"/>
        <v>A</v>
      </c>
      <c r="D206">
        <v>124</v>
      </c>
      <c r="E206">
        <v>116.492724060813</v>
      </c>
      <c r="F206"/>
      <c r="G206" t="str">
        <f t="shared" si="8"/>
        <v/>
      </c>
    </row>
    <row r="207" spans="1:7" x14ac:dyDescent="0.25">
      <c r="A207" s="21">
        <f t="shared" si="6"/>
        <v>9.3402766748592159E-2</v>
      </c>
      <c r="B207" t="s">
        <v>49</v>
      </c>
      <c r="C207" s="21" t="str">
        <f t="shared" si="7"/>
        <v>A</v>
      </c>
      <c r="D207">
        <v>130</v>
      </c>
      <c r="E207">
        <v>142.14235967731699</v>
      </c>
      <c r="F207"/>
      <c r="G207" t="str">
        <f t="shared" si="8"/>
        <v/>
      </c>
    </row>
    <row r="208" spans="1:7" x14ac:dyDescent="0.25">
      <c r="A208" s="21">
        <f t="shared" si="6"/>
        <v>0.41985701477175263</v>
      </c>
      <c r="B208" t="s">
        <v>49</v>
      </c>
      <c r="C208" s="21" t="str">
        <f t="shared" si="7"/>
        <v>B</v>
      </c>
      <c r="D208">
        <v>93</v>
      </c>
      <c r="E208">
        <v>132.046702373773</v>
      </c>
      <c r="F208"/>
      <c r="G208" t="str">
        <f t="shared" si="8"/>
        <v/>
      </c>
    </row>
    <row r="209" spans="1:7" x14ac:dyDescent="0.25">
      <c r="A209" s="21">
        <f t="shared" si="6"/>
        <v>-0.25949462199284867</v>
      </c>
      <c r="B209" t="s">
        <v>49</v>
      </c>
      <c r="C209" s="21" t="str">
        <f t="shared" si="7"/>
        <v>B</v>
      </c>
      <c r="D209">
        <v>152</v>
      </c>
      <c r="E209">
        <v>112.55681745708701</v>
      </c>
      <c r="F209"/>
      <c r="G209" t="str">
        <f t="shared" si="8"/>
        <v/>
      </c>
    </row>
    <row r="210" spans="1:7" x14ac:dyDescent="0.25">
      <c r="A210" s="21">
        <f t="shared" si="6"/>
        <v>-4.1835814994304221E-2</v>
      </c>
      <c r="B210" t="s">
        <v>49</v>
      </c>
      <c r="C210" s="21" t="str">
        <f t="shared" si="7"/>
        <v>A</v>
      </c>
      <c r="D210">
        <v>138</v>
      </c>
      <c r="E210">
        <v>132.22665753078601</v>
      </c>
      <c r="F210"/>
      <c r="G210" t="str">
        <f t="shared" si="8"/>
        <v/>
      </c>
    </row>
    <row r="211" spans="1:7" x14ac:dyDescent="0.25">
      <c r="A211" s="21">
        <f t="shared" si="6"/>
        <v>0.22386487594398341</v>
      </c>
      <c r="B211" t="s">
        <v>49</v>
      </c>
      <c r="C211" s="21" t="str">
        <f t="shared" si="7"/>
        <v>B</v>
      </c>
      <c r="D211">
        <v>121</v>
      </c>
      <c r="E211">
        <v>148.087649989222</v>
      </c>
      <c r="F211"/>
      <c r="G211" t="str">
        <f t="shared" si="8"/>
        <v/>
      </c>
    </row>
    <row r="212" spans="1:7" x14ac:dyDescent="0.25">
      <c r="A212" s="21">
        <f t="shared" si="6"/>
        <v>0.63509441997599003</v>
      </c>
      <c r="B212" t="s">
        <v>49</v>
      </c>
      <c r="C212" s="21" t="str">
        <f t="shared" si="7"/>
        <v>B</v>
      </c>
      <c r="D212">
        <v>99</v>
      </c>
      <c r="E212">
        <v>161.87434757762301</v>
      </c>
      <c r="F212"/>
      <c r="G212" t="str">
        <f t="shared" si="8"/>
        <v/>
      </c>
    </row>
    <row r="213" spans="1:7" x14ac:dyDescent="0.25">
      <c r="A213" s="21">
        <f t="shared" si="6"/>
        <v>-0.48187096578134736</v>
      </c>
      <c r="B213" t="s">
        <v>49</v>
      </c>
      <c r="C213" s="21" t="str">
        <f t="shared" si="7"/>
        <v>B</v>
      </c>
      <c r="D213">
        <v>285</v>
      </c>
      <c r="E213">
        <v>147.666774752316</v>
      </c>
      <c r="F213"/>
      <c r="G213"/>
    </row>
    <row r="214" spans="1:7" x14ac:dyDescent="0.25">
      <c r="A214" s="21">
        <f t="shared" si="6"/>
        <v>-0.28365209188476326</v>
      </c>
      <c r="B214" t="s">
        <v>49</v>
      </c>
      <c r="C214" s="21" t="str">
        <f t="shared" si="7"/>
        <v>B</v>
      </c>
      <c r="D214">
        <v>283</v>
      </c>
      <c r="E214">
        <v>202.726457996612</v>
      </c>
      <c r="F214"/>
      <c r="G214"/>
    </row>
    <row r="215" spans="1:7" x14ac:dyDescent="0.25">
      <c r="A215" s="21">
        <f t="shared" si="6"/>
        <v>-0.18946718081180314</v>
      </c>
      <c r="B215" t="s">
        <v>49</v>
      </c>
      <c r="C215" s="21" t="str">
        <f t="shared" si="7"/>
        <v>A</v>
      </c>
      <c r="D215">
        <v>381</v>
      </c>
      <c r="E215">
        <v>308.81300411070299</v>
      </c>
      <c r="F215"/>
      <c r="G215" t="str">
        <f t="shared" si="8"/>
        <v/>
      </c>
    </row>
    <row r="216" spans="1:7" x14ac:dyDescent="0.25">
      <c r="A216" s="21">
        <f t="shared" si="6"/>
        <v>-0.31926096720447283</v>
      </c>
      <c r="B216" t="s">
        <v>49</v>
      </c>
      <c r="C216" s="21" t="str">
        <f t="shared" si="7"/>
        <v>B</v>
      </c>
      <c r="D216">
        <v>332</v>
      </c>
      <c r="E216">
        <v>226.00535888811501</v>
      </c>
      <c r="F216"/>
      <c r="G216" t="str">
        <f t="shared" si="8"/>
        <v/>
      </c>
    </row>
    <row r="217" spans="1:7" x14ac:dyDescent="0.25">
      <c r="A217" s="21">
        <f t="shared" si="6"/>
        <v>-2.5521971284804823E-2</v>
      </c>
      <c r="B217" t="s">
        <v>49</v>
      </c>
      <c r="C217" s="21" t="str">
        <f t="shared" si="7"/>
        <v>A</v>
      </c>
      <c r="D217">
        <v>287</v>
      </c>
      <c r="E217">
        <v>279.67519424126101</v>
      </c>
      <c r="F217"/>
      <c r="G217" t="str">
        <f t="shared" si="8"/>
        <v/>
      </c>
    </row>
    <row r="218" spans="1:7" x14ac:dyDescent="0.25">
      <c r="A218" s="21">
        <f t="shared" si="6"/>
        <v>-4.6852031323018184E-2</v>
      </c>
      <c r="B218" t="s">
        <v>49</v>
      </c>
      <c r="C218" s="21" t="str">
        <f t="shared" si="7"/>
        <v>A</v>
      </c>
      <c r="D218">
        <v>275</v>
      </c>
      <c r="E218">
        <v>262.11569138617</v>
      </c>
      <c r="F218"/>
      <c r="G218" t="str">
        <f t="shared" si="8"/>
        <v/>
      </c>
    </row>
    <row r="219" spans="1:7" x14ac:dyDescent="0.25">
      <c r="A219" s="21">
        <f t="shared" si="6"/>
        <v>-0.12992196097984821</v>
      </c>
      <c r="B219" t="s">
        <v>49</v>
      </c>
      <c r="C219" s="21" t="str">
        <f t="shared" si="7"/>
        <v>A</v>
      </c>
      <c r="D219">
        <v>257</v>
      </c>
      <c r="E219">
        <v>223.610056028179</v>
      </c>
      <c r="F219"/>
      <c r="G219" t="str">
        <f t="shared" si="8"/>
        <v/>
      </c>
    </row>
    <row r="220" spans="1:7" x14ac:dyDescent="0.25">
      <c r="A220" s="21">
        <f t="shared" si="6"/>
        <v>1.3474773275770069E-3</v>
      </c>
      <c r="B220"/>
      <c r="C220" s="21" t="str">
        <f t="shared" si="7"/>
        <v>A</v>
      </c>
      <c r="D220">
        <v>87</v>
      </c>
      <c r="E220">
        <v>87.117230527499203</v>
      </c>
      <c r="F220"/>
      <c r="G220"/>
    </row>
    <row r="221" spans="1:7" x14ac:dyDescent="0.25">
      <c r="A221" s="21">
        <f t="shared" si="6"/>
        <v>2.6493556364283855E-2</v>
      </c>
      <c r="B221"/>
      <c r="C221" s="21" t="str">
        <f t="shared" si="7"/>
        <v>A</v>
      </c>
      <c r="D221">
        <v>155</v>
      </c>
      <c r="E221">
        <v>159.106501236464</v>
      </c>
      <c r="F221"/>
      <c r="G221"/>
    </row>
    <row r="222" spans="1:7" x14ac:dyDescent="0.25">
      <c r="A222" s="21">
        <f t="shared" si="6"/>
        <v>-0.18488972006351456</v>
      </c>
      <c r="B222"/>
      <c r="C222" s="21" t="str">
        <f t="shared" si="7"/>
        <v>A</v>
      </c>
      <c r="D222">
        <v>110</v>
      </c>
      <c r="E222">
        <v>89.662130793013404</v>
      </c>
      <c r="F222"/>
      <c r="G222"/>
    </row>
    <row r="223" spans="1:7" x14ac:dyDescent="0.25">
      <c r="A223" s="21">
        <f t="shared" si="6"/>
        <v>5.9484832065574755E-2</v>
      </c>
      <c r="B223"/>
      <c r="C223" s="21" t="str">
        <f t="shared" si="7"/>
        <v>A</v>
      </c>
      <c r="D223">
        <v>87</v>
      </c>
      <c r="E223">
        <v>92.175180389705005</v>
      </c>
      <c r="F223"/>
      <c r="G223"/>
    </row>
    <row r="224" spans="1:7" x14ac:dyDescent="0.25">
      <c r="A224" s="21">
        <f t="shared" si="6"/>
        <v>-2.411072170848183E-2</v>
      </c>
      <c r="B224"/>
      <c r="C224" s="21" t="str">
        <f t="shared" si="7"/>
        <v>A</v>
      </c>
      <c r="D224">
        <v>110</v>
      </c>
      <c r="E224">
        <v>107.347820612067</v>
      </c>
      <c r="F224"/>
      <c r="G224"/>
    </row>
    <row r="225" spans="1:7" x14ac:dyDescent="0.25">
      <c r="A225" s="21">
        <f t="shared" si="6"/>
        <v>-0.10464372941594702</v>
      </c>
      <c r="B225"/>
      <c r="C225" s="21" t="str">
        <f t="shared" si="7"/>
        <v>A</v>
      </c>
      <c r="D225">
        <v>104</v>
      </c>
      <c r="E225">
        <v>93.117052140741507</v>
      </c>
      <c r="F225"/>
      <c r="G225"/>
    </row>
    <row r="226" spans="1:7" x14ac:dyDescent="0.25">
      <c r="A226" s="21">
        <f t="shared" si="6"/>
        <v>-0.26924050101718755</v>
      </c>
      <c r="B226"/>
      <c r="C226" s="21" t="str">
        <f t="shared" si="7"/>
        <v>B</v>
      </c>
      <c r="D226">
        <v>113</v>
      </c>
      <c r="E226">
        <v>82.575823385057802</v>
      </c>
      <c r="F226"/>
      <c r="G226"/>
    </row>
    <row r="227" spans="1:7" x14ac:dyDescent="0.25">
      <c r="A227" s="21">
        <f t="shared" si="6"/>
        <v>-0.14524905514977493</v>
      </c>
      <c r="B227"/>
      <c r="C227" s="21" t="str">
        <f t="shared" si="7"/>
        <v>A</v>
      </c>
      <c r="D227">
        <v>120</v>
      </c>
      <c r="E227">
        <v>102.570113382027</v>
      </c>
      <c r="F227"/>
      <c r="G227"/>
    </row>
    <row r="228" spans="1:7" x14ac:dyDescent="0.25">
      <c r="A228" s="21">
        <f t="shared" si="6"/>
        <v>5.5450722009552145E-2</v>
      </c>
      <c r="B228"/>
      <c r="C228" s="21" t="str">
        <f t="shared" si="7"/>
        <v>A</v>
      </c>
      <c r="D228">
        <v>96</v>
      </c>
      <c r="E228">
        <v>101.32326931291701</v>
      </c>
      <c r="F228"/>
      <c r="G228"/>
    </row>
    <row r="229" spans="1:7" x14ac:dyDescent="0.25">
      <c r="A229" s="21">
        <f t="shared" si="6"/>
        <v>0.14446185435977155</v>
      </c>
      <c r="B229"/>
      <c r="C229" s="21" t="str">
        <f t="shared" si="7"/>
        <v>A</v>
      </c>
      <c r="D229">
        <v>84</v>
      </c>
      <c r="E229">
        <v>96.134795766220805</v>
      </c>
      <c r="F229"/>
      <c r="G229"/>
    </row>
    <row r="230" spans="1:7" x14ac:dyDescent="0.25">
      <c r="A230" s="21">
        <f t="shared" si="6"/>
        <v>-8.2769616057476458E-3</v>
      </c>
      <c r="B230"/>
      <c r="C230" s="21" t="str">
        <f t="shared" si="7"/>
        <v>A</v>
      </c>
      <c r="D230">
        <v>107</v>
      </c>
      <c r="E230">
        <v>106.114365108185</v>
      </c>
      <c r="F230"/>
      <c r="G230"/>
    </row>
    <row r="231" spans="1:7" x14ac:dyDescent="0.25">
      <c r="A231" s="21">
        <f t="shared" ref="A231:A294" si="9">E231/D231-1</f>
        <v>-0.10792564382346481</v>
      </c>
      <c r="B231"/>
      <c r="C231" s="21" t="str">
        <f t="shared" ref="C231:C294" si="10">IF(OR(A231&gt;=20%,A231&lt;=-20%),"B","A")</f>
        <v>A</v>
      </c>
      <c r="D231">
        <v>105</v>
      </c>
      <c r="E231">
        <v>93.667807398536198</v>
      </c>
      <c r="F231"/>
      <c r="G231"/>
    </row>
    <row r="232" spans="1:7" x14ac:dyDescent="0.25">
      <c r="A232" s="21">
        <f t="shared" si="9"/>
        <v>0.18459704787713416</v>
      </c>
      <c r="B232"/>
      <c r="C232" s="21" t="str">
        <f t="shared" si="10"/>
        <v>A</v>
      </c>
      <c r="D232">
        <v>82</v>
      </c>
      <c r="E232">
        <v>97.136957925925003</v>
      </c>
      <c r="F232"/>
      <c r="G232"/>
    </row>
    <row r="233" spans="1:7" x14ac:dyDescent="0.25">
      <c r="A233" s="21">
        <f t="shared" si="9"/>
        <v>-0.32886666271493326</v>
      </c>
      <c r="B233"/>
      <c r="C233" s="21" t="str">
        <f t="shared" si="10"/>
        <v>B</v>
      </c>
      <c r="D233">
        <v>150</v>
      </c>
      <c r="E233">
        <v>100.67000059276</v>
      </c>
      <c r="F233"/>
      <c r="G233"/>
    </row>
    <row r="234" spans="1:7" x14ac:dyDescent="0.25">
      <c r="A234" s="21">
        <f t="shared" si="9"/>
        <v>-5.869265182504757E-2</v>
      </c>
      <c r="B234"/>
      <c r="C234" s="21" t="str">
        <f t="shared" si="10"/>
        <v>A</v>
      </c>
      <c r="D234">
        <v>126</v>
      </c>
      <c r="E234">
        <v>118.60472587004401</v>
      </c>
      <c r="F234"/>
      <c r="G234"/>
    </row>
    <row r="235" spans="1:7" x14ac:dyDescent="0.25">
      <c r="A235" s="21">
        <f t="shared" si="9"/>
        <v>0.13712677238461701</v>
      </c>
      <c r="B235"/>
      <c r="C235" s="21" t="str">
        <f t="shared" si="10"/>
        <v>A</v>
      </c>
      <c r="D235">
        <v>94</v>
      </c>
      <c r="E235">
        <v>106.889916604154</v>
      </c>
      <c r="F235"/>
      <c r="G235"/>
    </row>
    <row r="236" spans="1:7" x14ac:dyDescent="0.25">
      <c r="A236" s="21">
        <f t="shared" si="9"/>
        <v>0.16168606897895921</v>
      </c>
      <c r="B236"/>
      <c r="C236" s="21" t="str">
        <f t="shared" si="10"/>
        <v>A</v>
      </c>
      <c r="D236">
        <v>86</v>
      </c>
      <c r="E236">
        <v>99.905001932190501</v>
      </c>
      <c r="F236"/>
      <c r="G236"/>
    </row>
    <row r="237" spans="1:7" x14ac:dyDescent="0.25">
      <c r="A237" s="21">
        <f t="shared" si="9"/>
        <v>-0.21899993711092702</v>
      </c>
      <c r="B237"/>
      <c r="C237" s="21" t="str">
        <f t="shared" si="10"/>
        <v>B</v>
      </c>
      <c r="D237">
        <v>137</v>
      </c>
      <c r="E237">
        <v>106.997008615803</v>
      </c>
      <c r="F237"/>
      <c r="G237"/>
    </row>
    <row r="238" spans="1:7" x14ac:dyDescent="0.25">
      <c r="A238" s="21">
        <f t="shared" si="9"/>
        <v>-6.3833141597824161E-2</v>
      </c>
      <c r="B238"/>
      <c r="C238" s="21" t="str">
        <f t="shared" si="10"/>
        <v>A</v>
      </c>
      <c r="D238">
        <v>108</v>
      </c>
      <c r="E238">
        <v>101.10602070743499</v>
      </c>
      <c r="F238"/>
      <c r="G238"/>
    </row>
    <row r="239" spans="1:7" x14ac:dyDescent="0.25">
      <c r="A239" s="21">
        <f t="shared" si="9"/>
        <v>-1.6103129460442345E-2</v>
      </c>
      <c r="B239"/>
      <c r="C239" s="21" t="str">
        <f t="shared" si="10"/>
        <v>A</v>
      </c>
      <c r="D239">
        <v>104</v>
      </c>
      <c r="E239">
        <v>102.32527453611399</v>
      </c>
      <c r="F239"/>
      <c r="G239"/>
    </row>
    <row r="240" spans="1:7" x14ac:dyDescent="0.25">
      <c r="A240" s="21">
        <f t="shared" si="9"/>
        <v>0.13335135898245132</v>
      </c>
      <c r="B240"/>
      <c r="C240" s="21" t="str">
        <f t="shared" si="10"/>
        <v>A</v>
      </c>
      <c r="D240">
        <v>80</v>
      </c>
      <c r="E240">
        <v>90.668108718596102</v>
      </c>
      <c r="F240"/>
      <c r="G240"/>
    </row>
    <row r="241" spans="1:7" x14ac:dyDescent="0.25">
      <c r="A241" s="21">
        <f t="shared" si="9"/>
        <v>-0.3625305563732546</v>
      </c>
      <c r="B241"/>
      <c r="C241" s="21" t="str">
        <f t="shared" si="10"/>
        <v>B</v>
      </c>
      <c r="D241">
        <v>150</v>
      </c>
      <c r="E241">
        <v>95.620416544011803</v>
      </c>
      <c r="F241"/>
      <c r="G241"/>
    </row>
    <row r="242" spans="1:7" x14ac:dyDescent="0.25">
      <c r="A242" s="21">
        <f t="shared" si="9"/>
        <v>-8.8482953461236358E-2</v>
      </c>
      <c r="B242"/>
      <c r="C242" s="21" t="str">
        <f t="shared" si="10"/>
        <v>A</v>
      </c>
      <c r="D242">
        <v>110</v>
      </c>
      <c r="E242">
        <v>100.266875119264</v>
      </c>
      <c r="F242"/>
      <c r="G242"/>
    </row>
    <row r="243" spans="1:7" x14ac:dyDescent="0.25">
      <c r="A243" s="21">
        <f t="shared" si="9"/>
        <v>0.17638580887121735</v>
      </c>
      <c r="B243"/>
      <c r="C243" s="21" t="str">
        <f t="shared" si="10"/>
        <v>A</v>
      </c>
      <c r="D243">
        <v>92</v>
      </c>
      <c r="E243">
        <v>108.227494416152</v>
      </c>
      <c r="F243"/>
      <c r="G243"/>
    </row>
    <row r="244" spans="1:7" x14ac:dyDescent="0.25">
      <c r="A244" s="21">
        <f t="shared" si="9"/>
        <v>0.21889115812510718</v>
      </c>
      <c r="B244"/>
      <c r="C244" s="21" t="str">
        <f t="shared" si="10"/>
        <v>B</v>
      </c>
      <c r="D244">
        <v>84</v>
      </c>
      <c r="E244">
        <v>102.386857282509</v>
      </c>
      <c r="F244"/>
      <c r="G244"/>
    </row>
    <row r="245" spans="1:7" x14ac:dyDescent="0.25">
      <c r="A245" s="21">
        <f t="shared" si="9"/>
        <v>-0.24571833615828276</v>
      </c>
      <c r="B245"/>
      <c r="C245" s="21" t="str">
        <f t="shared" si="10"/>
        <v>B</v>
      </c>
      <c r="D245">
        <v>145</v>
      </c>
      <c r="E245">
        <v>109.37084125704899</v>
      </c>
      <c r="F245"/>
      <c r="G245"/>
    </row>
    <row r="246" spans="1:7" x14ac:dyDescent="0.25">
      <c r="A246" s="21">
        <f t="shared" si="9"/>
        <v>-0.15035001648956092</v>
      </c>
      <c r="B246"/>
      <c r="C246" s="21" t="str">
        <f t="shared" si="10"/>
        <v>A</v>
      </c>
      <c r="D246">
        <v>123</v>
      </c>
      <c r="E246">
        <v>104.506947971784</v>
      </c>
      <c r="F246"/>
      <c r="G246"/>
    </row>
    <row r="247" spans="1:7" x14ac:dyDescent="0.25">
      <c r="A247" s="21">
        <f t="shared" si="9"/>
        <v>8.9872811868289881E-2</v>
      </c>
      <c r="B247"/>
      <c r="C247" s="21" t="str">
        <f t="shared" si="10"/>
        <v>A</v>
      </c>
      <c r="D247">
        <v>100</v>
      </c>
      <c r="E247">
        <v>108.98728118682899</v>
      </c>
      <c r="F247"/>
      <c r="G247"/>
    </row>
    <row r="248" spans="1:7" x14ac:dyDescent="0.25">
      <c r="A248" s="21">
        <f t="shared" si="9"/>
        <v>2.7408060308588444E-2</v>
      </c>
      <c r="B248"/>
      <c r="C248" s="21" t="str">
        <f t="shared" si="10"/>
        <v>A</v>
      </c>
      <c r="D248">
        <v>87</v>
      </c>
      <c r="E248">
        <v>89.384501246847194</v>
      </c>
      <c r="F248"/>
      <c r="G248"/>
    </row>
    <row r="249" spans="1:7" x14ac:dyDescent="0.25">
      <c r="A249" s="21">
        <f t="shared" si="9"/>
        <v>3.1810437395705771E-2</v>
      </c>
      <c r="B249"/>
      <c r="C249" s="21" t="str">
        <f t="shared" si="10"/>
        <v>A</v>
      </c>
      <c r="D249">
        <v>86</v>
      </c>
      <c r="E249">
        <v>88.735697616030706</v>
      </c>
      <c r="F249"/>
      <c r="G249"/>
    </row>
    <row r="250" spans="1:7" x14ac:dyDescent="0.25">
      <c r="A250" s="21">
        <f t="shared" si="9"/>
        <v>-0.24085312732024367</v>
      </c>
      <c r="B250"/>
      <c r="C250" s="21" t="str">
        <f t="shared" si="10"/>
        <v>B</v>
      </c>
      <c r="D250">
        <v>126</v>
      </c>
      <c r="E250">
        <v>95.652505957649296</v>
      </c>
      <c r="F250"/>
      <c r="G250"/>
    </row>
    <row r="251" spans="1:7" x14ac:dyDescent="0.25">
      <c r="A251" s="21">
        <f t="shared" si="9"/>
        <v>-0.12553368295140177</v>
      </c>
      <c r="B251"/>
      <c r="C251" s="21" t="str">
        <f t="shared" si="10"/>
        <v>A</v>
      </c>
      <c r="D251">
        <v>110</v>
      </c>
      <c r="E251">
        <v>96.191294875345804</v>
      </c>
      <c r="F251"/>
      <c r="G251"/>
    </row>
    <row r="252" spans="1:7" x14ac:dyDescent="0.25">
      <c r="A252" s="21">
        <f t="shared" si="9"/>
        <v>-4.6955359515885253E-2</v>
      </c>
      <c r="B252"/>
      <c r="C252" s="21" t="str">
        <f t="shared" si="10"/>
        <v>A</v>
      </c>
      <c r="D252">
        <v>95</v>
      </c>
      <c r="E252">
        <v>90.539240845990903</v>
      </c>
      <c r="F252"/>
      <c r="G252"/>
    </row>
    <row r="253" spans="1:7" x14ac:dyDescent="0.25">
      <c r="A253" s="21">
        <f t="shared" si="9"/>
        <v>0.12059982402073066</v>
      </c>
      <c r="B253"/>
      <c r="C253" s="21" t="str">
        <f t="shared" si="10"/>
        <v>A</v>
      </c>
      <c r="D253">
        <v>88</v>
      </c>
      <c r="E253">
        <v>98.612784513824295</v>
      </c>
      <c r="F253"/>
      <c r="G253"/>
    </row>
    <row r="254" spans="1:7" x14ac:dyDescent="0.25">
      <c r="A254" s="21">
        <f t="shared" si="9"/>
        <v>-0.2831114262431812</v>
      </c>
      <c r="B254"/>
      <c r="C254" s="21" t="str">
        <f t="shared" si="10"/>
        <v>B</v>
      </c>
      <c r="D254">
        <v>149</v>
      </c>
      <c r="E254">
        <v>106.816397489766</v>
      </c>
      <c r="F254"/>
      <c r="G254"/>
    </row>
    <row r="255" spans="1:7" x14ac:dyDescent="0.25">
      <c r="A255" s="21">
        <f t="shared" si="9"/>
        <v>-0.24807437408648947</v>
      </c>
      <c r="B255"/>
      <c r="C255" s="21" t="str">
        <f t="shared" si="10"/>
        <v>B</v>
      </c>
      <c r="D255">
        <v>143</v>
      </c>
      <c r="E255">
        <v>107.525364505632</v>
      </c>
      <c r="F255"/>
      <c r="G255"/>
    </row>
    <row r="256" spans="1:7" x14ac:dyDescent="0.25">
      <c r="A256" s="21">
        <f t="shared" si="9"/>
        <v>-0.27559199765135489</v>
      </c>
      <c r="B256"/>
      <c r="C256" s="21" t="str">
        <f t="shared" si="10"/>
        <v>B</v>
      </c>
      <c r="D256">
        <v>133</v>
      </c>
      <c r="E256">
        <v>96.346264312369797</v>
      </c>
      <c r="F256"/>
      <c r="G256"/>
    </row>
    <row r="257" spans="1:7" x14ac:dyDescent="0.25">
      <c r="A257" s="21">
        <f t="shared" si="9"/>
        <v>4.8998889070742013E-2</v>
      </c>
      <c r="B257"/>
      <c r="C257" s="21" t="str">
        <f t="shared" si="10"/>
        <v>A</v>
      </c>
      <c r="D257">
        <v>88</v>
      </c>
      <c r="E257">
        <v>92.311902238225301</v>
      </c>
      <c r="F257"/>
      <c r="G257"/>
    </row>
    <row r="258" spans="1:7" x14ac:dyDescent="0.25">
      <c r="A258" s="21">
        <f t="shared" si="9"/>
        <v>4.9176334997767412E-2</v>
      </c>
      <c r="B258"/>
      <c r="C258" s="21" t="str">
        <f t="shared" si="10"/>
        <v>A</v>
      </c>
      <c r="D258">
        <v>83</v>
      </c>
      <c r="E258">
        <v>87.081635804814695</v>
      </c>
      <c r="F258"/>
      <c r="G258"/>
    </row>
    <row r="259" spans="1:7" x14ac:dyDescent="0.25">
      <c r="A259" s="21">
        <f t="shared" si="9"/>
        <v>-0.29582386440346153</v>
      </c>
      <c r="B259"/>
      <c r="C259" s="21" t="str">
        <f t="shared" si="10"/>
        <v>B</v>
      </c>
      <c r="D259">
        <v>143</v>
      </c>
      <c r="E259">
        <v>100.697187390305</v>
      </c>
      <c r="F259"/>
      <c r="G259"/>
    </row>
    <row r="260" spans="1:7" x14ac:dyDescent="0.25">
      <c r="A260" s="21">
        <f t="shared" si="9"/>
        <v>0.1763986517050351</v>
      </c>
      <c r="B260"/>
      <c r="C260" s="21" t="str">
        <f t="shared" si="10"/>
        <v>A</v>
      </c>
      <c r="D260">
        <v>114</v>
      </c>
      <c r="E260">
        <v>134.10944629437401</v>
      </c>
      <c r="F260"/>
      <c r="G260"/>
    </row>
    <row r="261" spans="1:7" x14ac:dyDescent="0.25">
      <c r="A261" s="21">
        <f t="shared" si="9"/>
        <v>-0.12326738627312039</v>
      </c>
      <c r="B261"/>
      <c r="C261" s="21" t="str">
        <f t="shared" si="10"/>
        <v>A</v>
      </c>
      <c r="D261">
        <v>108</v>
      </c>
      <c r="E261">
        <v>94.687122282502997</v>
      </c>
      <c r="F261"/>
      <c r="G261"/>
    </row>
    <row r="262" spans="1:7" x14ac:dyDescent="0.25">
      <c r="A262" s="21">
        <f t="shared" si="9"/>
        <v>0.15298454977698861</v>
      </c>
      <c r="B262"/>
      <c r="C262" s="21" t="str">
        <f t="shared" si="10"/>
        <v>A</v>
      </c>
      <c r="D262">
        <v>79</v>
      </c>
      <c r="E262">
        <v>91.085779432382097</v>
      </c>
      <c r="F262"/>
      <c r="G262"/>
    </row>
    <row r="263" spans="1:7" x14ac:dyDescent="0.25">
      <c r="A263" s="21">
        <f t="shared" si="9"/>
        <v>-5.7426582351407407E-2</v>
      </c>
      <c r="B263"/>
      <c r="C263" s="21" t="str">
        <f t="shared" si="10"/>
        <v>A</v>
      </c>
      <c r="D263">
        <v>135</v>
      </c>
      <c r="E263">
        <v>127.24741138256</v>
      </c>
      <c r="F263"/>
      <c r="G263"/>
    </row>
    <row r="264" spans="1:7" x14ac:dyDescent="0.25">
      <c r="A264" s="21">
        <f t="shared" si="9"/>
        <v>-7.6969714857983096E-2</v>
      </c>
      <c r="B264"/>
      <c r="C264" s="21" t="str">
        <f t="shared" si="10"/>
        <v>A</v>
      </c>
      <c r="D264">
        <v>119</v>
      </c>
      <c r="E264">
        <v>109.84060393190001</v>
      </c>
      <c r="F264"/>
      <c r="G264"/>
    </row>
    <row r="265" spans="1:7" x14ac:dyDescent="0.25">
      <c r="A265" s="21">
        <f t="shared" si="9"/>
        <v>6.210716899714952E-2</v>
      </c>
      <c r="B265"/>
      <c r="C265" s="21" t="str">
        <f t="shared" si="10"/>
        <v>A</v>
      </c>
      <c r="D265">
        <v>107</v>
      </c>
      <c r="E265">
        <v>113.64546708269501</v>
      </c>
      <c r="F265"/>
      <c r="G265"/>
    </row>
    <row r="266" spans="1:7" x14ac:dyDescent="0.25">
      <c r="A266" s="21">
        <f t="shared" si="9"/>
        <v>-0.16291670072907538</v>
      </c>
      <c r="B266"/>
      <c r="C266" s="21" t="str">
        <f t="shared" si="10"/>
        <v>A</v>
      </c>
      <c r="D266">
        <v>146</v>
      </c>
      <c r="E266">
        <v>122.214161693555</v>
      </c>
      <c r="F266"/>
      <c r="G266"/>
    </row>
    <row r="267" spans="1:7" x14ac:dyDescent="0.25">
      <c r="A267" s="21">
        <f t="shared" si="9"/>
        <v>4.921915005846289E-2</v>
      </c>
      <c r="B267"/>
      <c r="C267" s="21" t="str">
        <f t="shared" si="10"/>
        <v>A</v>
      </c>
      <c r="D267">
        <v>121</v>
      </c>
      <c r="E267">
        <v>126.955517157074</v>
      </c>
      <c r="F267"/>
      <c r="G267"/>
    </row>
    <row r="268" spans="1:7" x14ac:dyDescent="0.25">
      <c r="A268" s="21">
        <f t="shared" si="9"/>
        <v>3.9097492393689981E-2</v>
      </c>
      <c r="B268"/>
      <c r="C268" s="21" t="str">
        <f t="shared" si="10"/>
        <v>A</v>
      </c>
      <c r="D268">
        <v>90</v>
      </c>
      <c r="E268">
        <v>93.518774315432097</v>
      </c>
      <c r="F268"/>
      <c r="G268"/>
    </row>
    <row r="269" spans="1:7" x14ac:dyDescent="0.25">
      <c r="A269" s="21">
        <f t="shared" si="9"/>
        <v>7.6463856903671079E-2</v>
      </c>
      <c r="B269"/>
      <c r="C269" s="21" t="str">
        <f t="shared" si="10"/>
        <v>A</v>
      </c>
      <c r="D269">
        <v>86</v>
      </c>
      <c r="E269">
        <v>92.575891693715704</v>
      </c>
      <c r="F269"/>
      <c r="G269"/>
    </row>
    <row r="270" spans="1:7" x14ac:dyDescent="0.25">
      <c r="A270" s="21">
        <f t="shared" si="9"/>
        <v>-0.23207093711713633</v>
      </c>
      <c r="B270"/>
      <c r="C270" s="21" t="str">
        <f t="shared" si="10"/>
        <v>B</v>
      </c>
      <c r="D270">
        <v>132</v>
      </c>
      <c r="E270">
        <v>101.366636300538</v>
      </c>
      <c r="F270"/>
      <c r="G270"/>
    </row>
    <row r="271" spans="1:7" x14ac:dyDescent="0.25">
      <c r="A271" s="21">
        <f t="shared" si="9"/>
        <v>5.7235195983733833E-2</v>
      </c>
      <c r="B271"/>
      <c r="C271" s="21" t="str">
        <f t="shared" si="10"/>
        <v>A</v>
      </c>
      <c r="D271">
        <v>109</v>
      </c>
      <c r="E271">
        <v>115.238636362227</v>
      </c>
      <c r="F271"/>
      <c r="G271"/>
    </row>
    <row r="272" spans="1:7" x14ac:dyDescent="0.25">
      <c r="A272" s="21">
        <f t="shared" si="9"/>
        <v>5.862453280855795E-2</v>
      </c>
      <c r="B272"/>
      <c r="C272" s="21" t="str">
        <f t="shared" si="10"/>
        <v>A</v>
      </c>
      <c r="D272">
        <v>95</v>
      </c>
      <c r="E272">
        <v>100.56933061681301</v>
      </c>
      <c r="F272"/>
      <c r="G272"/>
    </row>
    <row r="273" spans="1:7" x14ac:dyDescent="0.25">
      <c r="A273" s="21">
        <f t="shared" si="9"/>
        <v>0.18514101939644934</v>
      </c>
      <c r="B273"/>
      <c r="C273" s="21" t="str">
        <f t="shared" si="10"/>
        <v>A</v>
      </c>
      <c r="D273">
        <v>89</v>
      </c>
      <c r="E273">
        <v>105.47755072628399</v>
      </c>
      <c r="F273"/>
      <c r="G273"/>
    </row>
    <row r="274" spans="1:7" x14ac:dyDescent="0.25">
      <c r="A274" s="21">
        <f t="shared" si="9"/>
        <v>-0.12942101244289683</v>
      </c>
      <c r="B274"/>
      <c r="C274" s="21" t="str">
        <f t="shared" si="10"/>
        <v>A</v>
      </c>
      <c r="D274">
        <v>126</v>
      </c>
      <c r="E274">
        <v>109.692952432195</v>
      </c>
      <c r="F274"/>
      <c r="G274"/>
    </row>
    <row r="275" spans="1:7" x14ac:dyDescent="0.25">
      <c r="A275" s="21">
        <f t="shared" si="9"/>
        <v>-3.5635369436103348E-2</v>
      </c>
      <c r="B275"/>
      <c r="C275" s="21" t="str">
        <f t="shared" si="10"/>
        <v>A</v>
      </c>
      <c r="D275">
        <v>116</v>
      </c>
      <c r="E275">
        <v>111.86629714541201</v>
      </c>
      <c r="F275"/>
      <c r="G275"/>
    </row>
    <row r="276" spans="1:7" x14ac:dyDescent="0.25">
      <c r="A276" s="21">
        <f t="shared" si="9"/>
        <v>-6.3472561281990747E-2</v>
      </c>
      <c r="B276"/>
      <c r="C276" s="21" t="str">
        <f t="shared" si="10"/>
        <v>A</v>
      </c>
      <c r="D276">
        <v>108</v>
      </c>
      <c r="E276">
        <v>101.144963381545</v>
      </c>
      <c r="F276"/>
      <c r="G276"/>
    </row>
    <row r="277" spans="1:7" x14ac:dyDescent="0.25">
      <c r="A277" s="21">
        <f t="shared" si="9"/>
        <v>-4.5998641433312559E-2</v>
      </c>
      <c r="B277"/>
      <c r="C277" s="21" t="str">
        <f t="shared" si="10"/>
        <v>A</v>
      </c>
      <c r="D277">
        <v>112</v>
      </c>
      <c r="E277">
        <v>106.848152159469</v>
      </c>
      <c r="F277"/>
      <c r="G277"/>
    </row>
    <row r="278" spans="1:7" x14ac:dyDescent="0.25">
      <c r="A278" s="21">
        <f t="shared" si="9"/>
        <v>0.28472157527777897</v>
      </c>
      <c r="B278"/>
      <c r="C278" s="21" t="str">
        <f t="shared" si="10"/>
        <v>B</v>
      </c>
      <c r="D278">
        <v>95</v>
      </c>
      <c r="E278">
        <v>122.048549651389</v>
      </c>
      <c r="F278"/>
      <c r="G278"/>
    </row>
    <row r="279" spans="1:7" x14ac:dyDescent="0.25">
      <c r="A279" s="21">
        <f t="shared" si="9"/>
        <v>0.14459630367774468</v>
      </c>
      <c r="B279"/>
      <c r="C279" s="21" t="str">
        <f t="shared" si="10"/>
        <v>A</v>
      </c>
      <c r="D279">
        <v>94</v>
      </c>
      <c r="E279">
        <v>107.592052545708</v>
      </c>
      <c r="F279"/>
      <c r="G279"/>
    </row>
    <row r="280" spans="1:7" x14ac:dyDescent="0.25">
      <c r="A280" s="21">
        <f t="shared" si="9"/>
        <v>9.6689122277293649E-3</v>
      </c>
      <c r="B280"/>
      <c r="C280" s="21" t="str">
        <f t="shared" si="10"/>
        <v>A</v>
      </c>
      <c r="D280">
        <v>92</v>
      </c>
      <c r="E280">
        <v>92.889539924951094</v>
      </c>
      <c r="F280"/>
      <c r="G280"/>
    </row>
    <row r="281" spans="1:7" x14ac:dyDescent="0.25">
      <c r="A281" s="21">
        <f t="shared" si="9"/>
        <v>-3.8594618172213768E-2</v>
      </c>
      <c r="B281"/>
      <c r="C281" s="21" t="str">
        <f t="shared" si="10"/>
        <v>A</v>
      </c>
      <c r="D281">
        <v>131</v>
      </c>
      <c r="E281">
        <v>125.94410501944</v>
      </c>
      <c r="F281"/>
      <c r="G281"/>
    </row>
    <row r="282" spans="1:7" x14ac:dyDescent="0.25">
      <c r="A282" s="21">
        <f t="shared" si="9"/>
        <v>0.14701239673660016</v>
      </c>
      <c r="B282"/>
      <c r="C282" s="21" t="str">
        <f t="shared" si="10"/>
        <v>A</v>
      </c>
      <c r="D282">
        <v>125</v>
      </c>
      <c r="E282">
        <v>143.37654959207501</v>
      </c>
      <c r="F282"/>
      <c r="G282"/>
    </row>
    <row r="283" spans="1:7" x14ac:dyDescent="0.25">
      <c r="A283" s="21">
        <f t="shared" si="9"/>
        <v>-7.0528930094318154E-2</v>
      </c>
      <c r="B283"/>
      <c r="C283" s="21" t="str">
        <f t="shared" si="10"/>
        <v>A</v>
      </c>
      <c r="D283">
        <v>105</v>
      </c>
      <c r="E283">
        <v>97.594462340096598</v>
      </c>
      <c r="F283"/>
      <c r="G283"/>
    </row>
    <row r="284" spans="1:7" x14ac:dyDescent="0.25">
      <c r="A284" s="21">
        <f t="shared" si="9"/>
        <v>0.19138073313787207</v>
      </c>
      <c r="B284"/>
      <c r="C284" s="21" t="str">
        <f t="shared" si="10"/>
        <v>A</v>
      </c>
      <c r="D284">
        <v>86</v>
      </c>
      <c r="E284">
        <v>102.45874304985701</v>
      </c>
      <c r="F284"/>
      <c r="G284"/>
    </row>
    <row r="285" spans="1:7" x14ac:dyDescent="0.25">
      <c r="A285" s="21">
        <f t="shared" si="9"/>
        <v>2.5289264496309416E-2</v>
      </c>
      <c r="B285"/>
      <c r="C285" s="21" t="str">
        <f t="shared" si="10"/>
        <v>A</v>
      </c>
      <c r="D285">
        <v>126</v>
      </c>
      <c r="E285">
        <v>129.18644732653499</v>
      </c>
      <c r="F285"/>
      <c r="G285"/>
    </row>
    <row r="286" spans="1:7" x14ac:dyDescent="0.25">
      <c r="A286" s="21">
        <f t="shared" si="9"/>
        <v>-4.9316975065474167E-2</v>
      </c>
      <c r="B286"/>
      <c r="C286" s="21" t="str">
        <f t="shared" si="10"/>
        <v>A</v>
      </c>
      <c r="D286">
        <v>116</v>
      </c>
      <c r="E286">
        <v>110.279230892405</v>
      </c>
      <c r="F286"/>
      <c r="G286"/>
    </row>
    <row r="287" spans="1:7" x14ac:dyDescent="0.25">
      <c r="A287" s="21">
        <f t="shared" si="9"/>
        <v>3.4986850107864953E-2</v>
      </c>
      <c r="B287"/>
      <c r="C287" s="21" t="str">
        <f t="shared" si="10"/>
        <v>A</v>
      </c>
      <c r="D287">
        <v>111</v>
      </c>
      <c r="E287">
        <v>114.883540361973</v>
      </c>
      <c r="F287"/>
      <c r="G287"/>
    </row>
    <row r="288" spans="1:7" x14ac:dyDescent="0.25">
      <c r="A288" s="21">
        <f t="shared" si="9"/>
        <v>0.30080970991672218</v>
      </c>
      <c r="B288"/>
      <c r="C288" s="21" t="str">
        <f t="shared" si="10"/>
        <v>B</v>
      </c>
      <c r="D288">
        <v>90</v>
      </c>
      <c r="E288">
        <v>117.072873892505</v>
      </c>
      <c r="F288"/>
      <c r="G288"/>
    </row>
    <row r="289" spans="1:7" x14ac:dyDescent="0.25">
      <c r="A289" s="21">
        <f t="shared" si="9"/>
        <v>-8.334465755781606E-2</v>
      </c>
      <c r="B289"/>
      <c r="C289" s="21" t="str">
        <f t="shared" si="10"/>
        <v>A</v>
      </c>
      <c r="D289">
        <v>125</v>
      </c>
      <c r="E289">
        <v>114.58191780527299</v>
      </c>
      <c r="F289"/>
      <c r="G289"/>
    </row>
    <row r="290" spans="1:7" x14ac:dyDescent="0.25">
      <c r="A290" s="21">
        <f t="shared" si="9"/>
        <v>7.2738900214905255E-2</v>
      </c>
      <c r="B290"/>
      <c r="C290" s="21" t="str">
        <f t="shared" si="10"/>
        <v>A</v>
      </c>
      <c r="D290">
        <v>95</v>
      </c>
      <c r="E290">
        <v>101.910195520416</v>
      </c>
      <c r="F290"/>
      <c r="G290"/>
    </row>
    <row r="291" spans="1:7" x14ac:dyDescent="0.25">
      <c r="A291" s="21">
        <f t="shared" si="9"/>
        <v>1.8841419450953634E-2</v>
      </c>
      <c r="B291"/>
      <c r="C291" s="21" t="str">
        <f t="shared" si="10"/>
        <v>A</v>
      </c>
      <c r="D291">
        <v>93</v>
      </c>
      <c r="E291">
        <v>94.752252008938697</v>
      </c>
      <c r="F291"/>
      <c r="G291"/>
    </row>
    <row r="292" spans="1:7" x14ac:dyDescent="0.25">
      <c r="A292" s="21">
        <f t="shared" si="9"/>
        <v>0.13148383564544308</v>
      </c>
      <c r="B292"/>
      <c r="C292" s="21" t="str">
        <f t="shared" si="10"/>
        <v>A</v>
      </c>
      <c r="D292">
        <v>81</v>
      </c>
      <c r="E292">
        <v>91.650190687280897</v>
      </c>
      <c r="F292"/>
      <c r="G292"/>
    </row>
    <row r="293" spans="1:7" x14ac:dyDescent="0.25">
      <c r="A293" s="21">
        <f t="shared" si="9"/>
        <v>2.2983137388753239E-2</v>
      </c>
      <c r="B293"/>
      <c r="C293" s="21" t="str">
        <f t="shared" si="10"/>
        <v>A</v>
      </c>
      <c r="D293">
        <v>92</v>
      </c>
      <c r="E293">
        <v>94.1144486397653</v>
      </c>
      <c r="F293"/>
      <c r="G293"/>
    </row>
    <row r="294" spans="1:7" x14ac:dyDescent="0.25">
      <c r="A294" s="21">
        <f t="shared" si="9"/>
        <v>0.1543805864215384</v>
      </c>
      <c r="B294"/>
      <c r="C294" s="21" t="str">
        <f t="shared" si="10"/>
        <v>A</v>
      </c>
      <c r="D294">
        <v>86</v>
      </c>
      <c r="E294">
        <v>99.276730432252293</v>
      </c>
      <c r="F294"/>
      <c r="G294"/>
    </row>
    <row r="295" spans="1:7" x14ac:dyDescent="0.25">
      <c r="A295" s="21">
        <f t="shared" ref="A295:A314" si="11">E295/D295-1</f>
        <v>0.19613406952836709</v>
      </c>
      <c r="C295" s="21" t="str">
        <f t="shared" ref="C295:C314" si="12">IF(OR(A295&gt;=20%,A295&lt;=-20%),"B","A")</f>
        <v>A</v>
      </c>
      <c r="D295">
        <v>82</v>
      </c>
      <c r="E295">
        <v>98.082993701326103</v>
      </c>
    </row>
    <row r="296" spans="1:7" x14ac:dyDescent="0.25">
      <c r="A296" s="21">
        <f t="shared" si="11"/>
        <v>-0.28739284210360083</v>
      </c>
      <c r="C296" s="21" t="str">
        <f t="shared" si="12"/>
        <v>B</v>
      </c>
      <c r="D296">
        <v>127</v>
      </c>
      <c r="E296">
        <v>90.501109052842693</v>
      </c>
    </row>
    <row r="297" spans="1:7" x14ac:dyDescent="0.25">
      <c r="A297" s="21">
        <f t="shared" si="11"/>
        <v>-6.4751573768207837E-2</v>
      </c>
      <c r="C297" s="21" t="str">
        <f t="shared" si="12"/>
        <v>A</v>
      </c>
      <c r="D297">
        <v>103</v>
      </c>
      <c r="E297">
        <v>96.330587901874594</v>
      </c>
    </row>
    <row r="298" spans="1:7" x14ac:dyDescent="0.25">
      <c r="A298" s="21">
        <f t="shared" si="11"/>
        <v>0.12272177450546518</v>
      </c>
      <c r="C298" s="21" t="str">
        <f t="shared" si="12"/>
        <v>A</v>
      </c>
      <c r="D298">
        <v>86</v>
      </c>
      <c r="E298">
        <v>96.554072607470005</v>
      </c>
    </row>
    <row r="299" spans="1:7" x14ac:dyDescent="0.25">
      <c r="A299" s="21">
        <f t="shared" si="11"/>
        <v>0.14779459613067103</v>
      </c>
      <c r="C299" s="21" t="str">
        <f t="shared" si="12"/>
        <v>A</v>
      </c>
      <c r="D299">
        <v>79</v>
      </c>
      <c r="E299">
        <v>90.675773094323006</v>
      </c>
    </row>
    <row r="300" spans="1:7" x14ac:dyDescent="0.25">
      <c r="A300" s="21">
        <f t="shared" si="11"/>
        <v>-0.17853823354431242</v>
      </c>
      <c r="C300" s="21" t="str">
        <f t="shared" si="12"/>
        <v>A</v>
      </c>
      <c r="D300">
        <v>160</v>
      </c>
      <c r="E300">
        <v>131.43388263291001</v>
      </c>
    </row>
    <row r="301" spans="1:7" x14ac:dyDescent="0.25">
      <c r="A301" s="21">
        <f t="shared" si="11"/>
        <v>-0.2457312402146149</v>
      </c>
      <c r="C301" s="21" t="str">
        <f t="shared" si="12"/>
        <v>B</v>
      </c>
      <c r="D301">
        <v>135</v>
      </c>
      <c r="E301">
        <v>101.82628257102699</v>
      </c>
    </row>
    <row r="302" spans="1:7" x14ac:dyDescent="0.25">
      <c r="A302" s="21">
        <f t="shared" si="11"/>
        <v>-0.12590177285488302</v>
      </c>
      <c r="C302" s="21" t="str">
        <f t="shared" si="12"/>
        <v>A</v>
      </c>
      <c r="D302">
        <v>106</v>
      </c>
      <c r="E302">
        <v>92.654412077382403</v>
      </c>
    </row>
    <row r="303" spans="1:7" x14ac:dyDescent="0.25">
      <c r="A303" s="21">
        <f t="shared" si="11"/>
        <v>6.9251748835202465E-2</v>
      </c>
      <c r="C303" s="21" t="str">
        <f t="shared" si="12"/>
        <v>A</v>
      </c>
      <c r="D303">
        <v>80</v>
      </c>
      <c r="E303">
        <v>85.540139906816194</v>
      </c>
    </row>
    <row r="304" spans="1:7" x14ac:dyDescent="0.25">
      <c r="A304" s="21">
        <f t="shared" si="11"/>
        <v>4.8525906449596867E-2</v>
      </c>
      <c r="C304" s="21" t="str">
        <f t="shared" si="12"/>
        <v>A</v>
      </c>
      <c r="D304">
        <v>124</v>
      </c>
      <c r="E304">
        <v>130.01721239975001</v>
      </c>
    </row>
    <row r="305" spans="1:6" x14ac:dyDescent="0.25">
      <c r="A305" s="21">
        <f t="shared" si="11"/>
        <v>0.34321510767146424</v>
      </c>
      <c r="C305" s="21" t="str">
        <f t="shared" si="12"/>
        <v>B</v>
      </c>
      <c r="D305">
        <v>112</v>
      </c>
      <c r="E305">
        <v>150.44009205920401</v>
      </c>
    </row>
    <row r="306" spans="1:6" x14ac:dyDescent="0.25">
      <c r="A306" s="21">
        <f t="shared" si="11"/>
        <v>0.23662466261712489</v>
      </c>
      <c r="C306" s="21" t="str">
        <f t="shared" si="12"/>
        <v>B</v>
      </c>
      <c r="D306">
        <v>96</v>
      </c>
      <c r="E306">
        <v>118.715967611244</v>
      </c>
    </row>
    <row r="307" spans="1:6" x14ac:dyDescent="0.25">
      <c r="A307" s="21">
        <f t="shared" si="11"/>
        <v>-1</v>
      </c>
      <c r="C307" s="21" t="s">
        <v>72</v>
      </c>
      <c r="D307">
        <v>77</v>
      </c>
      <c r="E307"/>
      <c r="F307">
        <v>136.78645362403799</v>
      </c>
    </row>
    <row r="308" spans="1:6" x14ac:dyDescent="0.25">
      <c r="A308" s="21">
        <f t="shared" si="11"/>
        <v>-0.1772127739819781</v>
      </c>
      <c r="C308" s="21" t="str">
        <f t="shared" si="12"/>
        <v>A</v>
      </c>
      <c r="D308">
        <v>137</v>
      </c>
      <c r="E308">
        <v>112.721849964469</v>
      </c>
    </row>
    <row r="309" spans="1:6" x14ac:dyDescent="0.25">
      <c r="A309" s="21">
        <f t="shared" si="11"/>
        <v>8.4590915160615454E-2</v>
      </c>
      <c r="C309" s="21" t="str">
        <f t="shared" si="12"/>
        <v>A</v>
      </c>
      <c r="D309">
        <v>130</v>
      </c>
      <c r="E309">
        <v>140.99681897088001</v>
      </c>
    </row>
    <row r="310" spans="1:6" x14ac:dyDescent="0.25">
      <c r="A310" s="21">
        <f t="shared" si="11"/>
        <v>-3.6500422795702536E-2</v>
      </c>
      <c r="C310" s="21" t="str">
        <f t="shared" si="12"/>
        <v>A</v>
      </c>
      <c r="D310">
        <v>121</v>
      </c>
      <c r="E310">
        <v>116.58344884172</v>
      </c>
    </row>
    <row r="311" spans="1:6" x14ac:dyDescent="0.25">
      <c r="A311" s="21">
        <f t="shared" si="11"/>
        <v>0.28840477330130776</v>
      </c>
      <c r="C311" s="21" t="str">
        <f t="shared" si="12"/>
        <v>B</v>
      </c>
      <c r="D311">
        <v>91</v>
      </c>
      <c r="E311">
        <v>117.244834370419</v>
      </c>
    </row>
    <row r="312" spans="1:6" x14ac:dyDescent="0.25">
      <c r="A312" s="21">
        <f t="shared" si="11"/>
        <v>4.3119361066963346E-2</v>
      </c>
      <c r="C312" s="21" t="str">
        <f t="shared" si="12"/>
        <v>A</v>
      </c>
      <c r="D312">
        <v>137</v>
      </c>
      <c r="E312">
        <v>142.90735246617399</v>
      </c>
    </row>
    <row r="313" spans="1:6" x14ac:dyDescent="0.25">
      <c r="A313" s="21">
        <f t="shared" si="11"/>
        <v>0.37495180054456312</v>
      </c>
      <c r="C313" s="21" t="str">
        <f t="shared" si="12"/>
        <v>B</v>
      </c>
      <c r="D313">
        <v>119</v>
      </c>
      <c r="E313">
        <v>163.61926426480301</v>
      </c>
    </row>
    <row r="314" spans="1:6" x14ac:dyDescent="0.25">
      <c r="A314" s="21">
        <f t="shared" si="11"/>
        <v>0.13989908829385844</v>
      </c>
      <c r="C314" s="21" t="str">
        <f t="shared" si="12"/>
        <v>A</v>
      </c>
      <c r="D314">
        <v>99</v>
      </c>
      <c r="E314">
        <v>112.85000974109199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tester C</vt:lpstr>
      <vt:lpstr>tester A</vt:lpstr>
      <vt:lpstr>乘DC</vt:lpstr>
      <vt:lpstr>20  feature-with Elky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2019-01-23T11:24:49Z</dcterms:modified>
</cp:coreProperties>
</file>